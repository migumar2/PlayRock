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7.xml" ContentType="application/vnd.openxmlformats-officedocument.spreadsheetml.table+xml"/>
  <Override PartName="/xl/queryTables/queryTable1.xml" ContentType="application/vnd.openxmlformats-officedocument.spreadsheetml.queryTable+xml"/>
  <Override PartName="/xl/tables/table18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tables/table19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uvaes-my.sharepoint.com/personal/miguelamp_uva_es/Documents/[AAA] Docencia/🤘  PlayRock/cuadernos/"/>
    </mc:Choice>
  </mc:AlternateContent>
  <xr:revisionPtr revIDLastSave="17002" documentId="8_{C1E27666-428D-4DFB-B668-ACC7A3AB3C87}" xr6:coauthVersionLast="47" xr6:coauthVersionMax="47" xr10:uidLastSave="{1C86E876-06BD-4288-B32B-AE73C6A994B3}"/>
  <workbookProtection workbookAlgorithmName="SHA-512" workbookHashValue="GWvzZI5XHc1N142028yenDTjt5a3GaZ2jJVloROEftU+jpfLlJPFS9S9cf0HeuAsZ6OlE3NmQ7UYj8Uv1389Hw==" workbookSaltValue="piWDJ7yYl/BF22yBM9URJw==" workbookSpinCount="100000" lockStructure="1"/>
  <bookViews>
    <workbookView xWindow="25017" yWindow="-118" windowWidth="25370" windowHeight="13759" activeTab="1" xr2:uid="{8AB56CC2-B8B7-47D1-9FDC-F61DBE07D5DA}"/>
  </bookViews>
  <sheets>
    <sheet name="plan" sheetId="2" r:id="rId1"/>
    <sheet name="cronograma" sheetId="7" r:id="rId2"/>
    <sheet name="reg_est#1" sheetId="3" r:id="rId3"/>
    <sheet name="reg_est#2" sheetId="9" r:id="rId4"/>
    <sheet name="reg_est#3" sheetId="10" r:id="rId5"/>
    <sheet name="reg_est#4" sheetId="11" r:id="rId6"/>
    <sheet name="reg_est#5" sheetId="12" r:id="rId7"/>
    <sheet name="problam" sheetId="5" state="hidden" r:id="rId8"/>
    <sheet name="seguimiento" sheetId="8" r:id="rId9"/>
    <sheet name="cuaderno" sheetId="29" r:id="rId10"/>
    <sheet name="tareas_agregadas" sheetId="21" state="hidden" r:id="rId11"/>
    <sheet name="t_estudiantes" sheetId="22" state="hidden" r:id="rId12"/>
    <sheet name="t_objetivos" sheetId="26" state="hidden" r:id="rId13"/>
    <sheet name="t_actividades" sheetId="27" state="hidden" r:id="rId14"/>
    <sheet name="t_valor" sheetId="28" state="hidden" r:id="rId15"/>
  </sheets>
  <definedNames>
    <definedName name="DatosExternos_1" localSheetId="9" hidden="1">'cuaderno'!$B$2:$J$8</definedName>
    <definedName name="DatosExternos_1" localSheetId="10" hidden="1">tareas_agregadas!$A$1:$G$2</definedName>
    <definedName name="i_PROBLAM_art1">Tabla_PROBLAM_Artefactos1[]</definedName>
    <definedName name="i_PROBLAM_art2">Tabla_PROBLAM_Artefactos2[]</definedName>
    <definedName name="i_PROBLAM_art3">Tabla_PROBLAM_Artefactos3[]</definedName>
    <definedName name="i_PROBLAM_art4">Tabla_PROBLAM_Artefactos4[]</definedName>
    <definedName name="i_PROBLAM_art5">Tabla_PROBLAM_Artefactos5[]</definedName>
    <definedName name="i_PROBLAM_art6">Tabla_PROBLAM_Artefactos6[]</definedName>
    <definedName name="i_PROBLAM_pt1">problam!$B$3</definedName>
    <definedName name="i_PROBLAM_pt2">problam!$B$4</definedName>
    <definedName name="i_PROBLAM_pt3">problam!$B$5</definedName>
    <definedName name="i_PROBLAM_pt4">problam!$B$6</definedName>
    <definedName name="i_PROBLAM_pt5">problam!$B$7</definedName>
    <definedName name="i_PROBLAM_pt6">problam!$B$8</definedName>
    <definedName name="Indice_Aux_SinFecha">problam!$D$28:$D$28</definedName>
    <definedName name="Indice_Aux_Vacio">problam!$B$28</definedName>
    <definedName name="Indice_Plan_Actividad">OFFSET(INDEX(plan!$C$4:$C$52,1),0,0,plan!#REF!,1)</definedName>
    <definedName name="Indice_Plan_ExtensionPlazo">problam!$F$24</definedName>
    <definedName name="Indice_Plan_FechaFin">problam!$B$25</definedName>
    <definedName name="Indice_Plan_FechaInicio">problam!$B$24</definedName>
    <definedName name="Indice_Plan_InicioSemana">problam!$D$24</definedName>
    <definedName name="Indice_PROBLAM_Aux_Estado_Bloqueada">problam!$B$11</definedName>
    <definedName name="Indice_PROBLAM_Aux_Estado_Desarrollo">problam!$B$12</definedName>
    <definedName name="Indice_PROBLAM_Aux_Estado_Finalizada">problam!$B$13</definedName>
    <definedName name="Indice_PROBLAM_Aux_Estado_SinIniciar">problam!$B$14</definedName>
    <definedName name="Indice_PROBLAM_Aux_Estados">Tabla_PROBLAM_Aux_Estados[Estado]</definedName>
    <definedName name="Indice_PROBLAM_Estudiante1">problam!$B$17</definedName>
    <definedName name="Indice_PROBLAM_Estudiante2">problam!$B$18</definedName>
    <definedName name="Indice_PROBLAM_Estudiante3">problam!$B$19</definedName>
    <definedName name="Indice_PROBLAM_Estudiante4">problam!$B$20</definedName>
    <definedName name="Indice_PROBLAM_Estudiante5">problam!$B$21</definedName>
    <definedName name="Indice_PROBLAM_Estudiantes">Tabla_PROBLAM_Estudiantes[Estudiantes]</definedName>
    <definedName name="Indice_PROBLAM_NumEstudiantes">problam!$D$17</definedName>
    <definedName name="Indice_PROBLAM_Paquetes">Tabla_PROBLAM_Paquetes[Paquetes]</definedName>
    <definedName name="xx_Indice_PROBLAM_Historias_Conceptual">Tabla_PROBLAM_Artefactos1[Ciclo de vida]</definedName>
    <definedName name="xx_Indice_PROBLAM_Historias_DDL">Tabla_PROBLAM_Artefactos3[Diseño físico]</definedName>
    <definedName name="xx_Indice_PROBLAM_Historias_DML">Tabla_PROBLAM_Artefactos5[Gestión de transacciones]</definedName>
    <definedName name="xx_Indice_PROBLAM_Historias_Equipo">Tabla_PROBLAM_Artefactos4[Equipo]</definedName>
    <definedName name="xx_Indice_PROBLAM_Historias_Logico">Tabla_PROBLAM_Artefactos2[Ingeniería de datos]</definedName>
  </definedNames>
  <calcPr calcId="191029"/>
  <pivotCaches>
    <pivotCache cacheId="2" r:id="rId16"/>
    <pivotCache cacheId="3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2" l="1"/>
  <c r="I5" i="2"/>
  <c r="I6" i="2"/>
  <c r="I7" i="2"/>
  <c r="I8" i="2"/>
  <c r="I9" i="2"/>
  <c r="I10" i="2"/>
  <c r="I11" i="2"/>
  <c r="L16" i="2"/>
  <c r="I16" i="2"/>
  <c r="L25" i="2"/>
  <c r="I25" i="2"/>
  <c r="L23" i="2"/>
  <c r="I23" i="2"/>
  <c r="L22" i="2"/>
  <c r="I22" i="2"/>
  <c r="L21" i="2"/>
  <c r="I21" i="2"/>
  <c r="L20" i="2"/>
  <c r="I20" i="2"/>
  <c r="L14" i="2"/>
  <c r="I14" i="2"/>
  <c r="L13" i="2"/>
  <c r="I13" i="2"/>
  <c r="L8" i="2"/>
  <c r="L7" i="2"/>
  <c r="L6" i="2"/>
  <c r="L5" i="2"/>
  <c r="L4" i="2"/>
  <c r="I12" i="2"/>
  <c r="L38" i="2"/>
  <c r="I38" i="2"/>
  <c r="L37" i="2"/>
  <c r="I37" i="2"/>
  <c r="L36" i="2"/>
  <c r="I36" i="2"/>
  <c r="L35" i="2"/>
  <c r="I35" i="2"/>
  <c r="L34" i="2"/>
  <c r="I34" i="2"/>
  <c r="L33" i="2"/>
  <c r="I33" i="2"/>
  <c r="L32" i="2"/>
  <c r="I32" i="2"/>
  <c r="L31" i="2"/>
  <c r="I31" i="2"/>
  <c r="L30" i="2"/>
  <c r="I30" i="2"/>
  <c r="L29" i="2"/>
  <c r="I29" i="2"/>
  <c r="L28" i="2"/>
  <c r="I28" i="2"/>
  <c r="L27" i="2"/>
  <c r="I27" i="2"/>
  <c r="L26" i="2"/>
  <c r="I26" i="2"/>
  <c r="L24" i="2"/>
  <c r="I24" i="2"/>
  <c r="K52" i="2"/>
  <c r="M52" i="2" s="1"/>
  <c r="K51" i="2"/>
  <c r="M51" i="2" s="1"/>
  <c r="K50" i="2"/>
  <c r="M50" i="2" s="1"/>
  <c r="K49" i="2"/>
  <c r="M49" i="2" s="1"/>
  <c r="K48" i="2"/>
  <c r="M48" i="2" s="1"/>
  <c r="K47" i="2"/>
  <c r="M47" i="2" s="1"/>
  <c r="N26" i="2"/>
  <c r="E4" i="12"/>
  <c r="D4" i="12"/>
  <c r="I46" i="2"/>
  <c r="L46" i="2"/>
  <c r="I47" i="2"/>
  <c r="I48" i="2"/>
  <c r="I49" i="2"/>
  <c r="I50" i="2"/>
  <c r="I51" i="2"/>
  <c r="I52" i="2"/>
  <c r="N22" i="2"/>
  <c r="N21" i="2"/>
  <c r="N20" i="2"/>
  <c r="N19" i="2"/>
  <c r="N28" i="2"/>
  <c r="N27" i="2"/>
  <c r="N25" i="2"/>
  <c r="N24" i="2"/>
  <c r="N23" i="2"/>
  <c r="N18" i="2"/>
  <c r="N17" i="2"/>
  <c r="I39" i="2" l="1"/>
  <c r="I40" i="2"/>
  <c r="I41" i="2"/>
  <c r="I42" i="2"/>
  <c r="I43" i="2"/>
  <c r="I44" i="2"/>
  <c r="I45" i="2"/>
  <c r="R11" i="2" a="1"/>
  <c r="R11" i="2" s="1"/>
  <c r="R12" i="2" a="1"/>
  <c r="R12" i="2" s="1"/>
  <c r="R13" i="2" a="1"/>
  <c r="R13" i="2" s="1"/>
  <c r="R14" i="2" a="1"/>
  <c r="R14" i="2" s="1"/>
  <c r="R15" i="2" a="1"/>
  <c r="R15" i="2" s="1"/>
  <c r="R16" i="2" a="1"/>
  <c r="R16" i="2" s="1"/>
  <c r="S7" i="2" a="1"/>
  <c r="S7" i="2" s="1"/>
  <c r="S9" i="2" a="1"/>
  <c r="S9" i="2" s="1"/>
  <c r="S10" i="2" a="1"/>
  <c r="S10" i="2" s="1"/>
  <c r="S11" i="2" a="1"/>
  <c r="S11" i="2" s="1"/>
  <c r="S12" i="2" a="1"/>
  <c r="S12" i="2" s="1"/>
  <c r="S13" i="2" a="1"/>
  <c r="S13" i="2" s="1"/>
  <c r="S14" i="2" a="1"/>
  <c r="S14" i="2" s="1"/>
  <c r="S15" i="2" a="1"/>
  <c r="S15" i="2" s="1"/>
  <c r="S16" i="2" a="1"/>
  <c r="S16" i="2" s="1"/>
  <c r="F4" i="3" l="1"/>
  <c r="B3" i="3"/>
  <c r="U20" i="2"/>
  <c r="U21" i="2"/>
  <c r="U22" i="2"/>
  <c r="U23" i="2"/>
  <c r="U24" i="2"/>
  <c r="U25" i="2"/>
  <c r="U2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C41" i="7" l="1"/>
  <c r="C39" i="7"/>
  <c r="C37" i="7"/>
  <c r="C33" i="7"/>
  <c r="C31" i="7"/>
  <c r="C25" i="7"/>
  <c r="C11" i="7"/>
  <c r="C35" i="7"/>
  <c r="C43" i="7"/>
  <c r="C45" i="7"/>
  <c r="C47" i="7"/>
  <c r="C49" i="7"/>
  <c r="C51" i="7"/>
  <c r="L12" i="2"/>
  <c r="Q12" i="2"/>
  <c r="T12" i="2" a="1"/>
  <c r="T12" i="2" s="1"/>
  <c r="Q13" i="2"/>
  <c r="T13" i="2" a="1"/>
  <c r="T13" i="2" s="1"/>
  <c r="Q14" i="2"/>
  <c r="T14" i="2" a="1"/>
  <c r="T14" i="2" s="1"/>
  <c r="Q15" i="2"/>
  <c r="T15" i="2" a="1"/>
  <c r="T15" i="2" s="1"/>
  <c r="Q16" i="2"/>
  <c r="T16" i="2" a="1"/>
  <c r="T16" i="2" s="1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L39" i="2"/>
  <c r="L40" i="2"/>
  <c r="L41" i="2"/>
  <c r="S21" i="2" l="1" a="1"/>
  <c r="S21" i="2" s="1"/>
  <c r="R22" i="2" a="1"/>
  <c r="R22" i="2" s="1"/>
  <c r="S22" i="2" a="1"/>
  <c r="S22" i="2" s="1"/>
  <c r="S27" i="2" a="1"/>
  <c r="S27" i="2" s="1"/>
  <c r="R27" i="2" a="1"/>
  <c r="R27" i="2" s="1"/>
  <c r="R19" i="2" a="1"/>
  <c r="R19" i="2" s="1"/>
  <c r="S19" i="2" a="1"/>
  <c r="S19" i="2" s="1"/>
  <c r="T19" i="2" s="1" a="1"/>
  <c r="T19" i="2" s="1"/>
  <c r="S20" i="2" a="1"/>
  <c r="S20" i="2" s="1"/>
  <c r="S23" i="2" a="1"/>
  <c r="S23" i="2" s="1"/>
  <c r="R23" i="2" a="1"/>
  <c r="R23" i="2" s="1"/>
  <c r="R17" i="2" a="1"/>
  <c r="R17" i="2" s="1"/>
  <c r="S17" i="2" a="1"/>
  <c r="S17" i="2" s="1"/>
  <c r="T17" i="2" s="1" a="1"/>
  <c r="T17" i="2" s="1"/>
  <c r="R18" i="2" a="1"/>
  <c r="R18" i="2" s="1"/>
  <c r="S18" i="2" a="1"/>
  <c r="S18" i="2" s="1"/>
  <c r="T18" i="2" s="1" a="1"/>
  <c r="T18" i="2" s="1"/>
  <c r="S26" i="2" a="1"/>
  <c r="S26" i="2" s="1"/>
  <c r="R25" i="2" a="1"/>
  <c r="R25" i="2" s="1"/>
  <c r="S25" i="2" a="1"/>
  <c r="S25" i="2" s="1"/>
  <c r="R24" i="2" a="1"/>
  <c r="R24" i="2" s="1"/>
  <c r="S24" i="2" a="1"/>
  <c r="S24" i="2" s="1"/>
  <c r="T24" i="2" s="1" a="1"/>
  <c r="T24" i="2" s="1"/>
  <c r="F7" i="11" l="1"/>
  <c r="F6" i="11"/>
  <c r="E6" i="12"/>
  <c r="D6" i="12"/>
  <c r="E5" i="12"/>
  <c r="D5" i="12"/>
  <c r="F7" i="12"/>
  <c r="U6" i="22"/>
  <c r="V6" i="22"/>
  <c r="W6" i="22"/>
  <c r="X6" i="22"/>
  <c r="Y6" i="22"/>
  <c r="U7" i="22"/>
  <c r="V7" i="22"/>
  <c r="W7" i="22"/>
  <c r="X7" i="22"/>
  <c r="Y7" i="22"/>
  <c r="U8" i="22"/>
  <c r="V8" i="22"/>
  <c r="W8" i="22"/>
  <c r="X8" i="22"/>
  <c r="Y8" i="22"/>
  <c r="U9" i="22"/>
  <c r="V9" i="22"/>
  <c r="W9" i="22"/>
  <c r="X9" i="22"/>
  <c r="Y9" i="22"/>
  <c r="U10" i="22"/>
  <c r="V10" i="22"/>
  <c r="W10" i="22"/>
  <c r="X10" i="22"/>
  <c r="Y10" i="22"/>
  <c r="Y5" i="22"/>
  <c r="X5" i="22"/>
  <c r="W5" i="22"/>
  <c r="V5" i="22"/>
  <c r="U5" i="22"/>
  <c r="U6" i="26"/>
  <c r="V6" i="26"/>
  <c r="W6" i="26"/>
  <c r="X6" i="26"/>
  <c r="Y6" i="26"/>
  <c r="U7" i="26"/>
  <c r="V7" i="26"/>
  <c r="W7" i="26"/>
  <c r="X7" i="26"/>
  <c r="Y7" i="26"/>
  <c r="U8" i="26"/>
  <c r="V8" i="26"/>
  <c r="W8" i="26"/>
  <c r="X8" i="26"/>
  <c r="Y8" i="26"/>
  <c r="U9" i="26"/>
  <c r="V9" i="26"/>
  <c r="W9" i="26"/>
  <c r="X9" i="26"/>
  <c r="Y9" i="26"/>
  <c r="U10" i="26"/>
  <c r="V10" i="26"/>
  <c r="W10" i="26"/>
  <c r="X10" i="26"/>
  <c r="Y10" i="26"/>
  <c r="Y5" i="26"/>
  <c r="X5" i="26"/>
  <c r="W5" i="26"/>
  <c r="V5" i="26"/>
  <c r="U5" i="26"/>
  <c r="Y4" i="26"/>
  <c r="X4" i="26"/>
  <c r="E250" i="10"/>
  <c r="E6" i="10"/>
  <c r="E5" i="10"/>
  <c r="E4" i="10"/>
  <c r="E3" i="10"/>
  <c r="D8" i="10"/>
  <c r="D7" i="10"/>
  <c r="D6" i="10"/>
  <c r="D5" i="10"/>
  <c r="D4" i="10"/>
  <c r="D3" i="10"/>
  <c r="F8" i="10"/>
  <c r="F7" i="10"/>
  <c r="F6" i="10"/>
  <c r="B18" i="5" l="1"/>
  <c r="B19" i="5"/>
  <c r="B20" i="5"/>
  <c r="B21" i="5"/>
  <c r="F4" i="12" s="1"/>
  <c r="B17" i="5"/>
  <c r="C53" i="2"/>
  <c r="F6" i="12" l="1"/>
  <c r="F3" i="12"/>
  <c r="F5" i="12"/>
  <c r="F5" i="11"/>
  <c r="F4" i="11"/>
  <c r="F5" i="10"/>
  <c r="F4" i="10"/>
  <c r="F3" i="10"/>
  <c r="T20" i="2" l="1" a="1"/>
  <c r="T20" i="2" s="1"/>
  <c r="T21" i="2" a="1"/>
  <c r="T21" i="2" s="1"/>
  <c r="Q8" i="2" l="1"/>
  <c r="L9" i="2"/>
  <c r="Q9" i="2"/>
  <c r="L10" i="2"/>
  <c r="Q10" i="2"/>
  <c r="T10" i="2" a="1"/>
  <c r="T10" i="2" s="1"/>
  <c r="L11" i="2"/>
  <c r="Q11" i="2"/>
  <c r="T11" i="2" a="1"/>
  <c r="T11" i="2" s="1"/>
  <c r="T7" i="2" l="1" a="1"/>
  <c r="T7" i="2" s="1"/>
  <c r="Q7" i="2"/>
  <c r="U6" i="2"/>
  <c r="Q6" i="2"/>
  <c r="U5" i="2"/>
  <c r="Q5" i="2"/>
  <c r="U4" i="2"/>
  <c r="Q4" i="2"/>
  <c r="I9" i="8"/>
  <c r="I10" i="8"/>
  <c r="I11" i="8"/>
  <c r="I12" i="8"/>
  <c r="I13" i="8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W4" i="26"/>
  <c r="V4" i="26"/>
  <c r="U4" i="26"/>
  <c r="H13" i="8"/>
  <c r="H12" i="8"/>
  <c r="H11" i="8"/>
  <c r="H10" i="8"/>
  <c r="H9" i="8"/>
  <c r="Y4" i="22"/>
  <c r="X4" i="22"/>
  <c r="W4" i="22"/>
  <c r="V4" i="22"/>
  <c r="U4" i="22"/>
  <c r="H5" i="8" l="1"/>
  <c r="C7" i="8"/>
  <c r="I53" i="2" l="1"/>
  <c r="F7" i="8" s="1"/>
  <c r="D4" i="7" l="1"/>
  <c r="N3" i="28"/>
  <c r="N4" i="28" s="1"/>
  <c r="N5" i="28" s="1"/>
  <c r="N6" i="28" s="1"/>
  <c r="N7" i="28" s="1"/>
  <c r="E5" i="8" s="1"/>
  <c r="E6" i="8" s="1"/>
  <c r="P3" i="28"/>
  <c r="P4" i="28" s="1"/>
  <c r="P5" i="28" s="1"/>
  <c r="P6" i="28" s="1"/>
  <c r="P7" i="28" s="1"/>
  <c r="O3" i="28"/>
  <c r="O4" i="28" s="1"/>
  <c r="O5" i="28" s="1"/>
  <c r="O6" i="28" s="1"/>
  <c r="O7" i="28" s="1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L42" i="2"/>
  <c r="L43" i="2"/>
  <c r="L44" i="2"/>
  <c r="L45" i="2"/>
  <c r="C5" i="7"/>
  <c r="U53" i="2" l="1"/>
  <c r="E4" i="7" s="1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49" i="12"/>
  <c r="F50" i="12"/>
  <c r="F51" i="12"/>
  <c r="F52" i="12"/>
  <c r="F53" i="12"/>
  <c r="F54" i="12"/>
  <c r="F55" i="12"/>
  <c r="F56" i="12"/>
  <c r="F57" i="12"/>
  <c r="F58" i="12"/>
  <c r="F59" i="12"/>
  <c r="F60" i="12"/>
  <c r="F61" i="12"/>
  <c r="F62" i="12"/>
  <c r="F63" i="12"/>
  <c r="F64" i="12"/>
  <c r="F65" i="12"/>
  <c r="F66" i="12"/>
  <c r="F67" i="12"/>
  <c r="F68" i="12"/>
  <c r="F69" i="12"/>
  <c r="F70" i="12"/>
  <c r="F71" i="12"/>
  <c r="F72" i="12"/>
  <c r="F73" i="12"/>
  <c r="F74" i="12"/>
  <c r="F75" i="12"/>
  <c r="F76" i="12"/>
  <c r="F77" i="12"/>
  <c r="F78" i="12"/>
  <c r="F79" i="12"/>
  <c r="F80" i="12"/>
  <c r="F81" i="12"/>
  <c r="F82" i="12"/>
  <c r="F83" i="12"/>
  <c r="F84" i="12"/>
  <c r="F85" i="12"/>
  <c r="F86" i="12"/>
  <c r="F87" i="12"/>
  <c r="F88" i="12"/>
  <c r="F89" i="12"/>
  <c r="F90" i="12"/>
  <c r="F91" i="12"/>
  <c r="F92" i="12"/>
  <c r="F93" i="12"/>
  <c r="F94" i="12"/>
  <c r="F95" i="12"/>
  <c r="F96" i="12"/>
  <c r="F97" i="12"/>
  <c r="F98" i="12"/>
  <c r="F99" i="12"/>
  <c r="F100" i="12"/>
  <c r="F101" i="12"/>
  <c r="F102" i="12"/>
  <c r="F103" i="12"/>
  <c r="F104" i="12"/>
  <c r="F105" i="12"/>
  <c r="F106" i="12"/>
  <c r="F107" i="12"/>
  <c r="F108" i="12"/>
  <c r="F109" i="12"/>
  <c r="F110" i="12"/>
  <c r="F111" i="12"/>
  <c r="F112" i="12"/>
  <c r="F113" i="12"/>
  <c r="F114" i="12"/>
  <c r="F115" i="12"/>
  <c r="F116" i="12"/>
  <c r="F117" i="12"/>
  <c r="F118" i="12"/>
  <c r="F119" i="12"/>
  <c r="F120" i="12"/>
  <c r="F121" i="12"/>
  <c r="F122" i="12"/>
  <c r="F123" i="12"/>
  <c r="F124" i="12"/>
  <c r="F125" i="12"/>
  <c r="F126" i="12"/>
  <c r="F127" i="12"/>
  <c r="F128" i="12"/>
  <c r="F129" i="12"/>
  <c r="F130" i="12"/>
  <c r="F131" i="12"/>
  <c r="F132" i="12"/>
  <c r="F133" i="12"/>
  <c r="F134" i="12"/>
  <c r="F135" i="12"/>
  <c r="F136" i="12"/>
  <c r="F137" i="12"/>
  <c r="F138" i="12"/>
  <c r="F139" i="12"/>
  <c r="F140" i="12"/>
  <c r="F141" i="12"/>
  <c r="F142" i="12"/>
  <c r="F143" i="12"/>
  <c r="F144" i="12"/>
  <c r="F145" i="12"/>
  <c r="F146" i="12"/>
  <c r="F147" i="12"/>
  <c r="F148" i="12"/>
  <c r="F149" i="12"/>
  <c r="F150" i="12"/>
  <c r="F151" i="12"/>
  <c r="F152" i="12"/>
  <c r="F153" i="12"/>
  <c r="F154" i="12"/>
  <c r="F155" i="12"/>
  <c r="F156" i="12"/>
  <c r="F157" i="12"/>
  <c r="F158" i="12"/>
  <c r="F159" i="12"/>
  <c r="F160" i="12"/>
  <c r="F161" i="12"/>
  <c r="F162" i="12"/>
  <c r="F163" i="12"/>
  <c r="F164" i="12"/>
  <c r="F165" i="12"/>
  <c r="F166" i="12"/>
  <c r="F167" i="12"/>
  <c r="F168" i="12"/>
  <c r="F169" i="12"/>
  <c r="F170" i="12"/>
  <c r="F171" i="12"/>
  <c r="F172" i="12"/>
  <c r="F173" i="12"/>
  <c r="F174" i="12"/>
  <c r="F175" i="12"/>
  <c r="F176" i="12"/>
  <c r="F177" i="12"/>
  <c r="F178" i="12"/>
  <c r="F179" i="12"/>
  <c r="F180" i="12"/>
  <c r="F181" i="12"/>
  <c r="F182" i="12"/>
  <c r="F183" i="12"/>
  <c r="F184" i="12"/>
  <c r="F185" i="12"/>
  <c r="F186" i="12"/>
  <c r="F187" i="12"/>
  <c r="F188" i="12"/>
  <c r="F189" i="12"/>
  <c r="F190" i="12"/>
  <c r="F191" i="12"/>
  <c r="F192" i="12"/>
  <c r="F193" i="12"/>
  <c r="F194" i="12"/>
  <c r="F195" i="12"/>
  <c r="F196" i="12"/>
  <c r="F197" i="12"/>
  <c r="F198" i="12"/>
  <c r="F199" i="12"/>
  <c r="F200" i="12"/>
  <c r="F201" i="12"/>
  <c r="F202" i="12"/>
  <c r="F203" i="12"/>
  <c r="F204" i="12"/>
  <c r="F205" i="12"/>
  <c r="F206" i="12"/>
  <c r="F207" i="12"/>
  <c r="F208" i="12"/>
  <c r="F209" i="12"/>
  <c r="F210" i="12"/>
  <c r="F211" i="12"/>
  <c r="F212" i="12"/>
  <c r="F213" i="12"/>
  <c r="F214" i="12"/>
  <c r="F215" i="12"/>
  <c r="F216" i="12"/>
  <c r="F217" i="12"/>
  <c r="F218" i="12"/>
  <c r="F219" i="12"/>
  <c r="F220" i="12"/>
  <c r="F221" i="12"/>
  <c r="F222" i="12"/>
  <c r="F223" i="12"/>
  <c r="F224" i="12"/>
  <c r="F225" i="12"/>
  <c r="F226" i="12"/>
  <c r="F227" i="12"/>
  <c r="F228" i="12"/>
  <c r="F229" i="12"/>
  <c r="F230" i="12"/>
  <c r="F231" i="12"/>
  <c r="F232" i="12"/>
  <c r="F233" i="12"/>
  <c r="F234" i="12"/>
  <c r="F235" i="12"/>
  <c r="F236" i="12"/>
  <c r="F237" i="12"/>
  <c r="F238" i="12"/>
  <c r="F239" i="12"/>
  <c r="F240" i="12"/>
  <c r="F241" i="12"/>
  <c r="F242" i="12"/>
  <c r="F243" i="12"/>
  <c r="F244" i="12"/>
  <c r="F245" i="12"/>
  <c r="F246" i="12"/>
  <c r="F247" i="12"/>
  <c r="F248" i="12"/>
  <c r="F249" i="12"/>
  <c r="F250" i="12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61" i="11"/>
  <c r="F62" i="11"/>
  <c r="F63" i="11"/>
  <c r="F64" i="11"/>
  <c r="F65" i="11"/>
  <c r="F66" i="11"/>
  <c r="F67" i="11"/>
  <c r="F68" i="11"/>
  <c r="F69" i="11"/>
  <c r="F70" i="11"/>
  <c r="F71" i="11"/>
  <c r="F72" i="11"/>
  <c r="F73" i="11"/>
  <c r="F74" i="11"/>
  <c r="F75" i="11"/>
  <c r="F76" i="11"/>
  <c r="F77" i="11"/>
  <c r="F78" i="11"/>
  <c r="F79" i="11"/>
  <c r="F80" i="11"/>
  <c r="F81" i="11"/>
  <c r="F82" i="11"/>
  <c r="F83" i="11"/>
  <c r="F84" i="11"/>
  <c r="F85" i="11"/>
  <c r="F86" i="11"/>
  <c r="F87" i="11"/>
  <c r="F88" i="11"/>
  <c r="F89" i="11"/>
  <c r="F90" i="11"/>
  <c r="F91" i="11"/>
  <c r="F92" i="11"/>
  <c r="F93" i="11"/>
  <c r="F94" i="11"/>
  <c r="F95" i="11"/>
  <c r="F96" i="11"/>
  <c r="F97" i="11"/>
  <c r="F98" i="11"/>
  <c r="F99" i="11"/>
  <c r="F100" i="11"/>
  <c r="F101" i="11"/>
  <c r="F102" i="11"/>
  <c r="F103" i="11"/>
  <c r="F104" i="11"/>
  <c r="F105" i="11"/>
  <c r="F106" i="11"/>
  <c r="F107" i="11"/>
  <c r="F108" i="11"/>
  <c r="F109" i="11"/>
  <c r="F110" i="11"/>
  <c r="F111" i="11"/>
  <c r="F112" i="11"/>
  <c r="F113" i="11"/>
  <c r="F114" i="11"/>
  <c r="F115" i="11"/>
  <c r="F116" i="11"/>
  <c r="F117" i="11"/>
  <c r="F118" i="11"/>
  <c r="F119" i="11"/>
  <c r="F120" i="11"/>
  <c r="F121" i="11"/>
  <c r="F122" i="11"/>
  <c r="F123" i="11"/>
  <c r="F124" i="11"/>
  <c r="F125" i="11"/>
  <c r="F126" i="11"/>
  <c r="F127" i="11"/>
  <c r="F128" i="11"/>
  <c r="F129" i="11"/>
  <c r="F130" i="11"/>
  <c r="F131" i="11"/>
  <c r="F132" i="11"/>
  <c r="F133" i="11"/>
  <c r="F134" i="11"/>
  <c r="F135" i="11"/>
  <c r="F136" i="11"/>
  <c r="F137" i="11"/>
  <c r="F138" i="11"/>
  <c r="F139" i="11"/>
  <c r="F140" i="11"/>
  <c r="F141" i="11"/>
  <c r="F142" i="11"/>
  <c r="F143" i="11"/>
  <c r="F144" i="11"/>
  <c r="F145" i="11"/>
  <c r="F146" i="11"/>
  <c r="F147" i="11"/>
  <c r="F148" i="11"/>
  <c r="F149" i="11"/>
  <c r="F150" i="11"/>
  <c r="F151" i="11"/>
  <c r="F152" i="11"/>
  <c r="F153" i="11"/>
  <c r="F154" i="11"/>
  <c r="F155" i="11"/>
  <c r="F156" i="11"/>
  <c r="F157" i="11"/>
  <c r="F158" i="11"/>
  <c r="F159" i="11"/>
  <c r="F160" i="11"/>
  <c r="F161" i="11"/>
  <c r="F162" i="11"/>
  <c r="F163" i="11"/>
  <c r="F164" i="11"/>
  <c r="F165" i="11"/>
  <c r="F166" i="11"/>
  <c r="F167" i="11"/>
  <c r="F168" i="11"/>
  <c r="F169" i="11"/>
  <c r="F170" i="11"/>
  <c r="F171" i="11"/>
  <c r="F172" i="11"/>
  <c r="F173" i="11"/>
  <c r="F174" i="11"/>
  <c r="F175" i="11"/>
  <c r="F176" i="11"/>
  <c r="F177" i="11"/>
  <c r="F178" i="11"/>
  <c r="F179" i="11"/>
  <c r="F180" i="11"/>
  <c r="F181" i="11"/>
  <c r="F182" i="11"/>
  <c r="F183" i="11"/>
  <c r="F184" i="11"/>
  <c r="F185" i="11"/>
  <c r="F186" i="11"/>
  <c r="F187" i="11"/>
  <c r="F188" i="11"/>
  <c r="F189" i="11"/>
  <c r="F190" i="11"/>
  <c r="F191" i="11"/>
  <c r="F192" i="11"/>
  <c r="F193" i="11"/>
  <c r="F194" i="11"/>
  <c r="F195" i="11"/>
  <c r="F196" i="11"/>
  <c r="F197" i="11"/>
  <c r="F198" i="11"/>
  <c r="F199" i="11"/>
  <c r="F200" i="11"/>
  <c r="F201" i="11"/>
  <c r="F202" i="11"/>
  <c r="F203" i="11"/>
  <c r="F204" i="11"/>
  <c r="F205" i="11"/>
  <c r="F206" i="11"/>
  <c r="F207" i="11"/>
  <c r="F208" i="11"/>
  <c r="F209" i="11"/>
  <c r="F210" i="11"/>
  <c r="F211" i="11"/>
  <c r="F212" i="11"/>
  <c r="F213" i="11"/>
  <c r="F214" i="11"/>
  <c r="F215" i="11"/>
  <c r="F216" i="11"/>
  <c r="F217" i="11"/>
  <c r="F218" i="11"/>
  <c r="F219" i="11"/>
  <c r="F220" i="11"/>
  <c r="F221" i="11"/>
  <c r="F222" i="11"/>
  <c r="F223" i="11"/>
  <c r="F224" i="11"/>
  <c r="F225" i="11"/>
  <c r="F226" i="11"/>
  <c r="F227" i="11"/>
  <c r="F228" i="11"/>
  <c r="F229" i="11"/>
  <c r="F230" i="11"/>
  <c r="F231" i="11"/>
  <c r="F232" i="11"/>
  <c r="F233" i="11"/>
  <c r="F234" i="11"/>
  <c r="F235" i="11"/>
  <c r="F236" i="11"/>
  <c r="F237" i="11"/>
  <c r="F238" i="11"/>
  <c r="F239" i="11"/>
  <c r="F240" i="11"/>
  <c r="F241" i="11"/>
  <c r="F242" i="11"/>
  <c r="F243" i="11"/>
  <c r="F244" i="11"/>
  <c r="F245" i="11"/>
  <c r="F246" i="11"/>
  <c r="F247" i="11"/>
  <c r="F248" i="11"/>
  <c r="F249" i="11"/>
  <c r="F250" i="11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200" i="10"/>
  <c r="F201" i="10"/>
  <c r="F202" i="10"/>
  <c r="F203" i="10"/>
  <c r="F204" i="10"/>
  <c r="F205" i="10"/>
  <c r="F206" i="10"/>
  <c r="F207" i="10"/>
  <c r="F208" i="10"/>
  <c r="F209" i="10"/>
  <c r="F210" i="10"/>
  <c r="F211" i="10"/>
  <c r="F212" i="10"/>
  <c r="F213" i="10"/>
  <c r="F214" i="10"/>
  <c r="F215" i="10"/>
  <c r="F216" i="10"/>
  <c r="F217" i="10"/>
  <c r="F218" i="10"/>
  <c r="F219" i="10"/>
  <c r="F220" i="10"/>
  <c r="F221" i="10"/>
  <c r="F222" i="10"/>
  <c r="F223" i="10"/>
  <c r="F224" i="10"/>
  <c r="F225" i="10"/>
  <c r="F226" i="10"/>
  <c r="F227" i="10"/>
  <c r="F228" i="10"/>
  <c r="F229" i="10"/>
  <c r="F230" i="10"/>
  <c r="F231" i="10"/>
  <c r="F232" i="10"/>
  <c r="F233" i="10"/>
  <c r="F234" i="10"/>
  <c r="F235" i="10"/>
  <c r="F236" i="10"/>
  <c r="F237" i="10"/>
  <c r="F238" i="10"/>
  <c r="F239" i="10"/>
  <c r="F240" i="10"/>
  <c r="F241" i="10"/>
  <c r="F242" i="10"/>
  <c r="F243" i="10"/>
  <c r="F244" i="10"/>
  <c r="F245" i="10"/>
  <c r="F246" i="10"/>
  <c r="F247" i="10"/>
  <c r="F248" i="10"/>
  <c r="F249" i="10"/>
  <c r="F250" i="10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F108" i="9"/>
  <c r="F109" i="9"/>
  <c r="F110" i="9"/>
  <c r="F111" i="9"/>
  <c r="F112" i="9"/>
  <c r="F113" i="9"/>
  <c r="F114" i="9"/>
  <c r="F115" i="9"/>
  <c r="F116" i="9"/>
  <c r="F117" i="9"/>
  <c r="F118" i="9"/>
  <c r="F119" i="9"/>
  <c r="F120" i="9"/>
  <c r="F121" i="9"/>
  <c r="F122" i="9"/>
  <c r="F123" i="9"/>
  <c r="F124" i="9"/>
  <c r="F125" i="9"/>
  <c r="F126" i="9"/>
  <c r="F127" i="9"/>
  <c r="F128" i="9"/>
  <c r="F129" i="9"/>
  <c r="F130" i="9"/>
  <c r="F131" i="9"/>
  <c r="F132" i="9"/>
  <c r="F133" i="9"/>
  <c r="F134" i="9"/>
  <c r="F135" i="9"/>
  <c r="F136" i="9"/>
  <c r="F137" i="9"/>
  <c r="F138" i="9"/>
  <c r="F139" i="9"/>
  <c r="F140" i="9"/>
  <c r="F141" i="9"/>
  <c r="F142" i="9"/>
  <c r="F143" i="9"/>
  <c r="F144" i="9"/>
  <c r="F145" i="9"/>
  <c r="F146" i="9"/>
  <c r="F147" i="9"/>
  <c r="F148" i="9"/>
  <c r="F149" i="9"/>
  <c r="F150" i="9"/>
  <c r="F151" i="9"/>
  <c r="F152" i="9"/>
  <c r="F153" i="9"/>
  <c r="F154" i="9"/>
  <c r="F155" i="9"/>
  <c r="F156" i="9"/>
  <c r="F157" i="9"/>
  <c r="F158" i="9"/>
  <c r="F159" i="9"/>
  <c r="F160" i="9"/>
  <c r="F161" i="9"/>
  <c r="F162" i="9"/>
  <c r="F163" i="9"/>
  <c r="F164" i="9"/>
  <c r="F165" i="9"/>
  <c r="F166" i="9"/>
  <c r="F167" i="9"/>
  <c r="F168" i="9"/>
  <c r="F169" i="9"/>
  <c r="F170" i="9"/>
  <c r="F171" i="9"/>
  <c r="F172" i="9"/>
  <c r="F173" i="9"/>
  <c r="F174" i="9"/>
  <c r="F175" i="9"/>
  <c r="F176" i="9"/>
  <c r="F177" i="9"/>
  <c r="F178" i="9"/>
  <c r="F179" i="9"/>
  <c r="F180" i="9"/>
  <c r="F181" i="9"/>
  <c r="F182" i="9"/>
  <c r="F183" i="9"/>
  <c r="F184" i="9"/>
  <c r="F185" i="9"/>
  <c r="F186" i="9"/>
  <c r="F187" i="9"/>
  <c r="F188" i="9"/>
  <c r="F189" i="9"/>
  <c r="F190" i="9"/>
  <c r="F191" i="9"/>
  <c r="F192" i="9"/>
  <c r="F193" i="9"/>
  <c r="F194" i="9"/>
  <c r="F195" i="9"/>
  <c r="F196" i="9"/>
  <c r="F197" i="9"/>
  <c r="F198" i="9"/>
  <c r="F199" i="9"/>
  <c r="F200" i="9"/>
  <c r="F201" i="9"/>
  <c r="F202" i="9"/>
  <c r="F203" i="9"/>
  <c r="F204" i="9"/>
  <c r="F205" i="9"/>
  <c r="F206" i="9"/>
  <c r="F207" i="9"/>
  <c r="F208" i="9"/>
  <c r="F209" i="9"/>
  <c r="F210" i="9"/>
  <c r="F211" i="9"/>
  <c r="F212" i="9"/>
  <c r="F213" i="9"/>
  <c r="F214" i="9"/>
  <c r="F215" i="9"/>
  <c r="F216" i="9"/>
  <c r="F217" i="9"/>
  <c r="F218" i="9"/>
  <c r="F219" i="9"/>
  <c r="F220" i="9"/>
  <c r="F221" i="9"/>
  <c r="F222" i="9"/>
  <c r="F223" i="9"/>
  <c r="F224" i="9"/>
  <c r="F225" i="9"/>
  <c r="F226" i="9"/>
  <c r="F227" i="9"/>
  <c r="F228" i="9"/>
  <c r="F229" i="9"/>
  <c r="F230" i="9"/>
  <c r="F231" i="9"/>
  <c r="F232" i="9"/>
  <c r="F233" i="9"/>
  <c r="F234" i="9"/>
  <c r="F235" i="9"/>
  <c r="F236" i="9"/>
  <c r="F237" i="9"/>
  <c r="F238" i="9"/>
  <c r="F239" i="9"/>
  <c r="F240" i="9"/>
  <c r="F241" i="9"/>
  <c r="F242" i="9"/>
  <c r="F243" i="9"/>
  <c r="F244" i="9"/>
  <c r="F245" i="9"/>
  <c r="F246" i="9"/>
  <c r="F247" i="9"/>
  <c r="F248" i="9"/>
  <c r="F249" i="9"/>
  <c r="F250" i="9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5" i="3"/>
  <c r="F3" i="3"/>
  <c r="F6" i="3"/>
  <c r="F7" i="3"/>
  <c r="F8" i="3"/>
  <c r="F9" i="3"/>
  <c r="F10" i="3"/>
  <c r="D7" i="12"/>
  <c r="E7" i="12"/>
  <c r="D8" i="12"/>
  <c r="E8" i="12"/>
  <c r="D9" i="12"/>
  <c r="E9" i="12"/>
  <c r="D10" i="12"/>
  <c r="E10" i="12"/>
  <c r="D11" i="12"/>
  <c r="E11" i="12"/>
  <c r="D12" i="12"/>
  <c r="E12" i="12"/>
  <c r="D4" i="11"/>
  <c r="E4" i="11"/>
  <c r="D5" i="11"/>
  <c r="E5" i="11"/>
  <c r="D6" i="11"/>
  <c r="E6" i="11"/>
  <c r="D7" i="11"/>
  <c r="E7" i="11"/>
  <c r="D8" i="11"/>
  <c r="E8" i="11"/>
  <c r="D9" i="11"/>
  <c r="E9" i="11"/>
  <c r="D10" i="11"/>
  <c r="E10" i="11"/>
  <c r="D11" i="11"/>
  <c r="E11" i="11"/>
  <c r="D12" i="11"/>
  <c r="E12" i="11"/>
  <c r="D13" i="11"/>
  <c r="E13" i="11"/>
  <c r="D14" i="11"/>
  <c r="E14" i="11"/>
  <c r="E7" i="10"/>
  <c r="E8" i="10"/>
  <c r="D9" i="10"/>
  <c r="E9" i="10"/>
  <c r="D10" i="10"/>
  <c r="E10" i="10"/>
  <c r="D11" i="10"/>
  <c r="E11" i="10"/>
  <c r="D4" i="9"/>
  <c r="E4" i="9"/>
  <c r="D5" i="9"/>
  <c r="E5" i="9"/>
  <c r="D6" i="9"/>
  <c r="E6" i="9"/>
  <c r="D7" i="9"/>
  <c r="E7" i="9"/>
  <c r="D8" i="9"/>
  <c r="E8" i="9"/>
  <c r="D9" i="9"/>
  <c r="E9" i="9"/>
  <c r="D10" i="9"/>
  <c r="E10" i="9"/>
  <c r="D11" i="9"/>
  <c r="E11" i="9"/>
  <c r="D12" i="9"/>
  <c r="E12" i="9"/>
  <c r="D13" i="9"/>
  <c r="E13" i="9"/>
  <c r="D14" i="9"/>
  <c r="E14" i="9"/>
  <c r="D15" i="9"/>
  <c r="E15" i="9"/>
  <c r="E3" i="3"/>
  <c r="E6" i="3"/>
  <c r="E7" i="3"/>
  <c r="E8" i="3"/>
  <c r="E9" i="3"/>
  <c r="E10" i="3"/>
  <c r="E11" i="3"/>
  <c r="E5" i="3"/>
  <c r="D5" i="3"/>
  <c r="D3" i="3"/>
  <c r="D6" i="3"/>
  <c r="D7" i="3"/>
  <c r="D8" i="3"/>
  <c r="D9" i="3"/>
  <c r="D10" i="3"/>
  <c r="F3" i="9"/>
  <c r="E3" i="9"/>
  <c r="D3" i="9"/>
  <c r="F3" i="11"/>
  <c r="K250" i="12" a="1"/>
  <c r="K250" i="12" s="1"/>
  <c r="E250" i="12"/>
  <c r="D250" i="12"/>
  <c r="K249" i="12" a="1"/>
  <c r="K249" i="12" s="1"/>
  <c r="E249" i="12"/>
  <c r="D249" i="12"/>
  <c r="K248" i="12" a="1"/>
  <c r="K248" i="12" s="1"/>
  <c r="E248" i="12"/>
  <c r="D248" i="12"/>
  <c r="K247" i="12" a="1"/>
  <c r="K247" i="12" s="1"/>
  <c r="E247" i="12"/>
  <c r="D247" i="12"/>
  <c r="K246" i="12" a="1"/>
  <c r="K246" i="12" s="1"/>
  <c r="E246" i="12"/>
  <c r="D246" i="12"/>
  <c r="K245" i="12" a="1"/>
  <c r="K245" i="12" s="1"/>
  <c r="E245" i="12"/>
  <c r="D245" i="12"/>
  <c r="K244" i="12" a="1"/>
  <c r="K244" i="12" s="1"/>
  <c r="E244" i="12"/>
  <c r="D244" i="12"/>
  <c r="K243" i="12" a="1"/>
  <c r="K243" i="12" s="1"/>
  <c r="E243" i="12"/>
  <c r="D243" i="12"/>
  <c r="K242" i="12" a="1"/>
  <c r="K242" i="12" s="1"/>
  <c r="E242" i="12"/>
  <c r="D242" i="12"/>
  <c r="K241" i="12" a="1"/>
  <c r="K241" i="12" s="1"/>
  <c r="E241" i="12"/>
  <c r="D241" i="12"/>
  <c r="K240" i="12" a="1"/>
  <c r="K240" i="12" s="1"/>
  <c r="E240" i="12"/>
  <c r="D240" i="12"/>
  <c r="K239" i="12" a="1"/>
  <c r="K239" i="12" s="1"/>
  <c r="E239" i="12"/>
  <c r="D239" i="12"/>
  <c r="K238" i="12" a="1"/>
  <c r="K238" i="12" s="1"/>
  <c r="E238" i="12"/>
  <c r="D238" i="12"/>
  <c r="K237" i="12" a="1"/>
  <c r="K237" i="12" s="1"/>
  <c r="E237" i="12"/>
  <c r="D237" i="12"/>
  <c r="K236" i="12" a="1"/>
  <c r="K236" i="12" s="1"/>
  <c r="E236" i="12"/>
  <c r="D236" i="12"/>
  <c r="K235" i="12" a="1"/>
  <c r="K235" i="12" s="1"/>
  <c r="E235" i="12"/>
  <c r="D235" i="12"/>
  <c r="K234" i="12" a="1"/>
  <c r="K234" i="12" s="1"/>
  <c r="E234" i="12"/>
  <c r="D234" i="12"/>
  <c r="K233" i="12" a="1"/>
  <c r="K233" i="12" s="1"/>
  <c r="E233" i="12"/>
  <c r="D233" i="12"/>
  <c r="K232" i="12" a="1"/>
  <c r="K232" i="12" s="1"/>
  <c r="E232" i="12"/>
  <c r="D232" i="12"/>
  <c r="K231" i="12" a="1"/>
  <c r="K231" i="12" s="1"/>
  <c r="E231" i="12"/>
  <c r="D231" i="12"/>
  <c r="K230" i="12" a="1"/>
  <c r="K230" i="12" s="1"/>
  <c r="E230" i="12"/>
  <c r="D230" i="12"/>
  <c r="K229" i="12" a="1"/>
  <c r="K229" i="12" s="1"/>
  <c r="E229" i="12"/>
  <c r="D229" i="12"/>
  <c r="K228" i="12" a="1"/>
  <c r="K228" i="12" s="1"/>
  <c r="E228" i="12"/>
  <c r="D228" i="12"/>
  <c r="K227" i="12" a="1"/>
  <c r="K227" i="12" s="1"/>
  <c r="E227" i="12"/>
  <c r="D227" i="12"/>
  <c r="K226" i="12" a="1"/>
  <c r="K226" i="12" s="1"/>
  <c r="E226" i="12"/>
  <c r="D226" i="12"/>
  <c r="K225" i="12" a="1"/>
  <c r="K225" i="12" s="1"/>
  <c r="E225" i="12"/>
  <c r="D225" i="12"/>
  <c r="K224" i="12" a="1"/>
  <c r="K224" i="12" s="1"/>
  <c r="E224" i="12"/>
  <c r="D224" i="12"/>
  <c r="K223" i="12" a="1"/>
  <c r="K223" i="12" s="1"/>
  <c r="E223" i="12"/>
  <c r="D223" i="12"/>
  <c r="K222" i="12" a="1"/>
  <c r="K222" i="12" s="1"/>
  <c r="E222" i="12"/>
  <c r="D222" i="12"/>
  <c r="K221" i="12" a="1"/>
  <c r="K221" i="12" s="1"/>
  <c r="E221" i="12"/>
  <c r="D221" i="12"/>
  <c r="K220" i="12" a="1"/>
  <c r="K220" i="12" s="1"/>
  <c r="E220" i="12"/>
  <c r="D220" i="12"/>
  <c r="K219" i="12" a="1"/>
  <c r="K219" i="12" s="1"/>
  <c r="E219" i="12"/>
  <c r="D219" i="12"/>
  <c r="K218" i="12" a="1"/>
  <c r="K218" i="12" s="1"/>
  <c r="E218" i="12"/>
  <c r="D218" i="12"/>
  <c r="K217" i="12" a="1"/>
  <c r="K217" i="12" s="1"/>
  <c r="E217" i="12"/>
  <c r="D217" i="12"/>
  <c r="K216" i="12" a="1"/>
  <c r="K216" i="12" s="1"/>
  <c r="E216" i="12"/>
  <c r="D216" i="12"/>
  <c r="K215" i="12" a="1"/>
  <c r="K215" i="12" s="1"/>
  <c r="E215" i="12"/>
  <c r="D215" i="12"/>
  <c r="K214" i="12" a="1"/>
  <c r="K214" i="12" s="1"/>
  <c r="E214" i="12"/>
  <c r="D214" i="12"/>
  <c r="K213" i="12" a="1"/>
  <c r="K213" i="12" s="1"/>
  <c r="E213" i="12"/>
  <c r="D213" i="12"/>
  <c r="K212" i="12" a="1"/>
  <c r="K212" i="12" s="1"/>
  <c r="E212" i="12"/>
  <c r="D212" i="12"/>
  <c r="K211" i="12" a="1"/>
  <c r="K211" i="12" s="1"/>
  <c r="E211" i="12"/>
  <c r="D211" i="12"/>
  <c r="K210" i="12" a="1"/>
  <c r="K210" i="12" s="1"/>
  <c r="E210" i="12"/>
  <c r="D210" i="12"/>
  <c r="K209" i="12" a="1"/>
  <c r="K209" i="12" s="1"/>
  <c r="E209" i="12"/>
  <c r="D209" i="12"/>
  <c r="K208" i="12" a="1"/>
  <c r="K208" i="12" s="1"/>
  <c r="E208" i="12"/>
  <c r="D208" i="12"/>
  <c r="K207" i="12" a="1"/>
  <c r="K207" i="12" s="1"/>
  <c r="E207" i="12"/>
  <c r="D207" i="12"/>
  <c r="K206" i="12" a="1"/>
  <c r="K206" i="12" s="1"/>
  <c r="E206" i="12"/>
  <c r="D206" i="12"/>
  <c r="K205" i="12" a="1"/>
  <c r="K205" i="12" s="1"/>
  <c r="E205" i="12"/>
  <c r="D205" i="12"/>
  <c r="K204" i="12" a="1"/>
  <c r="K204" i="12" s="1"/>
  <c r="E204" i="12"/>
  <c r="D204" i="12"/>
  <c r="K203" i="12" a="1"/>
  <c r="K203" i="12" s="1"/>
  <c r="E203" i="12"/>
  <c r="D203" i="12"/>
  <c r="K202" i="12" a="1"/>
  <c r="K202" i="12" s="1"/>
  <c r="E202" i="12"/>
  <c r="D202" i="12"/>
  <c r="K201" i="12" a="1"/>
  <c r="K201" i="12" s="1"/>
  <c r="E201" i="12"/>
  <c r="D201" i="12"/>
  <c r="K200" i="12" a="1"/>
  <c r="K200" i="12" s="1"/>
  <c r="E200" i="12"/>
  <c r="D200" i="12"/>
  <c r="K199" i="12" a="1"/>
  <c r="K199" i="12" s="1"/>
  <c r="E199" i="12"/>
  <c r="D199" i="12"/>
  <c r="K198" i="12" a="1"/>
  <c r="K198" i="12" s="1"/>
  <c r="E198" i="12"/>
  <c r="D198" i="12"/>
  <c r="K197" i="12" a="1"/>
  <c r="K197" i="12" s="1"/>
  <c r="E197" i="12"/>
  <c r="D197" i="12"/>
  <c r="K196" i="12" a="1"/>
  <c r="K196" i="12" s="1"/>
  <c r="E196" i="12"/>
  <c r="D196" i="12"/>
  <c r="K195" i="12" a="1"/>
  <c r="K195" i="12" s="1"/>
  <c r="E195" i="12"/>
  <c r="D195" i="12"/>
  <c r="K194" i="12" a="1"/>
  <c r="K194" i="12" s="1"/>
  <c r="E194" i="12"/>
  <c r="D194" i="12"/>
  <c r="K193" i="12" a="1"/>
  <c r="K193" i="12" s="1"/>
  <c r="E193" i="12"/>
  <c r="D193" i="12"/>
  <c r="K192" i="12" a="1"/>
  <c r="K192" i="12" s="1"/>
  <c r="E192" i="12"/>
  <c r="D192" i="12"/>
  <c r="K191" i="12" a="1"/>
  <c r="K191" i="12" s="1"/>
  <c r="E191" i="12"/>
  <c r="D191" i="12"/>
  <c r="K190" i="12" a="1"/>
  <c r="K190" i="12" s="1"/>
  <c r="E190" i="12"/>
  <c r="D190" i="12"/>
  <c r="K189" i="12" a="1"/>
  <c r="K189" i="12" s="1"/>
  <c r="E189" i="12"/>
  <c r="D189" i="12"/>
  <c r="K188" i="12" a="1"/>
  <c r="K188" i="12" s="1"/>
  <c r="E188" i="12"/>
  <c r="D188" i="12"/>
  <c r="K187" i="12" a="1"/>
  <c r="K187" i="12" s="1"/>
  <c r="E187" i="12"/>
  <c r="D187" i="12"/>
  <c r="K186" i="12" a="1"/>
  <c r="K186" i="12" s="1"/>
  <c r="E186" i="12"/>
  <c r="D186" i="12"/>
  <c r="K185" i="12" a="1"/>
  <c r="K185" i="12" s="1"/>
  <c r="E185" i="12"/>
  <c r="D185" i="12"/>
  <c r="K184" i="12" a="1"/>
  <c r="K184" i="12" s="1"/>
  <c r="E184" i="12"/>
  <c r="D184" i="12"/>
  <c r="K183" i="12" a="1"/>
  <c r="K183" i="12" s="1"/>
  <c r="E183" i="12"/>
  <c r="D183" i="12"/>
  <c r="K182" i="12" a="1"/>
  <c r="K182" i="12" s="1"/>
  <c r="E182" i="12"/>
  <c r="D182" i="12"/>
  <c r="K181" i="12" a="1"/>
  <c r="K181" i="12" s="1"/>
  <c r="E181" i="12"/>
  <c r="D181" i="12"/>
  <c r="K180" i="12" a="1"/>
  <c r="K180" i="12" s="1"/>
  <c r="E180" i="12"/>
  <c r="D180" i="12"/>
  <c r="K179" i="12" a="1"/>
  <c r="K179" i="12" s="1"/>
  <c r="E179" i="12"/>
  <c r="D179" i="12"/>
  <c r="K178" i="12" a="1"/>
  <c r="K178" i="12" s="1"/>
  <c r="E178" i="12"/>
  <c r="D178" i="12"/>
  <c r="K177" i="12" a="1"/>
  <c r="K177" i="12" s="1"/>
  <c r="E177" i="12"/>
  <c r="D177" i="12"/>
  <c r="K176" i="12" a="1"/>
  <c r="K176" i="12" s="1"/>
  <c r="E176" i="12"/>
  <c r="D176" i="12"/>
  <c r="K175" i="12" a="1"/>
  <c r="K175" i="12" s="1"/>
  <c r="E175" i="12"/>
  <c r="D175" i="12"/>
  <c r="K174" i="12" a="1"/>
  <c r="K174" i="12" s="1"/>
  <c r="E174" i="12"/>
  <c r="D174" i="12"/>
  <c r="K173" i="12" a="1"/>
  <c r="K173" i="12" s="1"/>
  <c r="E173" i="12"/>
  <c r="D173" i="12"/>
  <c r="K172" i="12" a="1"/>
  <c r="K172" i="12" s="1"/>
  <c r="E172" i="12"/>
  <c r="D172" i="12"/>
  <c r="K171" i="12" a="1"/>
  <c r="K171" i="12" s="1"/>
  <c r="E171" i="12"/>
  <c r="D171" i="12"/>
  <c r="K170" i="12" a="1"/>
  <c r="K170" i="12" s="1"/>
  <c r="E170" i="12"/>
  <c r="D170" i="12"/>
  <c r="K169" i="12" a="1"/>
  <c r="K169" i="12" s="1"/>
  <c r="E169" i="12"/>
  <c r="D169" i="12"/>
  <c r="K168" i="12" a="1"/>
  <c r="K168" i="12" s="1"/>
  <c r="E168" i="12"/>
  <c r="D168" i="12"/>
  <c r="K167" i="12" a="1"/>
  <c r="K167" i="12" s="1"/>
  <c r="E167" i="12"/>
  <c r="D167" i="12"/>
  <c r="K166" i="12" a="1"/>
  <c r="K166" i="12" s="1"/>
  <c r="E166" i="12"/>
  <c r="D166" i="12"/>
  <c r="K165" i="12" a="1"/>
  <c r="K165" i="12" s="1"/>
  <c r="E165" i="12"/>
  <c r="D165" i="12"/>
  <c r="K164" i="12" a="1"/>
  <c r="K164" i="12" s="1"/>
  <c r="E164" i="12"/>
  <c r="D164" i="12"/>
  <c r="K163" i="12" a="1"/>
  <c r="K163" i="12" s="1"/>
  <c r="E163" i="12"/>
  <c r="D163" i="12"/>
  <c r="K162" i="12" a="1"/>
  <c r="K162" i="12" s="1"/>
  <c r="E162" i="12"/>
  <c r="D162" i="12"/>
  <c r="K161" i="12" a="1"/>
  <c r="K161" i="12" s="1"/>
  <c r="E161" i="12"/>
  <c r="D161" i="12"/>
  <c r="K160" i="12" a="1"/>
  <c r="K160" i="12" s="1"/>
  <c r="E160" i="12"/>
  <c r="D160" i="12"/>
  <c r="K159" i="12" a="1"/>
  <c r="K159" i="12" s="1"/>
  <c r="E159" i="12"/>
  <c r="D159" i="12"/>
  <c r="K158" i="12" a="1"/>
  <c r="K158" i="12" s="1"/>
  <c r="E158" i="12"/>
  <c r="D158" i="12"/>
  <c r="K157" i="12" a="1"/>
  <c r="K157" i="12" s="1"/>
  <c r="E157" i="12"/>
  <c r="D157" i="12"/>
  <c r="K156" i="12" a="1"/>
  <c r="K156" i="12" s="1"/>
  <c r="E156" i="12"/>
  <c r="D156" i="12"/>
  <c r="K155" i="12" a="1"/>
  <c r="K155" i="12" s="1"/>
  <c r="E155" i="12"/>
  <c r="D155" i="12"/>
  <c r="K154" i="12" a="1"/>
  <c r="K154" i="12" s="1"/>
  <c r="E154" i="12"/>
  <c r="D154" i="12"/>
  <c r="K153" i="12" a="1"/>
  <c r="K153" i="12" s="1"/>
  <c r="E153" i="12"/>
  <c r="D153" i="12"/>
  <c r="K152" i="12" a="1"/>
  <c r="K152" i="12" s="1"/>
  <c r="E152" i="12"/>
  <c r="D152" i="12"/>
  <c r="K151" i="12" a="1"/>
  <c r="K151" i="12" s="1"/>
  <c r="E151" i="12"/>
  <c r="D151" i="12"/>
  <c r="K150" i="12" a="1"/>
  <c r="K150" i="12" s="1"/>
  <c r="E150" i="12"/>
  <c r="D150" i="12"/>
  <c r="K149" i="12" a="1"/>
  <c r="K149" i="12" s="1"/>
  <c r="E149" i="12"/>
  <c r="D149" i="12"/>
  <c r="K148" i="12" a="1"/>
  <c r="K148" i="12" s="1"/>
  <c r="E148" i="12"/>
  <c r="D148" i="12"/>
  <c r="K147" i="12" a="1"/>
  <c r="K147" i="12" s="1"/>
  <c r="E147" i="12"/>
  <c r="D147" i="12"/>
  <c r="K146" i="12" a="1"/>
  <c r="K146" i="12" s="1"/>
  <c r="E146" i="12"/>
  <c r="D146" i="12"/>
  <c r="K145" i="12" a="1"/>
  <c r="K145" i="12" s="1"/>
  <c r="E145" i="12"/>
  <c r="D145" i="12"/>
  <c r="K144" i="12" a="1"/>
  <c r="K144" i="12" s="1"/>
  <c r="E144" i="12"/>
  <c r="D144" i="12"/>
  <c r="K143" i="12" a="1"/>
  <c r="K143" i="12" s="1"/>
  <c r="E143" i="12"/>
  <c r="D143" i="12"/>
  <c r="K142" i="12" a="1"/>
  <c r="K142" i="12" s="1"/>
  <c r="E142" i="12"/>
  <c r="D142" i="12"/>
  <c r="K141" i="12" a="1"/>
  <c r="K141" i="12" s="1"/>
  <c r="E141" i="12"/>
  <c r="D141" i="12"/>
  <c r="K140" i="12" a="1"/>
  <c r="K140" i="12" s="1"/>
  <c r="E140" i="12"/>
  <c r="D140" i="12"/>
  <c r="K139" i="12" a="1"/>
  <c r="K139" i="12" s="1"/>
  <c r="E139" i="12"/>
  <c r="D139" i="12"/>
  <c r="K138" i="12" a="1"/>
  <c r="K138" i="12" s="1"/>
  <c r="E138" i="12"/>
  <c r="D138" i="12"/>
  <c r="K137" i="12" a="1"/>
  <c r="K137" i="12" s="1"/>
  <c r="E137" i="12"/>
  <c r="D137" i="12"/>
  <c r="K136" i="12" a="1"/>
  <c r="K136" i="12" s="1"/>
  <c r="E136" i="12"/>
  <c r="D136" i="12"/>
  <c r="K135" i="12" a="1"/>
  <c r="K135" i="12" s="1"/>
  <c r="E135" i="12"/>
  <c r="D135" i="12"/>
  <c r="K134" i="12" a="1"/>
  <c r="K134" i="12" s="1"/>
  <c r="E134" i="12"/>
  <c r="D134" i="12"/>
  <c r="K133" i="12" a="1"/>
  <c r="K133" i="12" s="1"/>
  <c r="E133" i="12"/>
  <c r="D133" i="12"/>
  <c r="K132" i="12" a="1"/>
  <c r="K132" i="12" s="1"/>
  <c r="E132" i="12"/>
  <c r="D132" i="12"/>
  <c r="K131" i="12" a="1"/>
  <c r="K131" i="12" s="1"/>
  <c r="E131" i="12"/>
  <c r="D131" i="12"/>
  <c r="K130" i="12" a="1"/>
  <c r="K130" i="12" s="1"/>
  <c r="E130" i="12"/>
  <c r="D130" i="12"/>
  <c r="K129" i="12" a="1"/>
  <c r="K129" i="12" s="1"/>
  <c r="E129" i="12"/>
  <c r="D129" i="12"/>
  <c r="K128" i="12" a="1"/>
  <c r="K128" i="12" s="1"/>
  <c r="E128" i="12"/>
  <c r="D128" i="12"/>
  <c r="K127" i="12" a="1"/>
  <c r="K127" i="12" s="1"/>
  <c r="E127" i="12"/>
  <c r="D127" i="12"/>
  <c r="K126" i="12" a="1"/>
  <c r="K126" i="12" s="1"/>
  <c r="E126" i="12"/>
  <c r="D126" i="12"/>
  <c r="K125" i="12" a="1"/>
  <c r="K125" i="12" s="1"/>
  <c r="E125" i="12"/>
  <c r="D125" i="12"/>
  <c r="K124" i="12" a="1"/>
  <c r="K124" i="12" s="1"/>
  <c r="E124" i="12"/>
  <c r="D124" i="12"/>
  <c r="K123" i="12" a="1"/>
  <c r="K123" i="12" s="1"/>
  <c r="E123" i="12"/>
  <c r="D123" i="12"/>
  <c r="K122" i="12" a="1"/>
  <c r="K122" i="12" s="1"/>
  <c r="E122" i="12"/>
  <c r="D122" i="12"/>
  <c r="K121" i="12" a="1"/>
  <c r="K121" i="12" s="1"/>
  <c r="E121" i="12"/>
  <c r="D121" i="12"/>
  <c r="K120" i="12" a="1"/>
  <c r="K120" i="12" s="1"/>
  <c r="E120" i="12"/>
  <c r="D120" i="12"/>
  <c r="K119" i="12" a="1"/>
  <c r="K119" i="12" s="1"/>
  <c r="E119" i="12"/>
  <c r="D119" i="12"/>
  <c r="K118" i="12" a="1"/>
  <c r="K118" i="12" s="1"/>
  <c r="E118" i="12"/>
  <c r="D118" i="12"/>
  <c r="K117" i="12" a="1"/>
  <c r="K117" i="12" s="1"/>
  <c r="E117" i="12"/>
  <c r="D117" i="12"/>
  <c r="K116" i="12" a="1"/>
  <c r="K116" i="12" s="1"/>
  <c r="E116" i="12"/>
  <c r="D116" i="12"/>
  <c r="K115" i="12" a="1"/>
  <c r="K115" i="12" s="1"/>
  <c r="E115" i="12"/>
  <c r="D115" i="12"/>
  <c r="K114" i="12" a="1"/>
  <c r="K114" i="12" s="1"/>
  <c r="E114" i="12"/>
  <c r="D114" i="12"/>
  <c r="K113" i="12" a="1"/>
  <c r="K113" i="12" s="1"/>
  <c r="E113" i="12"/>
  <c r="D113" i="12"/>
  <c r="K112" i="12" a="1"/>
  <c r="K112" i="12" s="1"/>
  <c r="E112" i="12"/>
  <c r="D112" i="12"/>
  <c r="K111" i="12" a="1"/>
  <c r="K111" i="12" s="1"/>
  <c r="E111" i="12"/>
  <c r="D111" i="12"/>
  <c r="K110" i="12" a="1"/>
  <c r="K110" i="12" s="1"/>
  <c r="E110" i="12"/>
  <c r="D110" i="12"/>
  <c r="K109" i="12" a="1"/>
  <c r="K109" i="12" s="1"/>
  <c r="E109" i="12"/>
  <c r="D109" i="12"/>
  <c r="K108" i="12" a="1"/>
  <c r="K108" i="12" s="1"/>
  <c r="E108" i="12"/>
  <c r="D108" i="12"/>
  <c r="K107" i="12" a="1"/>
  <c r="K107" i="12" s="1"/>
  <c r="E107" i="12"/>
  <c r="D107" i="12"/>
  <c r="K106" i="12" a="1"/>
  <c r="K106" i="12" s="1"/>
  <c r="E106" i="12"/>
  <c r="D106" i="12"/>
  <c r="K105" i="12" a="1"/>
  <c r="K105" i="12" s="1"/>
  <c r="E105" i="12"/>
  <c r="D105" i="12"/>
  <c r="K104" i="12" a="1"/>
  <c r="K104" i="12" s="1"/>
  <c r="E104" i="12"/>
  <c r="D104" i="12"/>
  <c r="K103" i="12" a="1"/>
  <c r="K103" i="12" s="1"/>
  <c r="E103" i="12"/>
  <c r="D103" i="12"/>
  <c r="K102" i="12" a="1"/>
  <c r="K102" i="12" s="1"/>
  <c r="E102" i="12"/>
  <c r="D102" i="12"/>
  <c r="K101" i="12" a="1"/>
  <c r="K101" i="12" s="1"/>
  <c r="E101" i="12"/>
  <c r="D101" i="12"/>
  <c r="K100" i="12" a="1"/>
  <c r="K100" i="12" s="1"/>
  <c r="E100" i="12"/>
  <c r="D100" i="12"/>
  <c r="K99" i="12" a="1"/>
  <c r="K99" i="12" s="1"/>
  <c r="E99" i="12"/>
  <c r="D99" i="12"/>
  <c r="K98" i="12" a="1"/>
  <c r="K98" i="12" s="1"/>
  <c r="E98" i="12"/>
  <c r="D98" i="12"/>
  <c r="K97" i="12" a="1"/>
  <c r="K97" i="12" s="1"/>
  <c r="E97" i="12"/>
  <c r="D97" i="12"/>
  <c r="K96" i="12" a="1"/>
  <c r="K96" i="12" s="1"/>
  <c r="E96" i="12"/>
  <c r="D96" i="12"/>
  <c r="K95" i="12" a="1"/>
  <c r="K95" i="12" s="1"/>
  <c r="E95" i="12"/>
  <c r="D95" i="12"/>
  <c r="K94" i="12" a="1"/>
  <c r="K94" i="12" s="1"/>
  <c r="E94" i="12"/>
  <c r="D94" i="12"/>
  <c r="K93" i="12" a="1"/>
  <c r="K93" i="12" s="1"/>
  <c r="E93" i="12"/>
  <c r="D93" i="12"/>
  <c r="K92" i="12" a="1"/>
  <c r="K92" i="12" s="1"/>
  <c r="E92" i="12"/>
  <c r="D92" i="12"/>
  <c r="K91" i="12" a="1"/>
  <c r="K91" i="12" s="1"/>
  <c r="E91" i="12"/>
  <c r="D91" i="12"/>
  <c r="K90" i="12" a="1"/>
  <c r="K90" i="12" s="1"/>
  <c r="E90" i="12"/>
  <c r="D90" i="12"/>
  <c r="K89" i="12" a="1"/>
  <c r="K89" i="12" s="1"/>
  <c r="E89" i="12"/>
  <c r="D89" i="12"/>
  <c r="K88" i="12" a="1"/>
  <c r="K88" i="12" s="1"/>
  <c r="E88" i="12"/>
  <c r="D88" i="12"/>
  <c r="K87" i="12" a="1"/>
  <c r="K87" i="12" s="1"/>
  <c r="E87" i="12"/>
  <c r="D87" i="12"/>
  <c r="K86" i="12" a="1"/>
  <c r="K86" i="12" s="1"/>
  <c r="E86" i="12"/>
  <c r="D86" i="12"/>
  <c r="K85" i="12" a="1"/>
  <c r="K85" i="12" s="1"/>
  <c r="E85" i="12"/>
  <c r="D85" i="12"/>
  <c r="K84" i="12" a="1"/>
  <c r="K84" i="12" s="1"/>
  <c r="E84" i="12"/>
  <c r="D84" i="12"/>
  <c r="K83" i="12" a="1"/>
  <c r="K83" i="12" s="1"/>
  <c r="E83" i="12"/>
  <c r="D83" i="12"/>
  <c r="K82" i="12" a="1"/>
  <c r="K82" i="12" s="1"/>
  <c r="E82" i="12"/>
  <c r="D82" i="12"/>
  <c r="K81" i="12" a="1"/>
  <c r="K81" i="12" s="1"/>
  <c r="E81" i="12"/>
  <c r="D81" i="12"/>
  <c r="K80" i="12" a="1"/>
  <c r="K80" i="12" s="1"/>
  <c r="E80" i="12"/>
  <c r="D80" i="12"/>
  <c r="K79" i="12" a="1"/>
  <c r="K79" i="12" s="1"/>
  <c r="E79" i="12"/>
  <c r="D79" i="12"/>
  <c r="K78" i="12" a="1"/>
  <c r="K78" i="12" s="1"/>
  <c r="E78" i="12"/>
  <c r="D78" i="12"/>
  <c r="K77" i="12" a="1"/>
  <c r="K77" i="12" s="1"/>
  <c r="E77" i="12"/>
  <c r="D77" i="12"/>
  <c r="K76" i="12" a="1"/>
  <c r="K76" i="12" s="1"/>
  <c r="E76" i="12"/>
  <c r="D76" i="12"/>
  <c r="K75" i="12" a="1"/>
  <c r="K75" i="12" s="1"/>
  <c r="E75" i="12"/>
  <c r="D75" i="12"/>
  <c r="K74" i="12" a="1"/>
  <c r="K74" i="12" s="1"/>
  <c r="E74" i="12"/>
  <c r="D74" i="12"/>
  <c r="K73" i="12" a="1"/>
  <c r="K73" i="12" s="1"/>
  <c r="E73" i="12"/>
  <c r="D73" i="12"/>
  <c r="K72" i="12" a="1"/>
  <c r="K72" i="12" s="1"/>
  <c r="E72" i="12"/>
  <c r="D72" i="12"/>
  <c r="K71" i="12" a="1"/>
  <c r="K71" i="12" s="1"/>
  <c r="E71" i="12"/>
  <c r="D71" i="12"/>
  <c r="K70" i="12" a="1"/>
  <c r="K70" i="12" s="1"/>
  <c r="E70" i="12"/>
  <c r="D70" i="12"/>
  <c r="K69" i="12" a="1"/>
  <c r="K69" i="12" s="1"/>
  <c r="E69" i="12"/>
  <c r="D69" i="12"/>
  <c r="K68" i="12" a="1"/>
  <c r="K68" i="12" s="1"/>
  <c r="E68" i="12"/>
  <c r="D68" i="12"/>
  <c r="K67" i="12" a="1"/>
  <c r="K67" i="12" s="1"/>
  <c r="E67" i="12"/>
  <c r="D67" i="12"/>
  <c r="K66" i="12" a="1"/>
  <c r="K66" i="12" s="1"/>
  <c r="E66" i="12"/>
  <c r="D66" i="12"/>
  <c r="K65" i="12" a="1"/>
  <c r="K65" i="12" s="1"/>
  <c r="E65" i="12"/>
  <c r="D65" i="12"/>
  <c r="K64" i="12" a="1"/>
  <c r="K64" i="12" s="1"/>
  <c r="E64" i="12"/>
  <c r="D64" i="12"/>
  <c r="K63" i="12" a="1"/>
  <c r="K63" i="12" s="1"/>
  <c r="E63" i="12"/>
  <c r="D63" i="12"/>
  <c r="K62" i="12" a="1"/>
  <c r="K62" i="12" s="1"/>
  <c r="E62" i="12"/>
  <c r="D62" i="12"/>
  <c r="K61" i="12" a="1"/>
  <c r="K61" i="12" s="1"/>
  <c r="E61" i="12"/>
  <c r="D61" i="12"/>
  <c r="K60" i="12" a="1"/>
  <c r="K60" i="12" s="1"/>
  <c r="E60" i="12"/>
  <c r="D60" i="12"/>
  <c r="K59" i="12" a="1"/>
  <c r="K59" i="12" s="1"/>
  <c r="E59" i="12"/>
  <c r="D59" i="12"/>
  <c r="K58" i="12" a="1"/>
  <c r="K58" i="12" s="1"/>
  <c r="E58" i="12"/>
  <c r="D58" i="12"/>
  <c r="K57" i="12" a="1"/>
  <c r="K57" i="12" s="1"/>
  <c r="E57" i="12"/>
  <c r="D57" i="12"/>
  <c r="K56" i="12" a="1"/>
  <c r="K56" i="12" s="1"/>
  <c r="E56" i="12"/>
  <c r="D56" i="12"/>
  <c r="K55" i="12" a="1"/>
  <c r="K55" i="12" s="1"/>
  <c r="E55" i="12"/>
  <c r="D55" i="12"/>
  <c r="K54" i="12" a="1"/>
  <c r="K54" i="12" s="1"/>
  <c r="E54" i="12"/>
  <c r="D54" i="12"/>
  <c r="K53" i="12" a="1"/>
  <c r="K53" i="12" s="1"/>
  <c r="E53" i="12"/>
  <c r="D53" i="12"/>
  <c r="K52" i="12" a="1"/>
  <c r="K52" i="12" s="1"/>
  <c r="E52" i="12"/>
  <c r="D52" i="12"/>
  <c r="K51" i="12" a="1"/>
  <c r="K51" i="12" s="1"/>
  <c r="E51" i="12"/>
  <c r="D51" i="12"/>
  <c r="K50" i="12" a="1"/>
  <c r="K50" i="12" s="1"/>
  <c r="E50" i="12"/>
  <c r="D50" i="12"/>
  <c r="K49" i="12" a="1"/>
  <c r="K49" i="12" s="1"/>
  <c r="E49" i="12"/>
  <c r="D49" i="12"/>
  <c r="K48" i="12" a="1"/>
  <c r="K48" i="12" s="1"/>
  <c r="E48" i="12"/>
  <c r="D48" i="12"/>
  <c r="K47" i="12" a="1"/>
  <c r="K47" i="12" s="1"/>
  <c r="E47" i="12"/>
  <c r="D47" i="12"/>
  <c r="K46" i="12" a="1"/>
  <c r="K46" i="12" s="1"/>
  <c r="E46" i="12"/>
  <c r="D46" i="12"/>
  <c r="K45" i="12" a="1"/>
  <c r="K45" i="12" s="1"/>
  <c r="E45" i="12"/>
  <c r="D45" i="12"/>
  <c r="K44" i="12" a="1"/>
  <c r="K44" i="12" s="1"/>
  <c r="E44" i="12"/>
  <c r="D44" i="12"/>
  <c r="K43" i="12" a="1"/>
  <c r="K43" i="12" s="1"/>
  <c r="E43" i="12"/>
  <c r="D43" i="12"/>
  <c r="K42" i="12" a="1"/>
  <c r="K42" i="12" s="1"/>
  <c r="E42" i="12"/>
  <c r="D42" i="12"/>
  <c r="K41" i="12" a="1"/>
  <c r="K41" i="12" s="1"/>
  <c r="E41" i="12"/>
  <c r="D41" i="12"/>
  <c r="K40" i="12" a="1"/>
  <c r="K40" i="12" s="1"/>
  <c r="E40" i="12"/>
  <c r="D40" i="12"/>
  <c r="K39" i="12" a="1"/>
  <c r="K39" i="12" s="1"/>
  <c r="E39" i="12"/>
  <c r="D39" i="12"/>
  <c r="K38" i="12" a="1"/>
  <c r="K38" i="12" s="1"/>
  <c r="E38" i="12"/>
  <c r="D38" i="12"/>
  <c r="K37" i="12" a="1"/>
  <c r="K37" i="12" s="1"/>
  <c r="E37" i="12"/>
  <c r="D37" i="12"/>
  <c r="K36" i="12" a="1"/>
  <c r="K36" i="12" s="1"/>
  <c r="E36" i="12"/>
  <c r="D36" i="12"/>
  <c r="K35" i="12" a="1"/>
  <c r="K35" i="12" s="1"/>
  <c r="E35" i="12"/>
  <c r="D35" i="12"/>
  <c r="K34" i="12" a="1"/>
  <c r="K34" i="12" s="1"/>
  <c r="E34" i="12"/>
  <c r="D34" i="12"/>
  <c r="K33" i="12" a="1"/>
  <c r="K33" i="12" s="1"/>
  <c r="E33" i="12"/>
  <c r="D33" i="12"/>
  <c r="K32" i="12" a="1"/>
  <c r="K32" i="12" s="1"/>
  <c r="E32" i="12"/>
  <c r="D32" i="12"/>
  <c r="K31" i="12" a="1"/>
  <c r="K31" i="12" s="1"/>
  <c r="E31" i="12"/>
  <c r="D31" i="12"/>
  <c r="K30" i="12" a="1"/>
  <c r="K30" i="12" s="1"/>
  <c r="E30" i="12"/>
  <c r="D30" i="12"/>
  <c r="K29" i="12" a="1"/>
  <c r="K29" i="12" s="1"/>
  <c r="E29" i="12"/>
  <c r="D29" i="12"/>
  <c r="K28" i="12" a="1"/>
  <c r="K28" i="12" s="1"/>
  <c r="E28" i="12"/>
  <c r="D28" i="12"/>
  <c r="K27" i="12" a="1"/>
  <c r="K27" i="12" s="1"/>
  <c r="E27" i="12"/>
  <c r="D27" i="12"/>
  <c r="K26" i="12" a="1"/>
  <c r="K26" i="12" s="1"/>
  <c r="E26" i="12"/>
  <c r="D26" i="12"/>
  <c r="K25" i="12" a="1"/>
  <c r="K25" i="12" s="1"/>
  <c r="E25" i="12"/>
  <c r="D25" i="12"/>
  <c r="K24" i="12" a="1"/>
  <c r="K24" i="12" s="1"/>
  <c r="E24" i="12"/>
  <c r="D24" i="12"/>
  <c r="K23" i="12" a="1"/>
  <c r="K23" i="12" s="1"/>
  <c r="E23" i="12"/>
  <c r="D23" i="12"/>
  <c r="K22" i="12" a="1"/>
  <c r="K22" i="12" s="1"/>
  <c r="E22" i="12"/>
  <c r="D22" i="12"/>
  <c r="K21" i="12" a="1"/>
  <c r="K21" i="12" s="1"/>
  <c r="E21" i="12"/>
  <c r="D21" i="12"/>
  <c r="K20" i="12" a="1"/>
  <c r="K20" i="12" s="1"/>
  <c r="E20" i="12"/>
  <c r="D20" i="12"/>
  <c r="K19" i="12" a="1"/>
  <c r="K19" i="12" s="1"/>
  <c r="E19" i="12"/>
  <c r="D19" i="12"/>
  <c r="K18" i="12" a="1"/>
  <c r="K18" i="12" s="1"/>
  <c r="E18" i="12"/>
  <c r="D18" i="12"/>
  <c r="K17" i="12" a="1"/>
  <c r="K17" i="12" s="1"/>
  <c r="E17" i="12"/>
  <c r="D17" i="12"/>
  <c r="K16" i="12" a="1"/>
  <c r="K16" i="12" s="1"/>
  <c r="E16" i="12"/>
  <c r="D16" i="12"/>
  <c r="K15" i="12" a="1"/>
  <c r="K15" i="12" s="1"/>
  <c r="E15" i="12"/>
  <c r="D15" i="12"/>
  <c r="K14" i="12" a="1"/>
  <c r="K14" i="12" s="1"/>
  <c r="E14" i="12"/>
  <c r="D14" i="12"/>
  <c r="K13" i="12" a="1"/>
  <c r="K13" i="12" s="1"/>
  <c r="E13" i="12"/>
  <c r="D13" i="12"/>
  <c r="K12" i="12" a="1"/>
  <c r="K12" i="12" s="1"/>
  <c r="K11" i="12" a="1"/>
  <c r="K11" i="12" s="1"/>
  <c r="K10" i="12" a="1"/>
  <c r="K10" i="12" s="1"/>
  <c r="K9" i="12" a="1"/>
  <c r="K9" i="12" s="1"/>
  <c r="E3" i="12"/>
  <c r="D3" i="12"/>
  <c r="K250" i="11" a="1"/>
  <c r="K250" i="11" s="1"/>
  <c r="E250" i="11"/>
  <c r="D250" i="11"/>
  <c r="K249" i="11" a="1"/>
  <c r="K249" i="11" s="1"/>
  <c r="E249" i="11"/>
  <c r="D249" i="11"/>
  <c r="K248" i="11" a="1"/>
  <c r="K248" i="11" s="1"/>
  <c r="E248" i="11"/>
  <c r="D248" i="11"/>
  <c r="K247" i="11" a="1"/>
  <c r="K247" i="11" s="1"/>
  <c r="E247" i="11"/>
  <c r="D247" i="11"/>
  <c r="K246" i="11" a="1"/>
  <c r="K246" i="11" s="1"/>
  <c r="E246" i="11"/>
  <c r="D246" i="11"/>
  <c r="K245" i="11" a="1"/>
  <c r="K245" i="11" s="1"/>
  <c r="E245" i="11"/>
  <c r="D245" i="11"/>
  <c r="K244" i="11" a="1"/>
  <c r="K244" i="11" s="1"/>
  <c r="E244" i="11"/>
  <c r="D244" i="11"/>
  <c r="K243" i="11" a="1"/>
  <c r="K243" i="11" s="1"/>
  <c r="E243" i="11"/>
  <c r="D243" i="11"/>
  <c r="K242" i="11" a="1"/>
  <c r="K242" i="11" s="1"/>
  <c r="E242" i="11"/>
  <c r="D242" i="11"/>
  <c r="K241" i="11" a="1"/>
  <c r="K241" i="11" s="1"/>
  <c r="E241" i="11"/>
  <c r="D241" i="11"/>
  <c r="K240" i="11" a="1"/>
  <c r="K240" i="11" s="1"/>
  <c r="E240" i="11"/>
  <c r="D240" i="11"/>
  <c r="K239" i="11" a="1"/>
  <c r="K239" i="11" s="1"/>
  <c r="E239" i="11"/>
  <c r="D239" i="11"/>
  <c r="K238" i="11" a="1"/>
  <c r="K238" i="11" s="1"/>
  <c r="E238" i="11"/>
  <c r="D238" i="11"/>
  <c r="K237" i="11" a="1"/>
  <c r="K237" i="11" s="1"/>
  <c r="E237" i="11"/>
  <c r="D237" i="11"/>
  <c r="K236" i="11" a="1"/>
  <c r="K236" i="11" s="1"/>
  <c r="E236" i="11"/>
  <c r="D236" i="11"/>
  <c r="K235" i="11" a="1"/>
  <c r="K235" i="11" s="1"/>
  <c r="E235" i="11"/>
  <c r="D235" i="11"/>
  <c r="K234" i="11" a="1"/>
  <c r="K234" i="11" s="1"/>
  <c r="E234" i="11"/>
  <c r="D234" i="11"/>
  <c r="K233" i="11" a="1"/>
  <c r="K233" i="11" s="1"/>
  <c r="E233" i="11"/>
  <c r="D233" i="11"/>
  <c r="K232" i="11" a="1"/>
  <c r="K232" i="11" s="1"/>
  <c r="E232" i="11"/>
  <c r="D232" i="11"/>
  <c r="K231" i="11" a="1"/>
  <c r="K231" i="11" s="1"/>
  <c r="E231" i="11"/>
  <c r="D231" i="11"/>
  <c r="K230" i="11" a="1"/>
  <c r="K230" i="11" s="1"/>
  <c r="E230" i="11"/>
  <c r="D230" i="11"/>
  <c r="K229" i="11" a="1"/>
  <c r="K229" i="11" s="1"/>
  <c r="E229" i="11"/>
  <c r="D229" i="11"/>
  <c r="K228" i="11" a="1"/>
  <c r="K228" i="11" s="1"/>
  <c r="E228" i="11"/>
  <c r="D228" i="11"/>
  <c r="K227" i="11" a="1"/>
  <c r="K227" i="11" s="1"/>
  <c r="E227" i="11"/>
  <c r="D227" i="11"/>
  <c r="K226" i="11" a="1"/>
  <c r="K226" i="11" s="1"/>
  <c r="E226" i="11"/>
  <c r="D226" i="11"/>
  <c r="K225" i="11" a="1"/>
  <c r="K225" i="11" s="1"/>
  <c r="E225" i="11"/>
  <c r="D225" i="11"/>
  <c r="K224" i="11" a="1"/>
  <c r="K224" i="11" s="1"/>
  <c r="E224" i="11"/>
  <c r="D224" i="11"/>
  <c r="K223" i="11" a="1"/>
  <c r="K223" i="11" s="1"/>
  <c r="E223" i="11"/>
  <c r="D223" i="11"/>
  <c r="K222" i="11" a="1"/>
  <c r="K222" i="11" s="1"/>
  <c r="E222" i="11"/>
  <c r="D222" i="11"/>
  <c r="K221" i="11" a="1"/>
  <c r="K221" i="11" s="1"/>
  <c r="E221" i="11"/>
  <c r="D221" i="11"/>
  <c r="K220" i="11" a="1"/>
  <c r="K220" i="11" s="1"/>
  <c r="E220" i="11"/>
  <c r="D220" i="11"/>
  <c r="K219" i="11" a="1"/>
  <c r="K219" i="11" s="1"/>
  <c r="E219" i="11"/>
  <c r="D219" i="11"/>
  <c r="K218" i="11" a="1"/>
  <c r="K218" i="11" s="1"/>
  <c r="E218" i="11"/>
  <c r="D218" i="11"/>
  <c r="K217" i="11" a="1"/>
  <c r="K217" i="11" s="1"/>
  <c r="E217" i="11"/>
  <c r="D217" i="11"/>
  <c r="K216" i="11" a="1"/>
  <c r="K216" i="11" s="1"/>
  <c r="E216" i="11"/>
  <c r="D216" i="11"/>
  <c r="K215" i="11" a="1"/>
  <c r="K215" i="11" s="1"/>
  <c r="E215" i="11"/>
  <c r="D215" i="11"/>
  <c r="K214" i="11" a="1"/>
  <c r="K214" i="11" s="1"/>
  <c r="E214" i="11"/>
  <c r="D214" i="11"/>
  <c r="K213" i="11" a="1"/>
  <c r="K213" i="11" s="1"/>
  <c r="E213" i="11"/>
  <c r="D213" i="11"/>
  <c r="K212" i="11" a="1"/>
  <c r="K212" i="11" s="1"/>
  <c r="E212" i="11"/>
  <c r="D212" i="11"/>
  <c r="K211" i="11" a="1"/>
  <c r="K211" i="11" s="1"/>
  <c r="E211" i="11"/>
  <c r="D211" i="11"/>
  <c r="K210" i="11" a="1"/>
  <c r="K210" i="11" s="1"/>
  <c r="E210" i="11"/>
  <c r="D210" i="11"/>
  <c r="K209" i="11" a="1"/>
  <c r="K209" i="11" s="1"/>
  <c r="E209" i="11"/>
  <c r="D209" i="11"/>
  <c r="K208" i="11" a="1"/>
  <c r="K208" i="11" s="1"/>
  <c r="E208" i="11"/>
  <c r="D208" i="11"/>
  <c r="K207" i="11" a="1"/>
  <c r="K207" i="11" s="1"/>
  <c r="E207" i="11"/>
  <c r="D207" i="11"/>
  <c r="K206" i="11" a="1"/>
  <c r="K206" i="11" s="1"/>
  <c r="E206" i="11"/>
  <c r="D206" i="11"/>
  <c r="K205" i="11" a="1"/>
  <c r="K205" i="11" s="1"/>
  <c r="E205" i="11"/>
  <c r="D205" i="11"/>
  <c r="K204" i="11" a="1"/>
  <c r="K204" i="11" s="1"/>
  <c r="E204" i="11"/>
  <c r="D204" i="11"/>
  <c r="K203" i="11" a="1"/>
  <c r="K203" i="11" s="1"/>
  <c r="E203" i="11"/>
  <c r="D203" i="11"/>
  <c r="K202" i="11" a="1"/>
  <c r="K202" i="11" s="1"/>
  <c r="E202" i="11"/>
  <c r="D202" i="11"/>
  <c r="K201" i="11" a="1"/>
  <c r="K201" i="11" s="1"/>
  <c r="E201" i="11"/>
  <c r="D201" i="11"/>
  <c r="K200" i="11" a="1"/>
  <c r="K200" i="11" s="1"/>
  <c r="E200" i="11"/>
  <c r="D200" i="11"/>
  <c r="K199" i="11" a="1"/>
  <c r="K199" i="11" s="1"/>
  <c r="E199" i="11"/>
  <c r="D199" i="11"/>
  <c r="K198" i="11" a="1"/>
  <c r="K198" i="11" s="1"/>
  <c r="E198" i="11"/>
  <c r="D198" i="11"/>
  <c r="K197" i="11" a="1"/>
  <c r="K197" i="11" s="1"/>
  <c r="E197" i="11"/>
  <c r="D197" i="11"/>
  <c r="K196" i="11" a="1"/>
  <c r="K196" i="11" s="1"/>
  <c r="E196" i="11"/>
  <c r="D196" i="11"/>
  <c r="K195" i="11" a="1"/>
  <c r="K195" i="11" s="1"/>
  <c r="E195" i="11"/>
  <c r="D195" i="11"/>
  <c r="K194" i="11" a="1"/>
  <c r="K194" i="11" s="1"/>
  <c r="E194" i="11"/>
  <c r="D194" i="11"/>
  <c r="K193" i="11" a="1"/>
  <c r="K193" i="11" s="1"/>
  <c r="E193" i="11"/>
  <c r="D193" i="11"/>
  <c r="K192" i="11" a="1"/>
  <c r="K192" i="11" s="1"/>
  <c r="E192" i="11"/>
  <c r="D192" i="11"/>
  <c r="K191" i="11" a="1"/>
  <c r="K191" i="11" s="1"/>
  <c r="E191" i="11"/>
  <c r="D191" i="11"/>
  <c r="K190" i="11" a="1"/>
  <c r="K190" i="11" s="1"/>
  <c r="E190" i="11"/>
  <c r="D190" i="11"/>
  <c r="K189" i="11" a="1"/>
  <c r="K189" i="11" s="1"/>
  <c r="E189" i="11"/>
  <c r="D189" i="11"/>
  <c r="K188" i="11" a="1"/>
  <c r="K188" i="11" s="1"/>
  <c r="E188" i="11"/>
  <c r="D188" i="11"/>
  <c r="K187" i="11" a="1"/>
  <c r="K187" i="11" s="1"/>
  <c r="E187" i="11"/>
  <c r="D187" i="11"/>
  <c r="K186" i="11" a="1"/>
  <c r="K186" i="11" s="1"/>
  <c r="E186" i="11"/>
  <c r="D186" i="11"/>
  <c r="K185" i="11" a="1"/>
  <c r="K185" i="11" s="1"/>
  <c r="E185" i="11"/>
  <c r="D185" i="11"/>
  <c r="K184" i="11" a="1"/>
  <c r="K184" i="11" s="1"/>
  <c r="E184" i="11"/>
  <c r="D184" i="11"/>
  <c r="K183" i="11" a="1"/>
  <c r="K183" i="11" s="1"/>
  <c r="E183" i="11"/>
  <c r="D183" i="11"/>
  <c r="K182" i="11" a="1"/>
  <c r="K182" i="11" s="1"/>
  <c r="E182" i="11"/>
  <c r="D182" i="11"/>
  <c r="K181" i="11" a="1"/>
  <c r="K181" i="11" s="1"/>
  <c r="E181" i="11"/>
  <c r="D181" i="11"/>
  <c r="K180" i="11" a="1"/>
  <c r="K180" i="11" s="1"/>
  <c r="E180" i="11"/>
  <c r="D180" i="11"/>
  <c r="K179" i="11" a="1"/>
  <c r="K179" i="11" s="1"/>
  <c r="E179" i="11"/>
  <c r="D179" i="11"/>
  <c r="K178" i="11" a="1"/>
  <c r="K178" i="11" s="1"/>
  <c r="E178" i="11"/>
  <c r="D178" i="11"/>
  <c r="K177" i="11" a="1"/>
  <c r="K177" i="11" s="1"/>
  <c r="E177" i="11"/>
  <c r="D177" i="11"/>
  <c r="K176" i="11" a="1"/>
  <c r="K176" i="11" s="1"/>
  <c r="E176" i="11"/>
  <c r="D176" i="11"/>
  <c r="K175" i="11" a="1"/>
  <c r="K175" i="11" s="1"/>
  <c r="E175" i="11"/>
  <c r="D175" i="11"/>
  <c r="K174" i="11" a="1"/>
  <c r="K174" i="11" s="1"/>
  <c r="E174" i="11"/>
  <c r="D174" i="11"/>
  <c r="K173" i="11" a="1"/>
  <c r="K173" i="11" s="1"/>
  <c r="E173" i="11"/>
  <c r="D173" i="11"/>
  <c r="K172" i="11" a="1"/>
  <c r="K172" i="11" s="1"/>
  <c r="E172" i="11"/>
  <c r="D172" i="11"/>
  <c r="K171" i="11" a="1"/>
  <c r="K171" i="11" s="1"/>
  <c r="E171" i="11"/>
  <c r="D171" i="11"/>
  <c r="K170" i="11" a="1"/>
  <c r="K170" i="11" s="1"/>
  <c r="E170" i="11"/>
  <c r="D170" i="11"/>
  <c r="K169" i="11" a="1"/>
  <c r="K169" i="11" s="1"/>
  <c r="E169" i="11"/>
  <c r="D169" i="11"/>
  <c r="K168" i="11" a="1"/>
  <c r="K168" i="11" s="1"/>
  <c r="E168" i="11"/>
  <c r="D168" i="11"/>
  <c r="K167" i="11" a="1"/>
  <c r="K167" i="11" s="1"/>
  <c r="E167" i="11"/>
  <c r="D167" i="11"/>
  <c r="K166" i="11" a="1"/>
  <c r="K166" i="11" s="1"/>
  <c r="E166" i="11"/>
  <c r="D166" i="11"/>
  <c r="K165" i="11" a="1"/>
  <c r="K165" i="11" s="1"/>
  <c r="E165" i="11"/>
  <c r="D165" i="11"/>
  <c r="K164" i="11" a="1"/>
  <c r="K164" i="11" s="1"/>
  <c r="E164" i="11"/>
  <c r="D164" i="11"/>
  <c r="K163" i="11" a="1"/>
  <c r="K163" i="11" s="1"/>
  <c r="E163" i="11"/>
  <c r="D163" i="11"/>
  <c r="K162" i="11" a="1"/>
  <c r="K162" i="11" s="1"/>
  <c r="E162" i="11"/>
  <c r="D162" i="11"/>
  <c r="K161" i="11" a="1"/>
  <c r="K161" i="11" s="1"/>
  <c r="E161" i="11"/>
  <c r="D161" i="11"/>
  <c r="K160" i="11" a="1"/>
  <c r="K160" i="11" s="1"/>
  <c r="E160" i="11"/>
  <c r="D160" i="11"/>
  <c r="K159" i="11" a="1"/>
  <c r="K159" i="11" s="1"/>
  <c r="E159" i="11"/>
  <c r="D159" i="11"/>
  <c r="K158" i="11" a="1"/>
  <c r="K158" i="11" s="1"/>
  <c r="E158" i="11"/>
  <c r="D158" i="11"/>
  <c r="K157" i="11" a="1"/>
  <c r="K157" i="11" s="1"/>
  <c r="E157" i="11"/>
  <c r="D157" i="11"/>
  <c r="K156" i="11" a="1"/>
  <c r="K156" i="11" s="1"/>
  <c r="E156" i="11"/>
  <c r="D156" i="11"/>
  <c r="K155" i="11" a="1"/>
  <c r="K155" i="11" s="1"/>
  <c r="E155" i="11"/>
  <c r="D155" i="11"/>
  <c r="K154" i="11" a="1"/>
  <c r="K154" i="11" s="1"/>
  <c r="E154" i="11"/>
  <c r="D154" i="11"/>
  <c r="K153" i="11" a="1"/>
  <c r="K153" i="11" s="1"/>
  <c r="E153" i="11"/>
  <c r="D153" i="11"/>
  <c r="K152" i="11" a="1"/>
  <c r="K152" i="11" s="1"/>
  <c r="E152" i="11"/>
  <c r="D152" i="11"/>
  <c r="K151" i="11" a="1"/>
  <c r="K151" i="11" s="1"/>
  <c r="E151" i="11"/>
  <c r="D151" i="11"/>
  <c r="K150" i="11" a="1"/>
  <c r="K150" i="11" s="1"/>
  <c r="E150" i="11"/>
  <c r="D150" i="11"/>
  <c r="K149" i="11" a="1"/>
  <c r="K149" i="11" s="1"/>
  <c r="E149" i="11"/>
  <c r="D149" i="11"/>
  <c r="K148" i="11" a="1"/>
  <c r="K148" i="11" s="1"/>
  <c r="E148" i="11"/>
  <c r="D148" i="11"/>
  <c r="K147" i="11" a="1"/>
  <c r="K147" i="11" s="1"/>
  <c r="E147" i="11"/>
  <c r="D147" i="11"/>
  <c r="K146" i="11" a="1"/>
  <c r="K146" i="11" s="1"/>
  <c r="E146" i="11"/>
  <c r="D146" i="11"/>
  <c r="K145" i="11" a="1"/>
  <c r="K145" i="11" s="1"/>
  <c r="E145" i="11"/>
  <c r="D145" i="11"/>
  <c r="K144" i="11" a="1"/>
  <c r="K144" i="11" s="1"/>
  <c r="E144" i="11"/>
  <c r="D144" i="11"/>
  <c r="K143" i="11" a="1"/>
  <c r="K143" i="11" s="1"/>
  <c r="E143" i="11"/>
  <c r="D143" i="11"/>
  <c r="K142" i="11" a="1"/>
  <c r="K142" i="11" s="1"/>
  <c r="E142" i="11"/>
  <c r="D142" i="11"/>
  <c r="K141" i="11" a="1"/>
  <c r="K141" i="11" s="1"/>
  <c r="E141" i="11"/>
  <c r="D141" i="11"/>
  <c r="K140" i="11" a="1"/>
  <c r="K140" i="11" s="1"/>
  <c r="E140" i="11"/>
  <c r="D140" i="11"/>
  <c r="K139" i="11" a="1"/>
  <c r="K139" i="11" s="1"/>
  <c r="E139" i="11"/>
  <c r="D139" i="11"/>
  <c r="K138" i="11" a="1"/>
  <c r="K138" i="11" s="1"/>
  <c r="E138" i="11"/>
  <c r="D138" i="11"/>
  <c r="K137" i="11" a="1"/>
  <c r="K137" i="11" s="1"/>
  <c r="E137" i="11"/>
  <c r="D137" i="11"/>
  <c r="K136" i="11" a="1"/>
  <c r="K136" i="11" s="1"/>
  <c r="E136" i="11"/>
  <c r="D136" i="11"/>
  <c r="K135" i="11" a="1"/>
  <c r="K135" i="11" s="1"/>
  <c r="E135" i="11"/>
  <c r="D135" i="11"/>
  <c r="K134" i="11" a="1"/>
  <c r="K134" i="11" s="1"/>
  <c r="E134" i="11"/>
  <c r="D134" i="11"/>
  <c r="K133" i="11" a="1"/>
  <c r="K133" i="11" s="1"/>
  <c r="E133" i="11"/>
  <c r="D133" i="11"/>
  <c r="K132" i="11" a="1"/>
  <c r="K132" i="11" s="1"/>
  <c r="E132" i="11"/>
  <c r="D132" i="11"/>
  <c r="K131" i="11" a="1"/>
  <c r="K131" i="11" s="1"/>
  <c r="E131" i="11"/>
  <c r="D131" i="11"/>
  <c r="K130" i="11" a="1"/>
  <c r="K130" i="11" s="1"/>
  <c r="E130" i="11"/>
  <c r="D130" i="11"/>
  <c r="K129" i="11" a="1"/>
  <c r="K129" i="11" s="1"/>
  <c r="E129" i="11"/>
  <c r="D129" i="11"/>
  <c r="K128" i="11" a="1"/>
  <c r="K128" i="11" s="1"/>
  <c r="E128" i="11"/>
  <c r="D128" i="11"/>
  <c r="K127" i="11" a="1"/>
  <c r="K127" i="11" s="1"/>
  <c r="E127" i="11"/>
  <c r="D127" i="11"/>
  <c r="K126" i="11" a="1"/>
  <c r="K126" i="11" s="1"/>
  <c r="E126" i="11"/>
  <c r="D126" i="11"/>
  <c r="K125" i="11" a="1"/>
  <c r="K125" i="11" s="1"/>
  <c r="E125" i="11"/>
  <c r="D125" i="11"/>
  <c r="K124" i="11" a="1"/>
  <c r="K124" i="11" s="1"/>
  <c r="E124" i="11"/>
  <c r="D124" i="11"/>
  <c r="K123" i="11" a="1"/>
  <c r="K123" i="11" s="1"/>
  <c r="E123" i="11"/>
  <c r="D123" i="11"/>
  <c r="K122" i="11" a="1"/>
  <c r="K122" i="11" s="1"/>
  <c r="E122" i="11"/>
  <c r="D122" i="11"/>
  <c r="K121" i="11" a="1"/>
  <c r="K121" i="11" s="1"/>
  <c r="E121" i="11"/>
  <c r="D121" i="11"/>
  <c r="K120" i="11" a="1"/>
  <c r="K120" i="11" s="1"/>
  <c r="E120" i="11"/>
  <c r="D120" i="11"/>
  <c r="K119" i="11" a="1"/>
  <c r="K119" i="11" s="1"/>
  <c r="E119" i="11"/>
  <c r="D119" i="11"/>
  <c r="K118" i="11" a="1"/>
  <c r="K118" i="11" s="1"/>
  <c r="E118" i="11"/>
  <c r="D118" i="11"/>
  <c r="K117" i="11" a="1"/>
  <c r="K117" i="11" s="1"/>
  <c r="E117" i="11"/>
  <c r="D117" i="11"/>
  <c r="K116" i="11" a="1"/>
  <c r="K116" i="11" s="1"/>
  <c r="E116" i="11"/>
  <c r="D116" i="11"/>
  <c r="K115" i="11" a="1"/>
  <c r="K115" i="11" s="1"/>
  <c r="E115" i="11"/>
  <c r="D115" i="11"/>
  <c r="K114" i="11" a="1"/>
  <c r="K114" i="11" s="1"/>
  <c r="E114" i="11"/>
  <c r="D114" i="11"/>
  <c r="K113" i="11" a="1"/>
  <c r="K113" i="11" s="1"/>
  <c r="E113" i="11"/>
  <c r="D113" i="11"/>
  <c r="K112" i="11" a="1"/>
  <c r="K112" i="11" s="1"/>
  <c r="E112" i="11"/>
  <c r="D112" i="11"/>
  <c r="K111" i="11" a="1"/>
  <c r="K111" i="11" s="1"/>
  <c r="E111" i="11"/>
  <c r="D111" i="11"/>
  <c r="K110" i="11" a="1"/>
  <c r="K110" i="11" s="1"/>
  <c r="E110" i="11"/>
  <c r="D110" i="11"/>
  <c r="K109" i="11" a="1"/>
  <c r="K109" i="11" s="1"/>
  <c r="E109" i="11"/>
  <c r="D109" i="11"/>
  <c r="K108" i="11" a="1"/>
  <c r="K108" i="11" s="1"/>
  <c r="E108" i="11"/>
  <c r="D108" i="11"/>
  <c r="K107" i="11" a="1"/>
  <c r="K107" i="11" s="1"/>
  <c r="E107" i="11"/>
  <c r="D107" i="11"/>
  <c r="K106" i="11" a="1"/>
  <c r="K106" i="11" s="1"/>
  <c r="E106" i="11"/>
  <c r="D106" i="11"/>
  <c r="K105" i="11" a="1"/>
  <c r="K105" i="11" s="1"/>
  <c r="E105" i="11"/>
  <c r="D105" i="11"/>
  <c r="K104" i="11" a="1"/>
  <c r="K104" i="11" s="1"/>
  <c r="E104" i="11"/>
  <c r="D104" i="11"/>
  <c r="K103" i="11" a="1"/>
  <c r="K103" i="11" s="1"/>
  <c r="E103" i="11"/>
  <c r="D103" i="11"/>
  <c r="K102" i="11" a="1"/>
  <c r="K102" i="11" s="1"/>
  <c r="E102" i="11"/>
  <c r="D102" i="11"/>
  <c r="K101" i="11" a="1"/>
  <c r="K101" i="11" s="1"/>
  <c r="E101" i="11"/>
  <c r="D101" i="11"/>
  <c r="K100" i="11" a="1"/>
  <c r="K100" i="11" s="1"/>
  <c r="E100" i="11"/>
  <c r="D100" i="11"/>
  <c r="K99" i="11" a="1"/>
  <c r="K99" i="11" s="1"/>
  <c r="E99" i="11"/>
  <c r="D99" i="11"/>
  <c r="K98" i="11" a="1"/>
  <c r="K98" i="11" s="1"/>
  <c r="E98" i="11"/>
  <c r="D98" i="11"/>
  <c r="K97" i="11" a="1"/>
  <c r="K97" i="11" s="1"/>
  <c r="E97" i="11"/>
  <c r="D97" i="11"/>
  <c r="K96" i="11" a="1"/>
  <c r="K96" i="11" s="1"/>
  <c r="E96" i="11"/>
  <c r="D96" i="11"/>
  <c r="K95" i="11" a="1"/>
  <c r="K95" i="11" s="1"/>
  <c r="E95" i="11"/>
  <c r="D95" i="11"/>
  <c r="K94" i="11" a="1"/>
  <c r="K94" i="11" s="1"/>
  <c r="E94" i="11"/>
  <c r="D94" i="11"/>
  <c r="K93" i="11" a="1"/>
  <c r="K93" i="11" s="1"/>
  <c r="E93" i="11"/>
  <c r="D93" i="11"/>
  <c r="K92" i="11" a="1"/>
  <c r="K92" i="11" s="1"/>
  <c r="E92" i="11"/>
  <c r="D92" i="11"/>
  <c r="K91" i="11" a="1"/>
  <c r="K91" i="11" s="1"/>
  <c r="E91" i="11"/>
  <c r="D91" i="11"/>
  <c r="K90" i="11" a="1"/>
  <c r="K90" i="11" s="1"/>
  <c r="E90" i="11"/>
  <c r="D90" i="11"/>
  <c r="K89" i="11" a="1"/>
  <c r="K89" i="11" s="1"/>
  <c r="E89" i="11"/>
  <c r="D89" i="11"/>
  <c r="K88" i="11" a="1"/>
  <c r="K88" i="11" s="1"/>
  <c r="E88" i="11"/>
  <c r="D88" i="11"/>
  <c r="K87" i="11" a="1"/>
  <c r="K87" i="11" s="1"/>
  <c r="E87" i="11"/>
  <c r="D87" i="11"/>
  <c r="K86" i="11" a="1"/>
  <c r="K86" i="11" s="1"/>
  <c r="E86" i="11"/>
  <c r="D86" i="11"/>
  <c r="K85" i="11" a="1"/>
  <c r="K85" i="11" s="1"/>
  <c r="E85" i="11"/>
  <c r="D85" i="11"/>
  <c r="K84" i="11" a="1"/>
  <c r="K84" i="11" s="1"/>
  <c r="E84" i="11"/>
  <c r="D84" i="11"/>
  <c r="K83" i="11" a="1"/>
  <c r="K83" i="11" s="1"/>
  <c r="E83" i="11"/>
  <c r="D83" i="11"/>
  <c r="K82" i="11" a="1"/>
  <c r="K82" i="11" s="1"/>
  <c r="E82" i="11"/>
  <c r="D82" i="11"/>
  <c r="K81" i="11" a="1"/>
  <c r="K81" i="11" s="1"/>
  <c r="E81" i="11"/>
  <c r="D81" i="11"/>
  <c r="K80" i="11" a="1"/>
  <c r="K80" i="11" s="1"/>
  <c r="E80" i="11"/>
  <c r="D80" i="11"/>
  <c r="K79" i="11" a="1"/>
  <c r="K79" i="11" s="1"/>
  <c r="E79" i="11"/>
  <c r="D79" i="11"/>
  <c r="K78" i="11" a="1"/>
  <c r="K78" i="11" s="1"/>
  <c r="E78" i="11"/>
  <c r="D78" i="11"/>
  <c r="K77" i="11" a="1"/>
  <c r="K77" i="11" s="1"/>
  <c r="E77" i="11"/>
  <c r="D77" i="11"/>
  <c r="K76" i="11" a="1"/>
  <c r="K76" i="11" s="1"/>
  <c r="E76" i="11"/>
  <c r="D76" i="11"/>
  <c r="K75" i="11" a="1"/>
  <c r="K75" i="11" s="1"/>
  <c r="E75" i="11"/>
  <c r="D75" i="11"/>
  <c r="K74" i="11" a="1"/>
  <c r="K74" i="11" s="1"/>
  <c r="E74" i="11"/>
  <c r="D74" i="11"/>
  <c r="K73" i="11" a="1"/>
  <c r="K73" i="11" s="1"/>
  <c r="E73" i="11"/>
  <c r="D73" i="11"/>
  <c r="K72" i="11" a="1"/>
  <c r="K72" i="11" s="1"/>
  <c r="E72" i="11"/>
  <c r="D72" i="11"/>
  <c r="K71" i="11" a="1"/>
  <c r="K71" i="11" s="1"/>
  <c r="E71" i="11"/>
  <c r="D71" i="11"/>
  <c r="K70" i="11" a="1"/>
  <c r="K70" i="11" s="1"/>
  <c r="E70" i="11"/>
  <c r="D70" i="11"/>
  <c r="K69" i="11" a="1"/>
  <c r="K69" i="11" s="1"/>
  <c r="E69" i="11"/>
  <c r="D69" i="11"/>
  <c r="K68" i="11" a="1"/>
  <c r="K68" i="11" s="1"/>
  <c r="E68" i="11"/>
  <c r="D68" i="11"/>
  <c r="K67" i="11" a="1"/>
  <c r="K67" i="11" s="1"/>
  <c r="E67" i="11"/>
  <c r="D67" i="11"/>
  <c r="K66" i="11" a="1"/>
  <c r="K66" i="11" s="1"/>
  <c r="E66" i="11"/>
  <c r="D66" i="11"/>
  <c r="K65" i="11" a="1"/>
  <c r="K65" i="11" s="1"/>
  <c r="E65" i="11"/>
  <c r="D65" i="11"/>
  <c r="K64" i="11" a="1"/>
  <c r="K64" i="11" s="1"/>
  <c r="E64" i="11"/>
  <c r="D64" i="11"/>
  <c r="K63" i="11" a="1"/>
  <c r="K63" i="11" s="1"/>
  <c r="E63" i="11"/>
  <c r="D63" i="11"/>
  <c r="K62" i="11" a="1"/>
  <c r="K62" i="11" s="1"/>
  <c r="E62" i="11"/>
  <c r="D62" i="11"/>
  <c r="K61" i="11" a="1"/>
  <c r="K61" i="11" s="1"/>
  <c r="E61" i="11"/>
  <c r="D61" i="11"/>
  <c r="K60" i="11" a="1"/>
  <c r="K60" i="11" s="1"/>
  <c r="E60" i="11"/>
  <c r="D60" i="11"/>
  <c r="K59" i="11" a="1"/>
  <c r="K59" i="11" s="1"/>
  <c r="E59" i="11"/>
  <c r="D59" i="11"/>
  <c r="K58" i="11" a="1"/>
  <c r="K58" i="11" s="1"/>
  <c r="E58" i="11"/>
  <c r="D58" i="11"/>
  <c r="K57" i="11" a="1"/>
  <c r="K57" i="11" s="1"/>
  <c r="E57" i="11"/>
  <c r="D57" i="11"/>
  <c r="K56" i="11" a="1"/>
  <c r="K56" i="11" s="1"/>
  <c r="E56" i="11"/>
  <c r="D56" i="11"/>
  <c r="K55" i="11" a="1"/>
  <c r="K55" i="11" s="1"/>
  <c r="E55" i="11"/>
  <c r="D55" i="11"/>
  <c r="K54" i="11" a="1"/>
  <c r="K54" i="11" s="1"/>
  <c r="E54" i="11"/>
  <c r="D54" i="11"/>
  <c r="K53" i="11" a="1"/>
  <c r="K53" i="11" s="1"/>
  <c r="E53" i="11"/>
  <c r="D53" i="11"/>
  <c r="K52" i="11" a="1"/>
  <c r="K52" i="11" s="1"/>
  <c r="E52" i="11"/>
  <c r="D52" i="11"/>
  <c r="K51" i="11" a="1"/>
  <c r="K51" i="11" s="1"/>
  <c r="E51" i="11"/>
  <c r="D51" i="11"/>
  <c r="K50" i="11" a="1"/>
  <c r="K50" i="11" s="1"/>
  <c r="E50" i="11"/>
  <c r="D50" i="11"/>
  <c r="K49" i="11" a="1"/>
  <c r="K49" i="11" s="1"/>
  <c r="E49" i="11"/>
  <c r="D49" i="11"/>
  <c r="K48" i="11" a="1"/>
  <c r="K48" i="11" s="1"/>
  <c r="E48" i="11"/>
  <c r="D48" i="11"/>
  <c r="K47" i="11" a="1"/>
  <c r="K47" i="11" s="1"/>
  <c r="E47" i="11"/>
  <c r="D47" i="11"/>
  <c r="K46" i="11" a="1"/>
  <c r="K46" i="11" s="1"/>
  <c r="E46" i="11"/>
  <c r="D46" i="11"/>
  <c r="K45" i="11" a="1"/>
  <c r="K45" i="11" s="1"/>
  <c r="E45" i="11"/>
  <c r="D45" i="11"/>
  <c r="K44" i="11" a="1"/>
  <c r="K44" i="11" s="1"/>
  <c r="E44" i="11"/>
  <c r="D44" i="11"/>
  <c r="K43" i="11" a="1"/>
  <c r="K43" i="11" s="1"/>
  <c r="E43" i="11"/>
  <c r="D43" i="11"/>
  <c r="K42" i="11" a="1"/>
  <c r="K42" i="11" s="1"/>
  <c r="E42" i="11"/>
  <c r="D42" i="11"/>
  <c r="K41" i="11" a="1"/>
  <c r="K41" i="11" s="1"/>
  <c r="E41" i="11"/>
  <c r="D41" i="11"/>
  <c r="K40" i="11" a="1"/>
  <c r="K40" i="11" s="1"/>
  <c r="E40" i="11"/>
  <c r="D40" i="11"/>
  <c r="K39" i="11" a="1"/>
  <c r="K39" i="11" s="1"/>
  <c r="E39" i="11"/>
  <c r="D39" i="11"/>
  <c r="K38" i="11" a="1"/>
  <c r="K38" i="11" s="1"/>
  <c r="E38" i="11"/>
  <c r="D38" i="11"/>
  <c r="K37" i="11" a="1"/>
  <c r="K37" i="11" s="1"/>
  <c r="E37" i="11"/>
  <c r="D37" i="11"/>
  <c r="K36" i="11" a="1"/>
  <c r="K36" i="11" s="1"/>
  <c r="E36" i="11"/>
  <c r="D36" i="11"/>
  <c r="K35" i="11" a="1"/>
  <c r="K35" i="11" s="1"/>
  <c r="E35" i="11"/>
  <c r="D35" i="11"/>
  <c r="K34" i="11" a="1"/>
  <c r="K34" i="11" s="1"/>
  <c r="E34" i="11"/>
  <c r="D34" i="11"/>
  <c r="K33" i="11" a="1"/>
  <c r="K33" i="11" s="1"/>
  <c r="E33" i="11"/>
  <c r="D33" i="11"/>
  <c r="K32" i="11" a="1"/>
  <c r="K32" i="11" s="1"/>
  <c r="E32" i="11"/>
  <c r="D32" i="11"/>
  <c r="K31" i="11" a="1"/>
  <c r="K31" i="11" s="1"/>
  <c r="E31" i="11"/>
  <c r="D31" i="11"/>
  <c r="K30" i="11" a="1"/>
  <c r="K30" i="11" s="1"/>
  <c r="E30" i="11"/>
  <c r="D30" i="11"/>
  <c r="K29" i="11" a="1"/>
  <c r="K29" i="11" s="1"/>
  <c r="E29" i="11"/>
  <c r="D29" i="11"/>
  <c r="K28" i="11" a="1"/>
  <c r="K28" i="11" s="1"/>
  <c r="E28" i="11"/>
  <c r="D28" i="11"/>
  <c r="K27" i="11" a="1"/>
  <c r="K27" i="11" s="1"/>
  <c r="E27" i="11"/>
  <c r="D27" i="11"/>
  <c r="K26" i="11" a="1"/>
  <c r="K26" i="11" s="1"/>
  <c r="E26" i="11"/>
  <c r="D26" i="11"/>
  <c r="K25" i="11" a="1"/>
  <c r="K25" i="11" s="1"/>
  <c r="E25" i="11"/>
  <c r="D25" i="11"/>
  <c r="K24" i="11" a="1"/>
  <c r="K24" i="11" s="1"/>
  <c r="E24" i="11"/>
  <c r="D24" i="11"/>
  <c r="K23" i="11" a="1"/>
  <c r="K23" i="11" s="1"/>
  <c r="E23" i="11"/>
  <c r="D23" i="11"/>
  <c r="K22" i="11" a="1"/>
  <c r="K22" i="11" s="1"/>
  <c r="E22" i="11"/>
  <c r="D22" i="11"/>
  <c r="K21" i="11" a="1"/>
  <c r="K21" i="11" s="1"/>
  <c r="E21" i="11"/>
  <c r="D21" i="11"/>
  <c r="K20" i="11" a="1"/>
  <c r="K20" i="11" s="1"/>
  <c r="E20" i="11"/>
  <c r="D20" i="11"/>
  <c r="K19" i="11" a="1"/>
  <c r="K19" i="11" s="1"/>
  <c r="E19" i="11"/>
  <c r="D19" i="11"/>
  <c r="K18" i="11" a="1"/>
  <c r="K18" i="11" s="1"/>
  <c r="E18" i="11"/>
  <c r="D18" i="11"/>
  <c r="K17" i="11" a="1"/>
  <c r="K17" i="11" s="1"/>
  <c r="E17" i="11"/>
  <c r="D17" i="11"/>
  <c r="K16" i="11" a="1"/>
  <c r="K16" i="11" s="1"/>
  <c r="E16" i="11"/>
  <c r="D16" i="11"/>
  <c r="K15" i="11" a="1"/>
  <c r="K15" i="11" s="1"/>
  <c r="E15" i="11"/>
  <c r="D15" i="11"/>
  <c r="K14" i="11" a="1"/>
  <c r="K14" i="11" s="1"/>
  <c r="K13" i="11" a="1"/>
  <c r="K13" i="11" s="1"/>
  <c r="K12" i="11" a="1"/>
  <c r="K12" i="11" s="1"/>
  <c r="K11" i="11" a="1"/>
  <c r="K11" i="11" s="1"/>
  <c r="K10" i="11" a="1"/>
  <c r="K10" i="11" s="1"/>
  <c r="K9" i="11" a="1"/>
  <c r="K9" i="11" s="1"/>
  <c r="K8" i="11" a="1"/>
  <c r="K8" i="11" s="1"/>
  <c r="E3" i="11"/>
  <c r="D3" i="11"/>
  <c r="K7" i="11" a="1"/>
  <c r="K7" i="11" s="1"/>
  <c r="K250" i="10" a="1"/>
  <c r="K250" i="10" s="1"/>
  <c r="D250" i="10"/>
  <c r="K249" i="10" a="1"/>
  <c r="K249" i="10" s="1"/>
  <c r="E249" i="10"/>
  <c r="D249" i="10"/>
  <c r="K248" i="10" a="1"/>
  <c r="K248" i="10" s="1"/>
  <c r="E248" i="10"/>
  <c r="D248" i="10"/>
  <c r="K247" i="10" a="1"/>
  <c r="K247" i="10" s="1"/>
  <c r="E247" i="10"/>
  <c r="D247" i="10"/>
  <c r="K246" i="10" a="1"/>
  <c r="K246" i="10" s="1"/>
  <c r="E246" i="10"/>
  <c r="D246" i="10"/>
  <c r="K245" i="10" a="1"/>
  <c r="K245" i="10" s="1"/>
  <c r="E245" i="10"/>
  <c r="D245" i="10"/>
  <c r="K244" i="10" a="1"/>
  <c r="K244" i="10" s="1"/>
  <c r="E244" i="10"/>
  <c r="D244" i="10"/>
  <c r="K243" i="10" a="1"/>
  <c r="K243" i="10" s="1"/>
  <c r="E243" i="10"/>
  <c r="D243" i="10"/>
  <c r="K242" i="10" a="1"/>
  <c r="K242" i="10" s="1"/>
  <c r="E242" i="10"/>
  <c r="D242" i="10"/>
  <c r="K241" i="10" a="1"/>
  <c r="K241" i="10" s="1"/>
  <c r="E241" i="10"/>
  <c r="D241" i="10"/>
  <c r="K240" i="10" a="1"/>
  <c r="K240" i="10" s="1"/>
  <c r="E240" i="10"/>
  <c r="D240" i="10"/>
  <c r="K239" i="10" a="1"/>
  <c r="K239" i="10" s="1"/>
  <c r="E239" i="10"/>
  <c r="D239" i="10"/>
  <c r="K238" i="10" a="1"/>
  <c r="K238" i="10" s="1"/>
  <c r="E238" i="10"/>
  <c r="D238" i="10"/>
  <c r="K237" i="10" a="1"/>
  <c r="K237" i="10" s="1"/>
  <c r="E237" i="10"/>
  <c r="D237" i="10"/>
  <c r="K236" i="10" a="1"/>
  <c r="K236" i="10" s="1"/>
  <c r="E236" i="10"/>
  <c r="D236" i="10"/>
  <c r="K235" i="10" a="1"/>
  <c r="K235" i="10" s="1"/>
  <c r="E235" i="10"/>
  <c r="D235" i="10"/>
  <c r="K234" i="10" a="1"/>
  <c r="K234" i="10" s="1"/>
  <c r="E234" i="10"/>
  <c r="D234" i="10"/>
  <c r="K233" i="10" a="1"/>
  <c r="K233" i="10" s="1"/>
  <c r="E233" i="10"/>
  <c r="D233" i="10"/>
  <c r="K232" i="10" a="1"/>
  <c r="K232" i="10" s="1"/>
  <c r="E232" i="10"/>
  <c r="D232" i="10"/>
  <c r="K231" i="10" a="1"/>
  <c r="K231" i="10" s="1"/>
  <c r="E231" i="10"/>
  <c r="D231" i="10"/>
  <c r="K230" i="10" a="1"/>
  <c r="K230" i="10" s="1"/>
  <c r="E230" i="10"/>
  <c r="D230" i="10"/>
  <c r="K229" i="10" a="1"/>
  <c r="K229" i="10" s="1"/>
  <c r="E229" i="10"/>
  <c r="D229" i="10"/>
  <c r="K228" i="10" a="1"/>
  <c r="K228" i="10" s="1"/>
  <c r="E228" i="10"/>
  <c r="D228" i="10"/>
  <c r="K227" i="10" a="1"/>
  <c r="K227" i="10" s="1"/>
  <c r="E227" i="10"/>
  <c r="D227" i="10"/>
  <c r="K226" i="10" a="1"/>
  <c r="K226" i="10" s="1"/>
  <c r="E226" i="10"/>
  <c r="D226" i="10"/>
  <c r="K225" i="10" a="1"/>
  <c r="K225" i="10" s="1"/>
  <c r="E225" i="10"/>
  <c r="D225" i="10"/>
  <c r="K224" i="10" a="1"/>
  <c r="K224" i="10" s="1"/>
  <c r="E224" i="10"/>
  <c r="D224" i="10"/>
  <c r="K223" i="10" a="1"/>
  <c r="K223" i="10" s="1"/>
  <c r="E223" i="10"/>
  <c r="D223" i="10"/>
  <c r="K222" i="10" a="1"/>
  <c r="K222" i="10" s="1"/>
  <c r="E222" i="10"/>
  <c r="D222" i="10"/>
  <c r="K221" i="10" a="1"/>
  <c r="K221" i="10" s="1"/>
  <c r="E221" i="10"/>
  <c r="D221" i="10"/>
  <c r="K220" i="10" a="1"/>
  <c r="K220" i="10" s="1"/>
  <c r="E220" i="10"/>
  <c r="D220" i="10"/>
  <c r="K219" i="10" a="1"/>
  <c r="K219" i="10" s="1"/>
  <c r="E219" i="10"/>
  <c r="D219" i="10"/>
  <c r="K218" i="10" a="1"/>
  <c r="K218" i="10" s="1"/>
  <c r="E218" i="10"/>
  <c r="D218" i="10"/>
  <c r="K217" i="10" a="1"/>
  <c r="K217" i="10" s="1"/>
  <c r="E217" i="10"/>
  <c r="D217" i="10"/>
  <c r="K216" i="10" a="1"/>
  <c r="K216" i="10" s="1"/>
  <c r="E216" i="10"/>
  <c r="D216" i="10"/>
  <c r="K215" i="10" a="1"/>
  <c r="K215" i="10" s="1"/>
  <c r="E215" i="10"/>
  <c r="D215" i="10"/>
  <c r="K214" i="10" a="1"/>
  <c r="K214" i="10" s="1"/>
  <c r="E214" i="10"/>
  <c r="D214" i="10"/>
  <c r="K213" i="10" a="1"/>
  <c r="K213" i="10" s="1"/>
  <c r="E213" i="10"/>
  <c r="D213" i="10"/>
  <c r="K212" i="10" a="1"/>
  <c r="K212" i="10" s="1"/>
  <c r="E212" i="10"/>
  <c r="D212" i="10"/>
  <c r="K211" i="10" a="1"/>
  <c r="K211" i="10" s="1"/>
  <c r="E211" i="10"/>
  <c r="D211" i="10"/>
  <c r="K210" i="10" a="1"/>
  <c r="K210" i="10" s="1"/>
  <c r="E210" i="10"/>
  <c r="D210" i="10"/>
  <c r="K209" i="10" a="1"/>
  <c r="K209" i="10" s="1"/>
  <c r="E209" i="10"/>
  <c r="D209" i="10"/>
  <c r="K208" i="10" a="1"/>
  <c r="K208" i="10" s="1"/>
  <c r="E208" i="10"/>
  <c r="D208" i="10"/>
  <c r="K207" i="10" a="1"/>
  <c r="K207" i="10" s="1"/>
  <c r="E207" i="10"/>
  <c r="D207" i="10"/>
  <c r="K206" i="10" a="1"/>
  <c r="K206" i="10" s="1"/>
  <c r="E206" i="10"/>
  <c r="D206" i="10"/>
  <c r="K205" i="10" a="1"/>
  <c r="K205" i="10" s="1"/>
  <c r="E205" i="10"/>
  <c r="D205" i="10"/>
  <c r="K204" i="10" a="1"/>
  <c r="K204" i="10" s="1"/>
  <c r="E204" i="10"/>
  <c r="D204" i="10"/>
  <c r="K203" i="10" a="1"/>
  <c r="K203" i="10" s="1"/>
  <c r="E203" i="10"/>
  <c r="D203" i="10"/>
  <c r="K202" i="10" a="1"/>
  <c r="K202" i="10" s="1"/>
  <c r="E202" i="10"/>
  <c r="D202" i="10"/>
  <c r="K201" i="10" a="1"/>
  <c r="K201" i="10" s="1"/>
  <c r="E201" i="10"/>
  <c r="D201" i="10"/>
  <c r="K200" i="10" a="1"/>
  <c r="K200" i="10" s="1"/>
  <c r="E200" i="10"/>
  <c r="D200" i="10"/>
  <c r="K199" i="10" a="1"/>
  <c r="K199" i="10" s="1"/>
  <c r="E199" i="10"/>
  <c r="D199" i="10"/>
  <c r="K198" i="10" a="1"/>
  <c r="K198" i="10" s="1"/>
  <c r="E198" i="10"/>
  <c r="D198" i="10"/>
  <c r="K197" i="10" a="1"/>
  <c r="K197" i="10" s="1"/>
  <c r="E197" i="10"/>
  <c r="D197" i="10"/>
  <c r="K196" i="10" a="1"/>
  <c r="K196" i="10" s="1"/>
  <c r="E196" i="10"/>
  <c r="D196" i="10"/>
  <c r="K195" i="10" a="1"/>
  <c r="K195" i="10" s="1"/>
  <c r="E195" i="10"/>
  <c r="D195" i="10"/>
  <c r="K194" i="10" a="1"/>
  <c r="K194" i="10" s="1"/>
  <c r="E194" i="10"/>
  <c r="D194" i="10"/>
  <c r="K193" i="10" a="1"/>
  <c r="K193" i="10" s="1"/>
  <c r="E193" i="10"/>
  <c r="D193" i="10"/>
  <c r="K192" i="10" a="1"/>
  <c r="K192" i="10" s="1"/>
  <c r="E192" i="10"/>
  <c r="D192" i="10"/>
  <c r="K191" i="10" a="1"/>
  <c r="K191" i="10" s="1"/>
  <c r="E191" i="10"/>
  <c r="D191" i="10"/>
  <c r="K190" i="10" a="1"/>
  <c r="K190" i="10" s="1"/>
  <c r="E190" i="10"/>
  <c r="D190" i="10"/>
  <c r="K189" i="10" a="1"/>
  <c r="K189" i="10" s="1"/>
  <c r="E189" i="10"/>
  <c r="D189" i="10"/>
  <c r="K188" i="10" a="1"/>
  <c r="K188" i="10" s="1"/>
  <c r="E188" i="10"/>
  <c r="D188" i="10"/>
  <c r="K187" i="10" a="1"/>
  <c r="K187" i="10" s="1"/>
  <c r="E187" i="10"/>
  <c r="D187" i="10"/>
  <c r="K186" i="10" a="1"/>
  <c r="K186" i="10" s="1"/>
  <c r="E186" i="10"/>
  <c r="D186" i="10"/>
  <c r="K185" i="10" a="1"/>
  <c r="K185" i="10" s="1"/>
  <c r="E185" i="10"/>
  <c r="D185" i="10"/>
  <c r="K184" i="10" a="1"/>
  <c r="K184" i="10" s="1"/>
  <c r="E184" i="10"/>
  <c r="D184" i="10"/>
  <c r="K183" i="10" a="1"/>
  <c r="K183" i="10" s="1"/>
  <c r="E183" i="10"/>
  <c r="D183" i="10"/>
  <c r="K182" i="10" a="1"/>
  <c r="K182" i="10" s="1"/>
  <c r="E182" i="10"/>
  <c r="D182" i="10"/>
  <c r="K181" i="10" a="1"/>
  <c r="K181" i="10" s="1"/>
  <c r="E181" i="10"/>
  <c r="D181" i="10"/>
  <c r="K180" i="10" a="1"/>
  <c r="K180" i="10" s="1"/>
  <c r="E180" i="10"/>
  <c r="D180" i="10"/>
  <c r="K179" i="10" a="1"/>
  <c r="K179" i="10" s="1"/>
  <c r="E179" i="10"/>
  <c r="D179" i="10"/>
  <c r="K178" i="10" a="1"/>
  <c r="K178" i="10" s="1"/>
  <c r="E178" i="10"/>
  <c r="D178" i="10"/>
  <c r="K177" i="10" a="1"/>
  <c r="K177" i="10" s="1"/>
  <c r="E177" i="10"/>
  <c r="D177" i="10"/>
  <c r="K176" i="10" a="1"/>
  <c r="K176" i="10" s="1"/>
  <c r="E176" i="10"/>
  <c r="D176" i="10"/>
  <c r="K175" i="10" a="1"/>
  <c r="K175" i="10" s="1"/>
  <c r="E175" i="10"/>
  <c r="D175" i="10"/>
  <c r="K174" i="10" a="1"/>
  <c r="K174" i="10" s="1"/>
  <c r="E174" i="10"/>
  <c r="D174" i="10"/>
  <c r="K173" i="10" a="1"/>
  <c r="K173" i="10" s="1"/>
  <c r="E173" i="10"/>
  <c r="D173" i="10"/>
  <c r="K172" i="10" a="1"/>
  <c r="K172" i="10" s="1"/>
  <c r="E172" i="10"/>
  <c r="D172" i="10"/>
  <c r="K171" i="10" a="1"/>
  <c r="K171" i="10" s="1"/>
  <c r="E171" i="10"/>
  <c r="D171" i="10"/>
  <c r="K170" i="10" a="1"/>
  <c r="K170" i="10" s="1"/>
  <c r="E170" i="10"/>
  <c r="D170" i="10"/>
  <c r="K169" i="10" a="1"/>
  <c r="K169" i="10" s="1"/>
  <c r="E169" i="10"/>
  <c r="D169" i="10"/>
  <c r="K168" i="10" a="1"/>
  <c r="K168" i="10" s="1"/>
  <c r="E168" i="10"/>
  <c r="D168" i="10"/>
  <c r="K167" i="10" a="1"/>
  <c r="K167" i="10" s="1"/>
  <c r="E167" i="10"/>
  <c r="D167" i="10"/>
  <c r="K166" i="10" a="1"/>
  <c r="K166" i="10" s="1"/>
  <c r="E166" i="10"/>
  <c r="D166" i="10"/>
  <c r="K165" i="10" a="1"/>
  <c r="K165" i="10" s="1"/>
  <c r="E165" i="10"/>
  <c r="D165" i="10"/>
  <c r="K164" i="10" a="1"/>
  <c r="K164" i="10" s="1"/>
  <c r="E164" i="10"/>
  <c r="D164" i="10"/>
  <c r="K163" i="10" a="1"/>
  <c r="K163" i="10" s="1"/>
  <c r="E163" i="10"/>
  <c r="D163" i="10"/>
  <c r="K162" i="10" a="1"/>
  <c r="K162" i="10" s="1"/>
  <c r="E162" i="10"/>
  <c r="D162" i="10"/>
  <c r="K161" i="10" a="1"/>
  <c r="K161" i="10" s="1"/>
  <c r="E161" i="10"/>
  <c r="D161" i="10"/>
  <c r="K160" i="10" a="1"/>
  <c r="K160" i="10" s="1"/>
  <c r="E160" i="10"/>
  <c r="D160" i="10"/>
  <c r="K159" i="10" a="1"/>
  <c r="K159" i="10" s="1"/>
  <c r="E159" i="10"/>
  <c r="D159" i="10"/>
  <c r="K158" i="10" a="1"/>
  <c r="K158" i="10" s="1"/>
  <c r="E158" i="10"/>
  <c r="D158" i="10"/>
  <c r="K157" i="10" a="1"/>
  <c r="K157" i="10" s="1"/>
  <c r="E157" i="10"/>
  <c r="D157" i="10"/>
  <c r="K156" i="10" a="1"/>
  <c r="K156" i="10" s="1"/>
  <c r="E156" i="10"/>
  <c r="D156" i="10"/>
  <c r="K155" i="10" a="1"/>
  <c r="K155" i="10" s="1"/>
  <c r="E155" i="10"/>
  <c r="D155" i="10"/>
  <c r="K154" i="10" a="1"/>
  <c r="K154" i="10" s="1"/>
  <c r="E154" i="10"/>
  <c r="D154" i="10"/>
  <c r="K153" i="10" a="1"/>
  <c r="K153" i="10" s="1"/>
  <c r="E153" i="10"/>
  <c r="D153" i="10"/>
  <c r="K152" i="10" a="1"/>
  <c r="K152" i="10" s="1"/>
  <c r="E152" i="10"/>
  <c r="D152" i="10"/>
  <c r="K151" i="10" a="1"/>
  <c r="K151" i="10" s="1"/>
  <c r="E151" i="10"/>
  <c r="D151" i="10"/>
  <c r="K150" i="10" a="1"/>
  <c r="K150" i="10" s="1"/>
  <c r="E150" i="10"/>
  <c r="D150" i="10"/>
  <c r="K149" i="10" a="1"/>
  <c r="K149" i="10" s="1"/>
  <c r="E149" i="10"/>
  <c r="D149" i="10"/>
  <c r="K148" i="10" a="1"/>
  <c r="K148" i="10" s="1"/>
  <c r="E148" i="10"/>
  <c r="D148" i="10"/>
  <c r="K147" i="10" a="1"/>
  <c r="K147" i="10" s="1"/>
  <c r="E147" i="10"/>
  <c r="D147" i="10"/>
  <c r="K146" i="10" a="1"/>
  <c r="K146" i="10" s="1"/>
  <c r="E146" i="10"/>
  <c r="D146" i="10"/>
  <c r="K145" i="10" a="1"/>
  <c r="K145" i="10" s="1"/>
  <c r="E145" i="10"/>
  <c r="D145" i="10"/>
  <c r="K144" i="10" a="1"/>
  <c r="K144" i="10" s="1"/>
  <c r="E144" i="10"/>
  <c r="D144" i="10"/>
  <c r="K143" i="10" a="1"/>
  <c r="K143" i="10" s="1"/>
  <c r="E143" i="10"/>
  <c r="D143" i="10"/>
  <c r="K142" i="10" a="1"/>
  <c r="K142" i="10" s="1"/>
  <c r="E142" i="10"/>
  <c r="D142" i="10"/>
  <c r="K141" i="10" a="1"/>
  <c r="K141" i="10" s="1"/>
  <c r="E141" i="10"/>
  <c r="D141" i="10"/>
  <c r="K140" i="10" a="1"/>
  <c r="K140" i="10" s="1"/>
  <c r="E140" i="10"/>
  <c r="D140" i="10"/>
  <c r="K139" i="10" a="1"/>
  <c r="K139" i="10" s="1"/>
  <c r="E139" i="10"/>
  <c r="D139" i="10"/>
  <c r="K138" i="10" a="1"/>
  <c r="K138" i="10" s="1"/>
  <c r="E138" i="10"/>
  <c r="D138" i="10"/>
  <c r="K137" i="10" a="1"/>
  <c r="K137" i="10" s="1"/>
  <c r="E137" i="10"/>
  <c r="D137" i="10"/>
  <c r="K136" i="10" a="1"/>
  <c r="K136" i="10" s="1"/>
  <c r="E136" i="10"/>
  <c r="D136" i="10"/>
  <c r="K135" i="10" a="1"/>
  <c r="K135" i="10" s="1"/>
  <c r="E135" i="10"/>
  <c r="D135" i="10"/>
  <c r="K134" i="10" a="1"/>
  <c r="K134" i="10" s="1"/>
  <c r="E134" i="10"/>
  <c r="D134" i="10"/>
  <c r="K133" i="10" a="1"/>
  <c r="K133" i="10" s="1"/>
  <c r="E133" i="10"/>
  <c r="D133" i="10"/>
  <c r="K132" i="10" a="1"/>
  <c r="K132" i="10" s="1"/>
  <c r="E132" i="10"/>
  <c r="D132" i="10"/>
  <c r="K131" i="10" a="1"/>
  <c r="K131" i="10" s="1"/>
  <c r="E131" i="10"/>
  <c r="D131" i="10"/>
  <c r="K130" i="10" a="1"/>
  <c r="K130" i="10" s="1"/>
  <c r="E130" i="10"/>
  <c r="D130" i="10"/>
  <c r="K129" i="10" a="1"/>
  <c r="K129" i="10" s="1"/>
  <c r="E129" i="10"/>
  <c r="D129" i="10"/>
  <c r="K128" i="10" a="1"/>
  <c r="K128" i="10" s="1"/>
  <c r="E128" i="10"/>
  <c r="D128" i="10"/>
  <c r="K127" i="10" a="1"/>
  <c r="K127" i="10" s="1"/>
  <c r="E127" i="10"/>
  <c r="D127" i="10"/>
  <c r="K126" i="10" a="1"/>
  <c r="K126" i="10" s="1"/>
  <c r="E126" i="10"/>
  <c r="D126" i="10"/>
  <c r="K125" i="10" a="1"/>
  <c r="K125" i="10" s="1"/>
  <c r="E125" i="10"/>
  <c r="D125" i="10"/>
  <c r="K124" i="10" a="1"/>
  <c r="K124" i="10" s="1"/>
  <c r="E124" i="10"/>
  <c r="D124" i="10"/>
  <c r="K123" i="10" a="1"/>
  <c r="K123" i="10" s="1"/>
  <c r="E123" i="10"/>
  <c r="D123" i="10"/>
  <c r="K122" i="10" a="1"/>
  <c r="K122" i="10" s="1"/>
  <c r="E122" i="10"/>
  <c r="D122" i="10"/>
  <c r="K121" i="10" a="1"/>
  <c r="K121" i="10" s="1"/>
  <c r="E121" i="10"/>
  <c r="D121" i="10"/>
  <c r="K120" i="10" a="1"/>
  <c r="K120" i="10" s="1"/>
  <c r="E120" i="10"/>
  <c r="D120" i="10"/>
  <c r="K119" i="10" a="1"/>
  <c r="K119" i="10" s="1"/>
  <c r="E119" i="10"/>
  <c r="D119" i="10"/>
  <c r="K118" i="10" a="1"/>
  <c r="K118" i="10" s="1"/>
  <c r="E118" i="10"/>
  <c r="D118" i="10"/>
  <c r="K117" i="10" a="1"/>
  <c r="K117" i="10" s="1"/>
  <c r="E117" i="10"/>
  <c r="D117" i="10"/>
  <c r="K116" i="10" a="1"/>
  <c r="K116" i="10" s="1"/>
  <c r="E116" i="10"/>
  <c r="D116" i="10"/>
  <c r="K115" i="10" a="1"/>
  <c r="K115" i="10" s="1"/>
  <c r="E115" i="10"/>
  <c r="D115" i="10"/>
  <c r="K114" i="10" a="1"/>
  <c r="K114" i="10" s="1"/>
  <c r="E114" i="10"/>
  <c r="D114" i="10"/>
  <c r="K113" i="10" a="1"/>
  <c r="K113" i="10" s="1"/>
  <c r="E113" i="10"/>
  <c r="D113" i="10"/>
  <c r="K112" i="10" a="1"/>
  <c r="K112" i="10" s="1"/>
  <c r="E112" i="10"/>
  <c r="D112" i="10"/>
  <c r="K111" i="10" a="1"/>
  <c r="K111" i="10" s="1"/>
  <c r="E111" i="10"/>
  <c r="D111" i="10"/>
  <c r="K110" i="10" a="1"/>
  <c r="K110" i="10" s="1"/>
  <c r="E110" i="10"/>
  <c r="D110" i="10"/>
  <c r="K109" i="10" a="1"/>
  <c r="K109" i="10" s="1"/>
  <c r="E109" i="10"/>
  <c r="D109" i="10"/>
  <c r="K108" i="10" a="1"/>
  <c r="K108" i="10" s="1"/>
  <c r="E108" i="10"/>
  <c r="D108" i="10"/>
  <c r="K107" i="10" a="1"/>
  <c r="K107" i="10" s="1"/>
  <c r="E107" i="10"/>
  <c r="D107" i="10"/>
  <c r="K106" i="10" a="1"/>
  <c r="K106" i="10" s="1"/>
  <c r="E106" i="10"/>
  <c r="D106" i="10"/>
  <c r="K105" i="10" a="1"/>
  <c r="K105" i="10" s="1"/>
  <c r="E105" i="10"/>
  <c r="D105" i="10"/>
  <c r="K104" i="10" a="1"/>
  <c r="K104" i="10" s="1"/>
  <c r="E104" i="10"/>
  <c r="D104" i="10"/>
  <c r="K103" i="10" a="1"/>
  <c r="K103" i="10" s="1"/>
  <c r="E103" i="10"/>
  <c r="D103" i="10"/>
  <c r="K102" i="10" a="1"/>
  <c r="K102" i="10" s="1"/>
  <c r="E102" i="10"/>
  <c r="D102" i="10"/>
  <c r="K101" i="10" a="1"/>
  <c r="K101" i="10" s="1"/>
  <c r="E101" i="10"/>
  <c r="D101" i="10"/>
  <c r="K100" i="10" a="1"/>
  <c r="K100" i="10" s="1"/>
  <c r="E100" i="10"/>
  <c r="D100" i="10"/>
  <c r="K99" i="10" a="1"/>
  <c r="K99" i="10" s="1"/>
  <c r="E99" i="10"/>
  <c r="D99" i="10"/>
  <c r="K98" i="10" a="1"/>
  <c r="K98" i="10" s="1"/>
  <c r="E98" i="10"/>
  <c r="D98" i="10"/>
  <c r="K97" i="10" a="1"/>
  <c r="K97" i="10" s="1"/>
  <c r="E97" i="10"/>
  <c r="D97" i="10"/>
  <c r="K96" i="10" a="1"/>
  <c r="K96" i="10" s="1"/>
  <c r="E96" i="10"/>
  <c r="D96" i="10"/>
  <c r="K95" i="10" a="1"/>
  <c r="K95" i="10" s="1"/>
  <c r="E95" i="10"/>
  <c r="D95" i="10"/>
  <c r="K94" i="10" a="1"/>
  <c r="K94" i="10" s="1"/>
  <c r="E94" i="10"/>
  <c r="D94" i="10"/>
  <c r="K93" i="10" a="1"/>
  <c r="K93" i="10" s="1"/>
  <c r="E93" i="10"/>
  <c r="D93" i="10"/>
  <c r="K92" i="10" a="1"/>
  <c r="K92" i="10" s="1"/>
  <c r="E92" i="10"/>
  <c r="D92" i="10"/>
  <c r="K91" i="10" a="1"/>
  <c r="K91" i="10" s="1"/>
  <c r="E91" i="10"/>
  <c r="D91" i="10"/>
  <c r="K90" i="10" a="1"/>
  <c r="K90" i="10" s="1"/>
  <c r="E90" i="10"/>
  <c r="D90" i="10"/>
  <c r="K89" i="10" a="1"/>
  <c r="K89" i="10" s="1"/>
  <c r="E89" i="10"/>
  <c r="D89" i="10"/>
  <c r="K88" i="10" a="1"/>
  <c r="K88" i="10" s="1"/>
  <c r="E88" i="10"/>
  <c r="D88" i="10"/>
  <c r="K87" i="10" a="1"/>
  <c r="K87" i="10" s="1"/>
  <c r="E87" i="10"/>
  <c r="D87" i="10"/>
  <c r="K86" i="10" a="1"/>
  <c r="K86" i="10" s="1"/>
  <c r="E86" i="10"/>
  <c r="D86" i="10"/>
  <c r="K85" i="10" a="1"/>
  <c r="K85" i="10" s="1"/>
  <c r="E85" i="10"/>
  <c r="D85" i="10"/>
  <c r="K84" i="10" a="1"/>
  <c r="K84" i="10" s="1"/>
  <c r="E84" i="10"/>
  <c r="D84" i="10"/>
  <c r="K83" i="10" a="1"/>
  <c r="K83" i="10" s="1"/>
  <c r="E83" i="10"/>
  <c r="D83" i="10"/>
  <c r="K82" i="10" a="1"/>
  <c r="K82" i="10" s="1"/>
  <c r="E82" i="10"/>
  <c r="D82" i="10"/>
  <c r="K81" i="10" a="1"/>
  <c r="K81" i="10" s="1"/>
  <c r="E81" i="10"/>
  <c r="D81" i="10"/>
  <c r="K80" i="10" a="1"/>
  <c r="K80" i="10" s="1"/>
  <c r="E80" i="10"/>
  <c r="D80" i="10"/>
  <c r="K79" i="10" a="1"/>
  <c r="K79" i="10" s="1"/>
  <c r="E79" i="10"/>
  <c r="D79" i="10"/>
  <c r="K78" i="10" a="1"/>
  <c r="K78" i="10" s="1"/>
  <c r="E78" i="10"/>
  <c r="D78" i="10"/>
  <c r="K77" i="10" a="1"/>
  <c r="K77" i="10" s="1"/>
  <c r="E77" i="10"/>
  <c r="D77" i="10"/>
  <c r="K76" i="10" a="1"/>
  <c r="K76" i="10" s="1"/>
  <c r="E76" i="10"/>
  <c r="D76" i="10"/>
  <c r="K75" i="10" a="1"/>
  <c r="K75" i="10" s="1"/>
  <c r="E75" i="10"/>
  <c r="D75" i="10"/>
  <c r="K74" i="10" a="1"/>
  <c r="K74" i="10" s="1"/>
  <c r="E74" i="10"/>
  <c r="D74" i="10"/>
  <c r="K73" i="10" a="1"/>
  <c r="K73" i="10" s="1"/>
  <c r="E73" i="10"/>
  <c r="D73" i="10"/>
  <c r="K72" i="10" a="1"/>
  <c r="K72" i="10" s="1"/>
  <c r="E72" i="10"/>
  <c r="D72" i="10"/>
  <c r="K71" i="10" a="1"/>
  <c r="K71" i="10" s="1"/>
  <c r="E71" i="10"/>
  <c r="D71" i="10"/>
  <c r="K70" i="10" a="1"/>
  <c r="K70" i="10" s="1"/>
  <c r="E70" i="10"/>
  <c r="D70" i="10"/>
  <c r="K69" i="10" a="1"/>
  <c r="K69" i="10" s="1"/>
  <c r="E69" i="10"/>
  <c r="D69" i="10"/>
  <c r="K68" i="10" a="1"/>
  <c r="K68" i="10" s="1"/>
  <c r="E68" i="10"/>
  <c r="D68" i="10"/>
  <c r="K67" i="10" a="1"/>
  <c r="K67" i="10" s="1"/>
  <c r="E67" i="10"/>
  <c r="D67" i="10"/>
  <c r="K66" i="10" a="1"/>
  <c r="K66" i="10" s="1"/>
  <c r="E66" i="10"/>
  <c r="D66" i="10"/>
  <c r="K65" i="10" a="1"/>
  <c r="K65" i="10" s="1"/>
  <c r="E65" i="10"/>
  <c r="D65" i="10"/>
  <c r="K64" i="10" a="1"/>
  <c r="K64" i="10" s="1"/>
  <c r="E64" i="10"/>
  <c r="D64" i="10"/>
  <c r="K63" i="10" a="1"/>
  <c r="K63" i="10" s="1"/>
  <c r="E63" i="10"/>
  <c r="D63" i="10"/>
  <c r="K62" i="10" a="1"/>
  <c r="K62" i="10" s="1"/>
  <c r="E62" i="10"/>
  <c r="D62" i="10"/>
  <c r="K61" i="10" a="1"/>
  <c r="K61" i="10" s="1"/>
  <c r="E61" i="10"/>
  <c r="D61" i="10"/>
  <c r="K60" i="10" a="1"/>
  <c r="K60" i="10" s="1"/>
  <c r="E60" i="10"/>
  <c r="D60" i="10"/>
  <c r="K59" i="10" a="1"/>
  <c r="K59" i="10" s="1"/>
  <c r="E59" i="10"/>
  <c r="D59" i="10"/>
  <c r="K58" i="10" a="1"/>
  <c r="K58" i="10" s="1"/>
  <c r="E58" i="10"/>
  <c r="D58" i="10"/>
  <c r="K57" i="10" a="1"/>
  <c r="K57" i="10" s="1"/>
  <c r="E57" i="10"/>
  <c r="D57" i="10"/>
  <c r="K56" i="10" a="1"/>
  <c r="K56" i="10" s="1"/>
  <c r="E56" i="10"/>
  <c r="D56" i="10"/>
  <c r="K55" i="10" a="1"/>
  <c r="K55" i="10" s="1"/>
  <c r="E55" i="10"/>
  <c r="D55" i="10"/>
  <c r="K54" i="10" a="1"/>
  <c r="K54" i="10" s="1"/>
  <c r="E54" i="10"/>
  <c r="D54" i="10"/>
  <c r="K53" i="10" a="1"/>
  <c r="K53" i="10" s="1"/>
  <c r="E53" i="10"/>
  <c r="D53" i="10"/>
  <c r="K52" i="10" a="1"/>
  <c r="K52" i="10" s="1"/>
  <c r="E52" i="10"/>
  <c r="D52" i="10"/>
  <c r="K51" i="10" a="1"/>
  <c r="K51" i="10" s="1"/>
  <c r="E51" i="10"/>
  <c r="D51" i="10"/>
  <c r="K50" i="10" a="1"/>
  <c r="K50" i="10" s="1"/>
  <c r="E50" i="10"/>
  <c r="D50" i="10"/>
  <c r="K49" i="10" a="1"/>
  <c r="K49" i="10" s="1"/>
  <c r="E49" i="10"/>
  <c r="D49" i="10"/>
  <c r="K48" i="10" a="1"/>
  <c r="K48" i="10" s="1"/>
  <c r="E48" i="10"/>
  <c r="D48" i="10"/>
  <c r="K47" i="10" a="1"/>
  <c r="K47" i="10" s="1"/>
  <c r="E47" i="10"/>
  <c r="D47" i="10"/>
  <c r="K46" i="10" a="1"/>
  <c r="K46" i="10" s="1"/>
  <c r="E46" i="10"/>
  <c r="D46" i="10"/>
  <c r="K45" i="10" a="1"/>
  <c r="K45" i="10" s="1"/>
  <c r="E45" i="10"/>
  <c r="D45" i="10"/>
  <c r="K44" i="10" a="1"/>
  <c r="K44" i="10" s="1"/>
  <c r="E44" i="10"/>
  <c r="D44" i="10"/>
  <c r="K43" i="10" a="1"/>
  <c r="K43" i="10" s="1"/>
  <c r="E43" i="10"/>
  <c r="D43" i="10"/>
  <c r="K42" i="10" a="1"/>
  <c r="K42" i="10" s="1"/>
  <c r="E42" i="10"/>
  <c r="D42" i="10"/>
  <c r="K41" i="10" a="1"/>
  <c r="K41" i="10" s="1"/>
  <c r="E41" i="10"/>
  <c r="D41" i="10"/>
  <c r="K40" i="10" a="1"/>
  <c r="K40" i="10" s="1"/>
  <c r="E40" i="10"/>
  <c r="D40" i="10"/>
  <c r="K39" i="10" a="1"/>
  <c r="K39" i="10" s="1"/>
  <c r="E39" i="10"/>
  <c r="D39" i="10"/>
  <c r="K38" i="10" a="1"/>
  <c r="K38" i="10" s="1"/>
  <c r="E38" i="10"/>
  <c r="D38" i="10"/>
  <c r="K37" i="10" a="1"/>
  <c r="K37" i="10" s="1"/>
  <c r="E37" i="10"/>
  <c r="D37" i="10"/>
  <c r="K36" i="10" a="1"/>
  <c r="K36" i="10" s="1"/>
  <c r="E36" i="10"/>
  <c r="D36" i="10"/>
  <c r="K35" i="10" a="1"/>
  <c r="K35" i="10" s="1"/>
  <c r="E35" i="10"/>
  <c r="D35" i="10"/>
  <c r="K34" i="10" a="1"/>
  <c r="K34" i="10" s="1"/>
  <c r="E34" i="10"/>
  <c r="D34" i="10"/>
  <c r="K33" i="10" a="1"/>
  <c r="K33" i="10" s="1"/>
  <c r="E33" i="10"/>
  <c r="D33" i="10"/>
  <c r="K32" i="10" a="1"/>
  <c r="K32" i="10" s="1"/>
  <c r="E32" i="10"/>
  <c r="D32" i="10"/>
  <c r="K31" i="10" a="1"/>
  <c r="K31" i="10" s="1"/>
  <c r="E31" i="10"/>
  <c r="D31" i="10"/>
  <c r="K30" i="10" a="1"/>
  <c r="K30" i="10" s="1"/>
  <c r="E30" i="10"/>
  <c r="D30" i="10"/>
  <c r="K29" i="10" a="1"/>
  <c r="K29" i="10" s="1"/>
  <c r="E29" i="10"/>
  <c r="D29" i="10"/>
  <c r="K28" i="10" a="1"/>
  <c r="K28" i="10" s="1"/>
  <c r="E28" i="10"/>
  <c r="D28" i="10"/>
  <c r="K27" i="10" a="1"/>
  <c r="K27" i="10" s="1"/>
  <c r="E27" i="10"/>
  <c r="D27" i="10"/>
  <c r="K26" i="10" a="1"/>
  <c r="K26" i="10" s="1"/>
  <c r="E26" i="10"/>
  <c r="D26" i="10"/>
  <c r="K25" i="10" a="1"/>
  <c r="K25" i="10" s="1"/>
  <c r="E25" i="10"/>
  <c r="D25" i="10"/>
  <c r="K24" i="10" a="1"/>
  <c r="K24" i="10" s="1"/>
  <c r="E24" i="10"/>
  <c r="D24" i="10"/>
  <c r="K23" i="10" a="1"/>
  <c r="K23" i="10" s="1"/>
  <c r="E23" i="10"/>
  <c r="D23" i="10"/>
  <c r="K22" i="10" a="1"/>
  <c r="K22" i="10" s="1"/>
  <c r="E22" i="10"/>
  <c r="D22" i="10"/>
  <c r="K21" i="10" a="1"/>
  <c r="K21" i="10" s="1"/>
  <c r="E21" i="10"/>
  <c r="D21" i="10"/>
  <c r="K20" i="10" a="1"/>
  <c r="K20" i="10" s="1"/>
  <c r="E20" i="10"/>
  <c r="D20" i="10"/>
  <c r="K19" i="10" a="1"/>
  <c r="K19" i="10" s="1"/>
  <c r="E19" i="10"/>
  <c r="D19" i="10"/>
  <c r="K18" i="10" a="1"/>
  <c r="K18" i="10" s="1"/>
  <c r="E18" i="10"/>
  <c r="D18" i="10"/>
  <c r="K17" i="10" a="1"/>
  <c r="K17" i="10" s="1"/>
  <c r="E17" i="10"/>
  <c r="D17" i="10"/>
  <c r="K16" i="10" a="1"/>
  <c r="K16" i="10" s="1"/>
  <c r="E16" i="10"/>
  <c r="D16" i="10"/>
  <c r="K15" i="10" a="1"/>
  <c r="K15" i="10" s="1"/>
  <c r="E15" i="10"/>
  <c r="D15" i="10"/>
  <c r="K14" i="10" a="1"/>
  <c r="K14" i="10" s="1"/>
  <c r="E14" i="10"/>
  <c r="D14" i="10"/>
  <c r="K13" i="10" a="1"/>
  <c r="K13" i="10" s="1"/>
  <c r="E13" i="10"/>
  <c r="D13" i="10"/>
  <c r="K12" i="10" a="1"/>
  <c r="K12" i="10" s="1"/>
  <c r="E12" i="10"/>
  <c r="D12" i="10"/>
  <c r="K11" i="10" a="1"/>
  <c r="K11" i="10" s="1"/>
  <c r="K10" i="10" a="1"/>
  <c r="K10" i="10" s="1"/>
  <c r="K9" i="10" a="1"/>
  <c r="K9" i="10" s="1"/>
  <c r="K8" i="10" a="1"/>
  <c r="K8" i="10" s="1"/>
  <c r="K7" i="10" a="1"/>
  <c r="K7" i="10" s="1"/>
  <c r="K250" i="9" a="1"/>
  <c r="K250" i="9" s="1"/>
  <c r="E250" i="9"/>
  <c r="D250" i="9"/>
  <c r="K249" i="9" a="1"/>
  <c r="K249" i="9" s="1"/>
  <c r="E249" i="9"/>
  <c r="D249" i="9"/>
  <c r="K248" i="9" a="1"/>
  <c r="K248" i="9" s="1"/>
  <c r="E248" i="9"/>
  <c r="D248" i="9"/>
  <c r="K247" i="9" a="1"/>
  <c r="K247" i="9" s="1"/>
  <c r="E247" i="9"/>
  <c r="D247" i="9"/>
  <c r="K246" i="9" a="1"/>
  <c r="K246" i="9" s="1"/>
  <c r="E246" i="9"/>
  <c r="D246" i="9"/>
  <c r="K245" i="9" a="1"/>
  <c r="K245" i="9" s="1"/>
  <c r="E245" i="9"/>
  <c r="D245" i="9"/>
  <c r="K244" i="9" a="1"/>
  <c r="K244" i="9" s="1"/>
  <c r="E244" i="9"/>
  <c r="D244" i="9"/>
  <c r="K243" i="9" a="1"/>
  <c r="K243" i="9" s="1"/>
  <c r="E243" i="9"/>
  <c r="D243" i="9"/>
  <c r="K242" i="9" a="1"/>
  <c r="K242" i="9" s="1"/>
  <c r="E242" i="9"/>
  <c r="D242" i="9"/>
  <c r="K241" i="9" a="1"/>
  <c r="K241" i="9" s="1"/>
  <c r="E241" i="9"/>
  <c r="D241" i="9"/>
  <c r="K240" i="9" a="1"/>
  <c r="K240" i="9" s="1"/>
  <c r="E240" i="9"/>
  <c r="D240" i="9"/>
  <c r="K239" i="9" a="1"/>
  <c r="K239" i="9" s="1"/>
  <c r="E239" i="9"/>
  <c r="D239" i="9"/>
  <c r="K238" i="9" a="1"/>
  <c r="K238" i="9" s="1"/>
  <c r="E238" i="9"/>
  <c r="D238" i="9"/>
  <c r="K237" i="9" a="1"/>
  <c r="K237" i="9" s="1"/>
  <c r="E237" i="9"/>
  <c r="D237" i="9"/>
  <c r="K236" i="9" a="1"/>
  <c r="K236" i="9" s="1"/>
  <c r="E236" i="9"/>
  <c r="D236" i="9"/>
  <c r="K235" i="9" a="1"/>
  <c r="K235" i="9" s="1"/>
  <c r="E235" i="9"/>
  <c r="D235" i="9"/>
  <c r="K234" i="9" a="1"/>
  <c r="K234" i="9" s="1"/>
  <c r="E234" i="9"/>
  <c r="D234" i="9"/>
  <c r="K233" i="9" a="1"/>
  <c r="K233" i="9" s="1"/>
  <c r="E233" i="9"/>
  <c r="D233" i="9"/>
  <c r="K232" i="9" a="1"/>
  <c r="K232" i="9" s="1"/>
  <c r="E232" i="9"/>
  <c r="D232" i="9"/>
  <c r="K231" i="9" a="1"/>
  <c r="K231" i="9" s="1"/>
  <c r="E231" i="9"/>
  <c r="D231" i="9"/>
  <c r="K230" i="9" a="1"/>
  <c r="K230" i="9" s="1"/>
  <c r="E230" i="9"/>
  <c r="D230" i="9"/>
  <c r="K229" i="9" a="1"/>
  <c r="K229" i="9" s="1"/>
  <c r="E229" i="9"/>
  <c r="D229" i="9"/>
  <c r="K228" i="9" a="1"/>
  <c r="K228" i="9" s="1"/>
  <c r="E228" i="9"/>
  <c r="D228" i="9"/>
  <c r="K227" i="9" a="1"/>
  <c r="K227" i="9" s="1"/>
  <c r="E227" i="9"/>
  <c r="D227" i="9"/>
  <c r="K226" i="9" a="1"/>
  <c r="K226" i="9" s="1"/>
  <c r="E226" i="9"/>
  <c r="D226" i="9"/>
  <c r="K225" i="9" a="1"/>
  <c r="K225" i="9" s="1"/>
  <c r="E225" i="9"/>
  <c r="D225" i="9"/>
  <c r="K224" i="9" a="1"/>
  <c r="K224" i="9" s="1"/>
  <c r="E224" i="9"/>
  <c r="D224" i="9"/>
  <c r="K223" i="9" a="1"/>
  <c r="K223" i="9" s="1"/>
  <c r="E223" i="9"/>
  <c r="D223" i="9"/>
  <c r="K222" i="9" a="1"/>
  <c r="K222" i="9" s="1"/>
  <c r="E222" i="9"/>
  <c r="D222" i="9"/>
  <c r="K221" i="9" a="1"/>
  <c r="K221" i="9" s="1"/>
  <c r="E221" i="9"/>
  <c r="D221" i="9"/>
  <c r="K220" i="9" a="1"/>
  <c r="K220" i="9" s="1"/>
  <c r="E220" i="9"/>
  <c r="D220" i="9"/>
  <c r="K219" i="9" a="1"/>
  <c r="K219" i="9" s="1"/>
  <c r="E219" i="9"/>
  <c r="D219" i="9"/>
  <c r="K218" i="9" a="1"/>
  <c r="K218" i="9" s="1"/>
  <c r="E218" i="9"/>
  <c r="D218" i="9"/>
  <c r="K217" i="9" a="1"/>
  <c r="K217" i="9" s="1"/>
  <c r="E217" i="9"/>
  <c r="D217" i="9"/>
  <c r="K216" i="9" a="1"/>
  <c r="K216" i="9" s="1"/>
  <c r="E216" i="9"/>
  <c r="D216" i="9"/>
  <c r="K215" i="9" a="1"/>
  <c r="K215" i="9" s="1"/>
  <c r="E215" i="9"/>
  <c r="D215" i="9"/>
  <c r="K214" i="9" a="1"/>
  <c r="K214" i="9" s="1"/>
  <c r="E214" i="9"/>
  <c r="D214" i="9"/>
  <c r="K213" i="9" a="1"/>
  <c r="K213" i="9" s="1"/>
  <c r="E213" i="9"/>
  <c r="D213" i="9"/>
  <c r="K212" i="9" a="1"/>
  <c r="K212" i="9" s="1"/>
  <c r="E212" i="9"/>
  <c r="D212" i="9"/>
  <c r="K211" i="9" a="1"/>
  <c r="K211" i="9" s="1"/>
  <c r="E211" i="9"/>
  <c r="D211" i="9"/>
  <c r="K210" i="9" a="1"/>
  <c r="K210" i="9" s="1"/>
  <c r="E210" i="9"/>
  <c r="D210" i="9"/>
  <c r="K209" i="9" a="1"/>
  <c r="K209" i="9" s="1"/>
  <c r="E209" i="9"/>
  <c r="D209" i="9"/>
  <c r="K208" i="9" a="1"/>
  <c r="K208" i="9" s="1"/>
  <c r="E208" i="9"/>
  <c r="D208" i="9"/>
  <c r="K207" i="9" a="1"/>
  <c r="K207" i="9" s="1"/>
  <c r="E207" i="9"/>
  <c r="D207" i="9"/>
  <c r="K206" i="9" a="1"/>
  <c r="K206" i="9" s="1"/>
  <c r="E206" i="9"/>
  <c r="D206" i="9"/>
  <c r="K205" i="9" a="1"/>
  <c r="K205" i="9" s="1"/>
  <c r="E205" i="9"/>
  <c r="D205" i="9"/>
  <c r="K204" i="9" a="1"/>
  <c r="K204" i="9" s="1"/>
  <c r="E204" i="9"/>
  <c r="D204" i="9"/>
  <c r="K203" i="9" a="1"/>
  <c r="K203" i="9" s="1"/>
  <c r="E203" i="9"/>
  <c r="D203" i="9"/>
  <c r="K202" i="9" a="1"/>
  <c r="K202" i="9" s="1"/>
  <c r="E202" i="9"/>
  <c r="D202" i="9"/>
  <c r="K201" i="9" a="1"/>
  <c r="K201" i="9" s="1"/>
  <c r="E201" i="9"/>
  <c r="D201" i="9"/>
  <c r="K200" i="9" a="1"/>
  <c r="K200" i="9" s="1"/>
  <c r="E200" i="9"/>
  <c r="D200" i="9"/>
  <c r="K199" i="9" a="1"/>
  <c r="K199" i="9" s="1"/>
  <c r="E199" i="9"/>
  <c r="D199" i="9"/>
  <c r="K198" i="9" a="1"/>
  <c r="K198" i="9" s="1"/>
  <c r="E198" i="9"/>
  <c r="D198" i="9"/>
  <c r="K197" i="9" a="1"/>
  <c r="K197" i="9" s="1"/>
  <c r="E197" i="9"/>
  <c r="D197" i="9"/>
  <c r="K196" i="9" a="1"/>
  <c r="K196" i="9" s="1"/>
  <c r="E196" i="9"/>
  <c r="D196" i="9"/>
  <c r="K195" i="9" a="1"/>
  <c r="K195" i="9" s="1"/>
  <c r="E195" i="9"/>
  <c r="D195" i="9"/>
  <c r="K194" i="9" a="1"/>
  <c r="K194" i="9" s="1"/>
  <c r="E194" i="9"/>
  <c r="D194" i="9"/>
  <c r="K193" i="9" a="1"/>
  <c r="K193" i="9" s="1"/>
  <c r="E193" i="9"/>
  <c r="D193" i="9"/>
  <c r="K192" i="9" a="1"/>
  <c r="K192" i="9" s="1"/>
  <c r="E192" i="9"/>
  <c r="D192" i="9"/>
  <c r="K191" i="9" a="1"/>
  <c r="K191" i="9" s="1"/>
  <c r="E191" i="9"/>
  <c r="D191" i="9"/>
  <c r="K190" i="9" a="1"/>
  <c r="K190" i="9" s="1"/>
  <c r="E190" i="9"/>
  <c r="D190" i="9"/>
  <c r="K189" i="9" a="1"/>
  <c r="K189" i="9" s="1"/>
  <c r="E189" i="9"/>
  <c r="D189" i="9"/>
  <c r="K188" i="9" a="1"/>
  <c r="K188" i="9" s="1"/>
  <c r="E188" i="9"/>
  <c r="D188" i="9"/>
  <c r="K187" i="9" a="1"/>
  <c r="K187" i="9" s="1"/>
  <c r="E187" i="9"/>
  <c r="D187" i="9"/>
  <c r="K186" i="9" a="1"/>
  <c r="K186" i="9" s="1"/>
  <c r="E186" i="9"/>
  <c r="D186" i="9"/>
  <c r="K185" i="9" a="1"/>
  <c r="K185" i="9" s="1"/>
  <c r="E185" i="9"/>
  <c r="D185" i="9"/>
  <c r="K184" i="9" a="1"/>
  <c r="K184" i="9" s="1"/>
  <c r="E184" i="9"/>
  <c r="D184" i="9"/>
  <c r="K183" i="9" a="1"/>
  <c r="K183" i="9" s="1"/>
  <c r="E183" i="9"/>
  <c r="D183" i="9"/>
  <c r="K182" i="9" a="1"/>
  <c r="K182" i="9" s="1"/>
  <c r="E182" i="9"/>
  <c r="D182" i="9"/>
  <c r="K181" i="9" a="1"/>
  <c r="K181" i="9" s="1"/>
  <c r="E181" i="9"/>
  <c r="D181" i="9"/>
  <c r="K180" i="9" a="1"/>
  <c r="K180" i="9" s="1"/>
  <c r="E180" i="9"/>
  <c r="D180" i="9"/>
  <c r="K179" i="9" a="1"/>
  <c r="K179" i="9" s="1"/>
  <c r="E179" i="9"/>
  <c r="D179" i="9"/>
  <c r="K178" i="9" a="1"/>
  <c r="K178" i="9" s="1"/>
  <c r="E178" i="9"/>
  <c r="D178" i="9"/>
  <c r="K177" i="9" a="1"/>
  <c r="K177" i="9" s="1"/>
  <c r="E177" i="9"/>
  <c r="D177" i="9"/>
  <c r="K176" i="9" a="1"/>
  <c r="K176" i="9" s="1"/>
  <c r="E176" i="9"/>
  <c r="D176" i="9"/>
  <c r="K175" i="9" a="1"/>
  <c r="K175" i="9" s="1"/>
  <c r="E175" i="9"/>
  <c r="D175" i="9"/>
  <c r="K174" i="9" a="1"/>
  <c r="K174" i="9" s="1"/>
  <c r="E174" i="9"/>
  <c r="D174" i="9"/>
  <c r="K173" i="9" a="1"/>
  <c r="K173" i="9" s="1"/>
  <c r="E173" i="9"/>
  <c r="D173" i="9"/>
  <c r="K172" i="9" a="1"/>
  <c r="K172" i="9" s="1"/>
  <c r="E172" i="9"/>
  <c r="D172" i="9"/>
  <c r="K171" i="9" a="1"/>
  <c r="K171" i="9" s="1"/>
  <c r="E171" i="9"/>
  <c r="D171" i="9"/>
  <c r="K170" i="9" a="1"/>
  <c r="K170" i="9" s="1"/>
  <c r="E170" i="9"/>
  <c r="D170" i="9"/>
  <c r="K169" i="9" a="1"/>
  <c r="K169" i="9" s="1"/>
  <c r="E169" i="9"/>
  <c r="D169" i="9"/>
  <c r="K168" i="9" a="1"/>
  <c r="K168" i="9" s="1"/>
  <c r="E168" i="9"/>
  <c r="D168" i="9"/>
  <c r="K167" i="9" a="1"/>
  <c r="K167" i="9" s="1"/>
  <c r="E167" i="9"/>
  <c r="D167" i="9"/>
  <c r="K166" i="9" a="1"/>
  <c r="K166" i="9" s="1"/>
  <c r="E166" i="9"/>
  <c r="D166" i="9"/>
  <c r="K165" i="9" a="1"/>
  <c r="K165" i="9" s="1"/>
  <c r="E165" i="9"/>
  <c r="D165" i="9"/>
  <c r="K164" i="9" a="1"/>
  <c r="K164" i="9" s="1"/>
  <c r="E164" i="9"/>
  <c r="D164" i="9"/>
  <c r="K163" i="9" a="1"/>
  <c r="K163" i="9" s="1"/>
  <c r="E163" i="9"/>
  <c r="D163" i="9"/>
  <c r="K162" i="9" a="1"/>
  <c r="K162" i="9" s="1"/>
  <c r="E162" i="9"/>
  <c r="D162" i="9"/>
  <c r="K161" i="9" a="1"/>
  <c r="K161" i="9" s="1"/>
  <c r="E161" i="9"/>
  <c r="D161" i="9"/>
  <c r="K160" i="9" a="1"/>
  <c r="K160" i="9" s="1"/>
  <c r="E160" i="9"/>
  <c r="D160" i="9"/>
  <c r="K159" i="9" a="1"/>
  <c r="K159" i="9" s="1"/>
  <c r="E159" i="9"/>
  <c r="D159" i="9"/>
  <c r="K158" i="9" a="1"/>
  <c r="K158" i="9" s="1"/>
  <c r="E158" i="9"/>
  <c r="D158" i="9"/>
  <c r="K157" i="9" a="1"/>
  <c r="K157" i="9" s="1"/>
  <c r="E157" i="9"/>
  <c r="D157" i="9"/>
  <c r="K156" i="9" a="1"/>
  <c r="K156" i="9" s="1"/>
  <c r="E156" i="9"/>
  <c r="D156" i="9"/>
  <c r="K155" i="9" a="1"/>
  <c r="K155" i="9" s="1"/>
  <c r="E155" i="9"/>
  <c r="D155" i="9"/>
  <c r="K154" i="9" a="1"/>
  <c r="K154" i="9" s="1"/>
  <c r="E154" i="9"/>
  <c r="D154" i="9"/>
  <c r="K153" i="9" a="1"/>
  <c r="K153" i="9" s="1"/>
  <c r="E153" i="9"/>
  <c r="D153" i="9"/>
  <c r="K152" i="9" a="1"/>
  <c r="K152" i="9" s="1"/>
  <c r="E152" i="9"/>
  <c r="D152" i="9"/>
  <c r="K151" i="9" a="1"/>
  <c r="K151" i="9" s="1"/>
  <c r="E151" i="9"/>
  <c r="D151" i="9"/>
  <c r="K150" i="9" a="1"/>
  <c r="K150" i="9" s="1"/>
  <c r="E150" i="9"/>
  <c r="D150" i="9"/>
  <c r="K149" i="9" a="1"/>
  <c r="K149" i="9" s="1"/>
  <c r="E149" i="9"/>
  <c r="D149" i="9"/>
  <c r="K148" i="9" a="1"/>
  <c r="K148" i="9" s="1"/>
  <c r="E148" i="9"/>
  <c r="D148" i="9"/>
  <c r="K147" i="9" a="1"/>
  <c r="K147" i="9" s="1"/>
  <c r="E147" i="9"/>
  <c r="D147" i="9"/>
  <c r="K146" i="9" a="1"/>
  <c r="K146" i="9" s="1"/>
  <c r="E146" i="9"/>
  <c r="D146" i="9"/>
  <c r="K145" i="9" a="1"/>
  <c r="K145" i="9" s="1"/>
  <c r="E145" i="9"/>
  <c r="D145" i="9"/>
  <c r="K144" i="9" a="1"/>
  <c r="K144" i="9" s="1"/>
  <c r="E144" i="9"/>
  <c r="D144" i="9"/>
  <c r="K143" i="9" a="1"/>
  <c r="K143" i="9" s="1"/>
  <c r="E143" i="9"/>
  <c r="D143" i="9"/>
  <c r="K142" i="9" a="1"/>
  <c r="K142" i="9" s="1"/>
  <c r="E142" i="9"/>
  <c r="D142" i="9"/>
  <c r="K141" i="9" a="1"/>
  <c r="K141" i="9" s="1"/>
  <c r="E141" i="9"/>
  <c r="D141" i="9"/>
  <c r="K140" i="9" a="1"/>
  <c r="K140" i="9" s="1"/>
  <c r="E140" i="9"/>
  <c r="D140" i="9"/>
  <c r="K139" i="9" a="1"/>
  <c r="K139" i="9" s="1"/>
  <c r="E139" i="9"/>
  <c r="D139" i="9"/>
  <c r="K138" i="9" a="1"/>
  <c r="K138" i="9" s="1"/>
  <c r="E138" i="9"/>
  <c r="D138" i="9"/>
  <c r="K137" i="9" a="1"/>
  <c r="K137" i="9" s="1"/>
  <c r="E137" i="9"/>
  <c r="D137" i="9"/>
  <c r="K136" i="9" a="1"/>
  <c r="K136" i="9" s="1"/>
  <c r="E136" i="9"/>
  <c r="D136" i="9"/>
  <c r="K135" i="9" a="1"/>
  <c r="K135" i="9" s="1"/>
  <c r="E135" i="9"/>
  <c r="D135" i="9"/>
  <c r="K134" i="9" a="1"/>
  <c r="K134" i="9" s="1"/>
  <c r="E134" i="9"/>
  <c r="D134" i="9"/>
  <c r="K133" i="9" a="1"/>
  <c r="K133" i="9" s="1"/>
  <c r="E133" i="9"/>
  <c r="D133" i="9"/>
  <c r="K132" i="9" a="1"/>
  <c r="K132" i="9" s="1"/>
  <c r="E132" i="9"/>
  <c r="D132" i="9"/>
  <c r="K131" i="9" a="1"/>
  <c r="K131" i="9" s="1"/>
  <c r="E131" i="9"/>
  <c r="D131" i="9"/>
  <c r="K130" i="9" a="1"/>
  <c r="K130" i="9" s="1"/>
  <c r="E130" i="9"/>
  <c r="D130" i="9"/>
  <c r="K129" i="9" a="1"/>
  <c r="K129" i="9" s="1"/>
  <c r="E129" i="9"/>
  <c r="D129" i="9"/>
  <c r="K128" i="9" a="1"/>
  <c r="K128" i="9" s="1"/>
  <c r="E128" i="9"/>
  <c r="D128" i="9"/>
  <c r="K127" i="9" a="1"/>
  <c r="K127" i="9" s="1"/>
  <c r="E127" i="9"/>
  <c r="D127" i="9"/>
  <c r="K126" i="9" a="1"/>
  <c r="K126" i="9" s="1"/>
  <c r="E126" i="9"/>
  <c r="D126" i="9"/>
  <c r="K125" i="9" a="1"/>
  <c r="K125" i="9" s="1"/>
  <c r="E125" i="9"/>
  <c r="D125" i="9"/>
  <c r="K124" i="9" a="1"/>
  <c r="K124" i="9" s="1"/>
  <c r="E124" i="9"/>
  <c r="D124" i="9"/>
  <c r="K123" i="9" a="1"/>
  <c r="K123" i="9" s="1"/>
  <c r="E123" i="9"/>
  <c r="D123" i="9"/>
  <c r="K122" i="9" a="1"/>
  <c r="K122" i="9" s="1"/>
  <c r="E122" i="9"/>
  <c r="D122" i="9"/>
  <c r="K121" i="9" a="1"/>
  <c r="K121" i="9" s="1"/>
  <c r="E121" i="9"/>
  <c r="D121" i="9"/>
  <c r="K120" i="9" a="1"/>
  <c r="K120" i="9" s="1"/>
  <c r="E120" i="9"/>
  <c r="D120" i="9"/>
  <c r="K119" i="9" a="1"/>
  <c r="K119" i="9" s="1"/>
  <c r="E119" i="9"/>
  <c r="D119" i="9"/>
  <c r="K118" i="9" a="1"/>
  <c r="K118" i="9" s="1"/>
  <c r="E118" i="9"/>
  <c r="D118" i="9"/>
  <c r="K117" i="9" a="1"/>
  <c r="K117" i="9" s="1"/>
  <c r="E117" i="9"/>
  <c r="D117" i="9"/>
  <c r="K116" i="9" a="1"/>
  <c r="K116" i="9" s="1"/>
  <c r="E116" i="9"/>
  <c r="D116" i="9"/>
  <c r="K115" i="9" a="1"/>
  <c r="K115" i="9" s="1"/>
  <c r="E115" i="9"/>
  <c r="D115" i="9"/>
  <c r="K114" i="9" a="1"/>
  <c r="K114" i="9" s="1"/>
  <c r="E114" i="9"/>
  <c r="D114" i="9"/>
  <c r="K113" i="9" a="1"/>
  <c r="K113" i="9" s="1"/>
  <c r="E113" i="9"/>
  <c r="D113" i="9"/>
  <c r="K112" i="9" a="1"/>
  <c r="K112" i="9" s="1"/>
  <c r="E112" i="9"/>
  <c r="D112" i="9"/>
  <c r="K111" i="9" a="1"/>
  <c r="K111" i="9" s="1"/>
  <c r="E111" i="9"/>
  <c r="D111" i="9"/>
  <c r="K110" i="9" a="1"/>
  <c r="K110" i="9" s="1"/>
  <c r="E110" i="9"/>
  <c r="D110" i="9"/>
  <c r="K109" i="9" a="1"/>
  <c r="K109" i="9" s="1"/>
  <c r="E109" i="9"/>
  <c r="D109" i="9"/>
  <c r="K108" i="9" a="1"/>
  <c r="K108" i="9" s="1"/>
  <c r="E108" i="9"/>
  <c r="D108" i="9"/>
  <c r="K107" i="9" a="1"/>
  <c r="K107" i="9" s="1"/>
  <c r="E107" i="9"/>
  <c r="D107" i="9"/>
  <c r="K106" i="9" a="1"/>
  <c r="K106" i="9" s="1"/>
  <c r="E106" i="9"/>
  <c r="D106" i="9"/>
  <c r="K105" i="9" a="1"/>
  <c r="K105" i="9" s="1"/>
  <c r="E105" i="9"/>
  <c r="D105" i="9"/>
  <c r="K104" i="9" a="1"/>
  <c r="K104" i="9" s="1"/>
  <c r="E104" i="9"/>
  <c r="D104" i="9"/>
  <c r="K103" i="9" a="1"/>
  <c r="K103" i="9" s="1"/>
  <c r="E103" i="9"/>
  <c r="D103" i="9"/>
  <c r="K102" i="9" a="1"/>
  <c r="K102" i="9" s="1"/>
  <c r="E102" i="9"/>
  <c r="D102" i="9"/>
  <c r="K101" i="9" a="1"/>
  <c r="K101" i="9" s="1"/>
  <c r="E101" i="9"/>
  <c r="D101" i="9"/>
  <c r="K100" i="9" a="1"/>
  <c r="K100" i="9" s="1"/>
  <c r="E100" i="9"/>
  <c r="D100" i="9"/>
  <c r="K99" i="9" a="1"/>
  <c r="K99" i="9" s="1"/>
  <c r="E99" i="9"/>
  <c r="D99" i="9"/>
  <c r="K98" i="9" a="1"/>
  <c r="K98" i="9" s="1"/>
  <c r="E98" i="9"/>
  <c r="D98" i="9"/>
  <c r="K97" i="9" a="1"/>
  <c r="K97" i="9" s="1"/>
  <c r="E97" i="9"/>
  <c r="D97" i="9"/>
  <c r="K96" i="9" a="1"/>
  <c r="K96" i="9" s="1"/>
  <c r="E96" i="9"/>
  <c r="D96" i="9"/>
  <c r="K95" i="9" a="1"/>
  <c r="K95" i="9" s="1"/>
  <c r="E95" i="9"/>
  <c r="D95" i="9"/>
  <c r="K94" i="9" a="1"/>
  <c r="K94" i="9" s="1"/>
  <c r="E94" i="9"/>
  <c r="D94" i="9"/>
  <c r="K93" i="9" a="1"/>
  <c r="K93" i="9" s="1"/>
  <c r="E93" i="9"/>
  <c r="D93" i="9"/>
  <c r="K92" i="9" a="1"/>
  <c r="K92" i="9" s="1"/>
  <c r="E92" i="9"/>
  <c r="D92" i="9"/>
  <c r="K91" i="9" a="1"/>
  <c r="K91" i="9" s="1"/>
  <c r="E91" i="9"/>
  <c r="D91" i="9"/>
  <c r="K90" i="9" a="1"/>
  <c r="K90" i="9" s="1"/>
  <c r="E90" i="9"/>
  <c r="D90" i="9"/>
  <c r="K89" i="9" a="1"/>
  <c r="K89" i="9" s="1"/>
  <c r="E89" i="9"/>
  <c r="D89" i="9"/>
  <c r="K88" i="9" a="1"/>
  <c r="K88" i="9" s="1"/>
  <c r="E88" i="9"/>
  <c r="D88" i="9"/>
  <c r="K87" i="9" a="1"/>
  <c r="K87" i="9" s="1"/>
  <c r="E87" i="9"/>
  <c r="D87" i="9"/>
  <c r="K86" i="9" a="1"/>
  <c r="K86" i="9" s="1"/>
  <c r="E86" i="9"/>
  <c r="D86" i="9"/>
  <c r="K85" i="9" a="1"/>
  <c r="K85" i="9" s="1"/>
  <c r="E85" i="9"/>
  <c r="D85" i="9"/>
  <c r="K84" i="9" a="1"/>
  <c r="K84" i="9" s="1"/>
  <c r="E84" i="9"/>
  <c r="D84" i="9"/>
  <c r="K83" i="9" a="1"/>
  <c r="K83" i="9" s="1"/>
  <c r="E83" i="9"/>
  <c r="D83" i="9"/>
  <c r="K82" i="9" a="1"/>
  <c r="K82" i="9" s="1"/>
  <c r="E82" i="9"/>
  <c r="D82" i="9"/>
  <c r="K81" i="9" a="1"/>
  <c r="K81" i="9" s="1"/>
  <c r="E81" i="9"/>
  <c r="D81" i="9"/>
  <c r="K80" i="9" a="1"/>
  <c r="K80" i="9" s="1"/>
  <c r="E80" i="9"/>
  <c r="D80" i="9"/>
  <c r="K79" i="9" a="1"/>
  <c r="K79" i="9" s="1"/>
  <c r="E79" i="9"/>
  <c r="D79" i="9"/>
  <c r="K78" i="9" a="1"/>
  <c r="K78" i="9" s="1"/>
  <c r="E78" i="9"/>
  <c r="D78" i="9"/>
  <c r="K77" i="9" a="1"/>
  <c r="K77" i="9" s="1"/>
  <c r="E77" i="9"/>
  <c r="D77" i="9"/>
  <c r="K76" i="9" a="1"/>
  <c r="K76" i="9" s="1"/>
  <c r="E76" i="9"/>
  <c r="D76" i="9"/>
  <c r="K75" i="9" a="1"/>
  <c r="K75" i="9" s="1"/>
  <c r="E75" i="9"/>
  <c r="D75" i="9"/>
  <c r="K74" i="9" a="1"/>
  <c r="K74" i="9" s="1"/>
  <c r="E74" i="9"/>
  <c r="D74" i="9"/>
  <c r="K73" i="9" a="1"/>
  <c r="K73" i="9" s="1"/>
  <c r="E73" i="9"/>
  <c r="D73" i="9"/>
  <c r="K72" i="9" a="1"/>
  <c r="K72" i="9" s="1"/>
  <c r="E72" i="9"/>
  <c r="D72" i="9"/>
  <c r="K71" i="9" a="1"/>
  <c r="K71" i="9" s="1"/>
  <c r="E71" i="9"/>
  <c r="D71" i="9"/>
  <c r="K70" i="9" a="1"/>
  <c r="K70" i="9" s="1"/>
  <c r="E70" i="9"/>
  <c r="D70" i="9"/>
  <c r="K69" i="9" a="1"/>
  <c r="K69" i="9" s="1"/>
  <c r="E69" i="9"/>
  <c r="D69" i="9"/>
  <c r="K68" i="9" a="1"/>
  <c r="K68" i="9" s="1"/>
  <c r="E68" i="9"/>
  <c r="D68" i="9"/>
  <c r="K67" i="9" a="1"/>
  <c r="K67" i="9" s="1"/>
  <c r="E67" i="9"/>
  <c r="D67" i="9"/>
  <c r="K66" i="9" a="1"/>
  <c r="K66" i="9" s="1"/>
  <c r="E66" i="9"/>
  <c r="D66" i="9"/>
  <c r="K65" i="9" a="1"/>
  <c r="K65" i="9" s="1"/>
  <c r="E65" i="9"/>
  <c r="D65" i="9"/>
  <c r="K64" i="9" a="1"/>
  <c r="K64" i="9" s="1"/>
  <c r="E64" i="9"/>
  <c r="D64" i="9"/>
  <c r="K63" i="9" a="1"/>
  <c r="K63" i="9" s="1"/>
  <c r="E63" i="9"/>
  <c r="D63" i="9"/>
  <c r="K62" i="9" a="1"/>
  <c r="K62" i="9" s="1"/>
  <c r="E62" i="9"/>
  <c r="D62" i="9"/>
  <c r="K61" i="9" a="1"/>
  <c r="K61" i="9" s="1"/>
  <c r="E61" i="9"/>
  <c r="D61" i="9"/>
  <c r="K60" i="9" a="1"/>
  <c r="K60" i="9" s="1"/>
  <c r="E60" i="9"/>
  <c r="D60" i="9"/>
  <c r="K59" i="9" a="1"/>
  <c r="K59" i="9" s="1"/>
  <c r="E59" i="9"/>
  <c r="D59" i="9"/>
  <c r="K58" i="9" a="1"/>
  <c r="K58" i="9" s="1"/>
  <c r="E58" i="9"/>
  <c r="D58" i="9"/>
  <c r="K57" i="9" a="1"/>
  <c r="K57" i="9" s="1"/>
  <c r="E57" i="9"/>
  <c r="D57" i="9"/>
  <c r="K56" i="9" a="1"/>
  <c r="K56" i="9" s="1"/>
  <c r="E56" i="9"/>
  <c r="D56" i="9"/>
  <c r="K55" i="9" a="1"/>
  <c r="K55" i="9" s="1"/>
  <c r="E55" i="9"/>
  <c r="D55" i="9"/>
  <c r="K54" i="9" a="1"/>
  <c r="K54" i="9" s="1"/>
  <c r="E54" i="9"/>
  <c r="D54" i="9"/>
  <c r="K53" i="9" a="1"/>
  <c r="K53" i="9" s="1"/>
  <c r="E53" i="9"/>
  <c r="D53" i="9"/>
  <c r="K52" i="9" a="1"/>
  <c r="K52" i="9" s="1"/>
  <c r="E52" i="9"/>
  <c r="D52" i="9"/>
  <c r="K51" i="9" a="1"/>
  <c r="K51" i="9" s="1"/>
  <c r="E51" i="9"/>
  <c r="D51" i="9"/>
  <c r="K50" i="9" a="1"/>
  <c r="K50" i="9" s="1"/>
  <c r="E50" i="9"/>
  <c r="D50" i="9"/>
  <c r="K49" i="9" a="1"/>
  <c r="K49" i="9" s="1"/>
  <c r="E49" i="9"/>
  <c r="D49" i="9"/>
  <c r="K48" i="9" a="1"/>
  <c r="K48" i="9" s="1"/>
  <c r="E48" i="9"/>
  <c r="D48" i="9"/>
  <c r="K47" i="9" a="1"/>
  <c r="K47" i="9" s="1"/>
  <c r="E47" i="9"/>
  <c r="D47" i="9"/>
  <c r="K46" i="9" a="1"/>
  <c r="K46" i="9" s="1"/>
  <c r="E46" i="9"/>
  <c r="D46" i="9"/>
  <c r="K45" i="9" a="1"/>
  <c r="K45" i="9" s="1"/>
  <c r="E45" i="9"/>
  <c r="D45" i="9"/>
  <c r="K44" i="9" a="1"/>
  <c r="K44" i="9" s="1"/>
  <c r="E44" i="9"/>
  <c r="D44" i="9"/>
  <c r="K43" i="9" a="1"/>
  <c r="K43" i="9" s="1"/>
  <c r="E43" i="9"/>
  <c r="D43" i="9"/>
  <c r="K42" i="9" a="1"/>
  <c r="K42" i="9" s="1"/>
  <c r="E42" i="9"/>
  <c r="D42" i="9"/>
  <c r="K41" i="9" a="1"/>
  <c r="K41" i="9" s="1"/>
  <c r="E41" i="9"/>
  <c r="D41" i="9"/>
  <c r="K40" i="9" a="1"/>
  <c r="K40" i="9" s="1"/>
  <c r="E40" i="9"/>
  <c r="D40" i="9"/>
  <c r="K39" i="9" a="1"/>
  <c r="K39" i="9" s="1"/>
  <c r="E39" i="9"/>
  <c r="D39" i="9"/>
  <c r="K38" i="9" a="1"/>
  <c r="K38" i="9" s="1"/>
  <c r="E38" i="9"/>
  <c r="D38" i="9"/>
  <c r="K37" i="9" a="1"/>
  <c r="K37" i="9" s="1"/>
  <c r="E37" i="9"/>
  <c r="D37" i="9"/>
  <c r="K36" i="9" a="1"/>
  <c r="K36" i="9" s="1"/>
  <c r="E36" i="9"/>
  <c r="D36" i="9"/>
  <c r="K35" i="9" a="1"/>
  <c r="K35" i="9" s="1"/>
  <c r="E35" i="9"/>
  <c r="D35" i="9"/>
  <c r="K34" i="9" a="1"/>
  <c r="K34" i="9" s="1"/>
  <c r="E34" i="9"/>
  <c r="D34" i="9"/>
  <c r="K33" i="9" a="1"/>
  <c r="K33" i="9" s="1"/>
  <c r="E33" i="9"/>
  <c r="D33" i="9"/>
  <c r="K32" i="9" a="1"/>
  <c r="K32" i="9" s="1"/>
  <c r="E32" i="9"/>
  <c r="D32" i="9"/>
  <c r="K31" i="9" a="1"/>
  <c r="K31" i="9" s="1"/>
  <c r="E31" i="9"/>
  <c r="D31" i="9"/>
  <c r="K30" i="9" a="1"/>
  <c r="K30" i="9" s="1"/>
  <c r="E30" i="9"/>
  <c r="D30" i="9"/>
  <c r="K29" i="9" a="1"/>
  <c r="K29" i="9" s="1"/>
  <c r="E29" i="9"/>
  <c r="D29" i="9"/>
  <c r="K28" i="9" a="1"/>
  <c r="K28" i="9" s="1"/>
  <c r="E28" i="9"/>
  <c r="D28" i="9"/>
  <c r="K27" i="9" a="1"/>
  <c r="K27" i="9" s="1"/>
  <c r="E27" i="9"/>
  <c r="D27" i="9"/>
  <c r="K26" i="9" a="1"/>
  <c r="K26" i="9" s="1"/>
  <c r="E26" i="9"/>
  <c r="D26" i="9"/>
  <c r="K25" i="9" a="1"/>
  <c r="K25" i="9" s="1"/>
  <c r="E25" i="9"/>
  <c r="D25" i="9"/>
  <c r="K24" i="9" a="1"/>
  <c r="K24" i="9" s="1"/>
  <c r="E24" i="9"/>
  <c r="D24" i="9"/>
  <c r="K23" i="9" a="1"/>
  <c r="K23" i="9" s="1"/>
  <c r="E23" i="9"/>
  <c r="D23" i="9"/>
  <c r="K22" i="9" a="1"/>
  <c r="K22" i="9" s="1"/>
  <c r="E22" i="9"/>
  <c r="D22" i="9"/>
  <c r="K21" i="9" a="1"/>
  <c r="K21" i="9" s="1"/>
  <c r="E21" i="9"/>
  <c r="D21" i="9"/>
  <c r="K20" i="9" a="1"/>
  <c r="K20" i="9" s="1"/>
  <c r="E20" i="9"/>
  <c r="D20" i="9"/>
  <c r="K19" i="9" a="1"/>
  <c r="K19" i="9" s="1"/>
  <c r="E19" i="9"/>
  <c r="D19" i="9"/>
  <c r="K18" i="9" a="1"/>
  <c r="K18" i="9" s="1"/>
  <c r="E18" i="9"/>
  <c r="D18" i="9"/>
  <c r="K17" i="9" a="1"/>
  <c r="K17" i="9" s="1"/>
  <c r="E17" i="9"/>
  <c r="D17" i="9"/>
  <c r="K16" i="9" a="1"/>
  <c r="K16" i="9" s="1"/>
  <c r="E16" i="9"/>
  <c r="D16" i="9"/>
  <c r="K15" i="9" a="1"/>
  <c r="K15" i="9" s="1"/>
  <c r="K14" i="9" a="1"/>
  <c r="K14" i="9" s="1"/>
  <c r="K13" i="9" a="1"/>
  <c r="K13" i="9" s="1"/>
  <c r="K12" i="9" a="1"/>
  <c r="K12" i="9" s="1"/>
  <c r="K11" i="9" a="1"/>
  <c r="K11" i="9" s="1"/>
  <c r="K10" i="9" a="1"/>
  <c r="K10" i="9" s="1"/>
  <c r="K9" i="9" a="1"/>
  <c r="K9" i="9" s="1"/>
  <c r="K8" i="9" a="1"/>
  <c r="K8" i="9" s="1"/>
  <c r="K7" i="9" a="1"/>
  <c r="K7" i="9" s="1"/>
  <c r="D11" i="3" l="1"/>
  <c r="T22" i="2" a="1"/>
  <c r="T22" i="2" s="1"/>
  <c r="T23" i="2" a="1"/>
  <c r="T23" i="2" s="1"/>
  <c r="T26" i="2" a="1"/>
  <c r="T26" i="2" s="1"/>
  <c r="T27" i="2" a="1"/>
  <c r="T27" i="2" s="1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8" i="2"/>
  <c r="N49" i="2"/>
  <c r="N50" i="2"/>
  <c r="N51" i="2"/>
  <c r="N52" i="2"/>
  <c r="K11" i="3" a="1"/>
  <c r="K11" i="3" s="1"/>
  <c r="K12" i="3" a="1"/>
  <c r="K12" i="3" s="1"/>
  <c r="K13" i="3" a="1"/>
  <c r="K13" i="3" s="1"/>
  <c r="K14" i="3" a="1"/>
  <c r="K14" i="3" s="1"/>
  <c r="K15" i="3" a="1"/>
  <c r="K15" i="3" s="1"/>
  <c r="K16" i="3" a="1"/>
  <c r="K16" i="3" s="1"/>
  <c r="K17" i="3" a="1"/>
  <c r="K17" i="3" s="1"/>
  <c r="K18" i="3" a="1"/>
  <c r="K18" i="3" s="1"/>
  <c r="K19" i="3" a="1"/>
  <c r="K19" i="3" s="1"/>
  <c r="K20" i="3" a="1"/>
  <c r="K20" i="3" s="1"/>
  <c r="K21" i="3" a="1"/>
  <c r="K21" i="3" s="1"/>
  <c r="K22" i="3" a="1"/>
  <c r="K22" i="3" s="1"/>
  <c r="K23" i="3" a="1"/>
  <c r="K23" i="3" s="1"/>
  <c r="K24" i="3" a="1"/>
  <c r="K24" i="3" s="1"/>
  <c r="K25" i="3" a="1"/>
  <c r="K25" i="3" s="1"/>
  <c r="K26" i="3" a="1"/>
  <c r="K26" i="3" s="1"/>
  <c r="K27" i="3" a="1"/>
  <c r="K27" i="3" s="1"/>
  <c r="K28" i="3" a="1"/>
  <c r="K28" i="3" s="1"/>
  <c r="K29" i="3" a="1"/>
  <c r="K29" i="3" s="1"/>
  <c r="K30" i="3" a="1"/>
  <c r="K30" i="3" s="1"/>
  <c r="K31" i="3" a="1"/>
  <c r="K31" i="3" s="1"/>
  <c r="K32" i="3" a="1"/>
  <c r="K32" i="3" s="1"/>
  <c r="K33" i="3" a="1"/>
  <c r="K33" i="3" s="1"/>
  <c r="K34" i="3" a="1"/>
  <c r="K34" i="3" s="1"/>
  <c r="K35" i="3" a="1"/>
  <c r="K35" i="3" s="1"/>
  <c r="K36" i="3" a="1"/>
  <c r="K36" i="3" s="1"/>
  <c r="K37" i="3" a="1"/>
  <c r="K37" i="3" s="1"/>
  <c r="K38" i="3" a="1"/>
  <c r="K38" i="3" s="1"/>
  <c r="K39" i="3" a="1"/>
  <c r="K39" i="3" s="1"/>
  <c r="K40" i="3" a="1"/>
  <c r="K40" i="3" s="1"/>
  <c r="K41" i="3" a="1"/>
  <c r="K41" i="3" s="1"/>
  <c r="K42" i="3" a="1"/>
  <c r="K42" i="3" s="1"/>
  <c r="K43" i="3" a="1"/>
  <c r="K43" i="3" s="1"/>
  <c r="K44" i="3" a="1"/>
  <c r="K44" i="3" s="1"/>
  <c r="K45" i="3" a="1"/>
  <c r="K45" i="3" s="1"/>
  <c r="K46" i="3" a="1"/>
  <c r="K46" i="3" s="1"/>
  <c r="K47" i="3" a="1"/>
  <c r="K47" i="3" s="1"/>
  <c r="K48" i="3" a="1"/>
  <c r="K48" i="3" s="1"/>
  <c r="K49" i="3" a="1"/>
  <c r="K49" i="3" s="1"/>
  <c r="K50" i="3" a="1"/>
  <c r="K50" i="3" s="1"/>
  <c r="K51" i="3" a="1"/>
  <c r="K51" i="3" s="1"/>
  <c r="K52" i="3" a="1"/>
  <c r="K52" i="3" s="1"/>
  <c r="K53" i="3" a="1"/>
  <c r="K53" i="3" s="1"/>
  <c r="K54" i="3" a="1"/>
  <c r="K54" i="3" s="1"/>
  <c r="K55" i="3" a="1"/>
  <c r="K55" i="3" s="1"/>
  <c r="K56" i="3" a="1"/>
  <c r="K56" i="3" s="1"/>
  <c r="K57" i="3" a="1"/>
  <c r="K57" i="3" s="1"/>
  <c r="K58" i="3" a="1"/>
  <c r="K58" i="3" s="1"/>
  <c r="K59" i="3" a="1"/>
  <c r="K59" i="3" s="1"/>
  <c r="K60" i="3" a="1"/>
  <c r="K60" i="3" s="1"/>
  <c r="K61" i="3" a="1"/>
  <c r="K61" i="3" s="1"/>
  <c r="K62" i="3" a="1"/>
  <c r="K62" i="3" s="1"/>
  <c r="K63" i="3" a="1"/>
  <c r="K63" i="3" s="1"/>
  <c r="K64" i="3" a="1"/>
  <c r="K64" i="3" s="1"/>
  <c r="K65" i="3" a="1"/>
  <c r="K65" i="3" s="1"/>
  <c r="K66" i="3" a="1"/>
  <c r="K66" i="3" s="1"/>
  <c r="K67" i="3" a="1"/>
  <c r="K67" i="3" s="1"/>
  <c r="K68" i="3" a="1"/>
  <c r="K68" i="3" s="1"/>
  <c r="K69" i="3" a="1"/>
  <c r="K69" i="3" s="1"/>
  <c r="K70" i="3" a="1"/>
  <c r="K70" i="3" s="1"/>
  <c r="K71" i="3" a="1"/>
  <c r="K71" i="3" s="1"/>
  <c r="K72" i="3" a="1"/>
  <c r="K72" i="3" s="1"/>
  <c r="K73" i="3" a="1"/>
  <c r="K73" i="3" s="1"/>
  <c r="K74" i="3" a="1"/>
  <c r="K74" i="3" s="1"/>
  <c r="K75" i="3" a="1"/>
  <c r="K75" i="3" s="1"/>
  <c r="K76" i="3" a="1"/>
  <c r="K76" i="3" s="1"/>
  <c r="K77" i="3" a="1"/>
  <c r="K77" i="3" s="1"/>
  <c r="K78" i="3" a="1"/>
  <c r="K78" i="3" s="1"/>
  <c r="K79" i="3" a="1"/>
  <c r="K79" i="3" s="1"/>
  <c r="K80" i="3" a="1"/>
  <c r="K80" i="3" s="1"/>
  <c r="K81" i="3" a="1"/>
  <c r="K81" i="3" s="1"/>
  <c r="K82" i="3" a="1"/>
  <c r="K82" i="3" s="1"/>
  <c r="K83" i="3" a="1"/>
  <c r="K83" i="3" s="1"/>
  <c r="K84" i="3" a="1"/>
  <c r="K84" i="3" s="1"/>
  <c r="K85" i="3" a="1"/>
  <c r="K85" i="3" s="1"/>
  <c r="K86" i="3" a="1"/>
  <c r="K86" i="3" s="1"/>
  <c r="K87" i="3" a="1"/>
  <c r="K87" i="3" s="1"/>
  <c r="K88" i="3" a="1"/>
  <c r="K88" i="3" s="1"/>
  <c r="K89" i="3" a="1"/>
  <c r="K89" i="3" s="1"/>
  <c r="K90" i="3" a="1"/>
  <c r="K90" i="3" s="1"/>
  <c r="K91" i="3" a="1"/>
  <c r="K91" i="3" s="1"/>
  <c r="K92" i="3" a="1"/>
  <c r="K92" i="3" s="1"/>
  <c r="K93" i="3" a="1"/>
  <c r="K93" i="3" s="1"/>
  <c r="K94" i="3" a="1"/>
  <c r="K94" i="3" s="1"/>
  <c r="K95" i="3" a="1"/>
  <c r="K95" i="3" s="1"/>
  <c r="K96" i="3" a="1"/>
  <c r="K96" i="3" s="1"/>
  <c r="K97" i="3" a="1"/>
  <c r="K97" i="3" s="1"/>
  <c r="K98" i="3" a="1"/>
  <c r="K98" i="3" s="1"/>
  <c r="K99" i="3" a="1"/>
  <c r="K99" i="3" s="1"/>
  <c r="K100" i="3" a="1"/>
  <c r="K100" i="3" s="1"/>
  <c r="K101" i="3" a="1"/>
  <c r="K101" i="3" s="1"/>
  <c r="K102" i="3" a="1"/>
  <c r="K102" i="3" s="1"/>
  <c r="K103" i="3" a="1"/>
  <c r="K103" i="3" s="1"/>
  <c r="K104" i="3" a="1"/>
  <c r="K104" i="3" s="1"/>
  <c r="K105" i="3" a="1"/>
  <c r="K105" i="3" s="1"/>
  <c r="K106" i="3" a="1"/>
  <c r="K106" i="3" s="1"/>
  <c r="K107" i="3" a="1"/>
  <c r="K107" i="3" s="1"/>
  <c r="K108" i="3" a="1"/>
  <c r="K108" i="3" s="1"/>
  <c r="K109" i="3" a="1"/>
  <c r="K109" i="3" s="1"/>
  <c r="K110" i="3" a="1"/>
  <c r="K110" i="3" s="1"/>
  <c r="K111" i="3" a="1"/>
  <c r="K111" i="3" s="1"/>
  <c r="K112" i="3" a="1"/>
  <c r="K112" i="3" s="1"/>
  <c r="K113" i="3" a="1"/>
  <c r="K113" i="3" s="1"/>
  <c r="K114" i="3" a="1"/>
  <c r="K114" i="3" s="1"/>
  <c r="K115" i="3" a="1"/>
  <c r="K115" i="3" s="1"/>
  <c r="K116" i="3" a="1"/>
  <c r="K116" i="3" s="1"/>
  <c r="K117" i="3" a="1"/>
  <c r="K117" i="3" s="1"/>
  <c r="K118" i="3" a="1"/>
  <c r="K118" i="3" s="1"/>
  <c r="K119" i="3" a="1"/>
  <c r="K119" i="3" s="1"/>
  <c r="K120" i="3" a="1"/>
  <c r="K120" i="3" s="1"/>
  <c r="K121" i="3" a="1"/>
  <c r="K121" i="3" s="1"/>
  <c r="K122" i="3" a="1"/>
  <c r="K122" i="3" s="1"/>
  <c r="K123" i="3" a="1"/>
  <c r="K123" i="3" s="1"/>
  <c r="K124" i="3" a="1"/>
  <c r="K124" i="3" s="1"/>
  <c r="K125" i="3" a="1"/>
  <c r="K125" i="3" s="1"/>
  <c r="K126" i="3" a="1"/>
  <c r="K126" i="3" s="1"/>
  <c r="K127" i="3" a="1"/>
  <c r="K127" i="3" s="1"/>
  <c r="K128" i="3" a="1"/>
  <c r="K128" i="3" s="1"/>
  <c r="K129" i="3" a="1"/>
  <c r="K129" i="3" s="1"/>
  <c r="K130" i="3" a="1"/>
  <c r="K130" i="3" s="1"/>
  <c r="K131" i="3" a="1"/>
  <c r="K131" i="3" s="1"/>
  <c r="K132" i="3" a="1"/>
  <c r="K132" i="3" s="1"/>
  <c r="K133" i="3" a="1"/>
  <c r="K133" i="3" s="1"/>
  <c r="K134" i="3" a="1"/>
  <c r="K134" i="3" s="1"/>
  <c r="K135" i="3" a="1"/>
  <c r="K135" i="3" s="1"/>
  <c r="K136" i="3" a="1"/>
  <c r="K136" i="3" s="1"/>
  <c r="K137" i="3" a="1"/>
  <c r="K137" i="3" s="1"/>
  <c r="K138" i="3" a="1"/>
  <c r="K138" i="3" s="1"/>
  <c r="K139" i="3" a="1"/>
  <c r="K139" i="3" s="1"/>
  <c r="K140" i="3" a="1"/>
  <c r="K140" i="3" s="1"/>
  <c r="K141" i="3" a="1"/>
  <c r="K141" i="3" s="1"/>
  <c r="K142" i="3" a="1"/>
  <c r="K142" i="3" s="1"/>
  <c r="K143" i="3" a="1"/>
  <c r="K143" i="3" s="1"/>
  <c r="K144" i="3" a="1"/>
  <c r="K144" i="3" s="1"/>
  <c r="K145" i="3" a="1"/>
  <c r="K145" i="3" s="1"/>
  <c r="K146" i="3" a="1"/>
  <c r="K146" i="3" s="1"/>
  <c r="K147" i="3" a="1"/>
  <c r="K147" i="3" s="1"/>
  <c r="K148" i="3" a="1"/>
  <c r="K148" i="3" s="1"/>
  <c r="K149" i="3" a="1"/>
  <c r="K149" i="3" s="1"/>
  <c r="K150" i="3" a="1"/>
  <c r="K150" i="3" s="1"/>
  <c r="K151" i="3" a="1"/>
  <c r="K151" i="3" s="1"/>
  <c r="K152" i="3" a="1"/>
  <c r="K152" i="3" s="1"/>
  <c r="K153" i="3" a="1"/>
  <c r="K153" i="3" s="1"/>
  <c r="K154" i="3" a="1"/>
  <c r="K154" i="3" s="1"/>
  <c r="K155" i="3" a="1"/>
  <c r="K155" i="3" s="1"/>
  <c r="K156" i="3" a="1"/>
  <c r="K156" i="3" s="1"/>
  <c r="K157" i="3" a="1"/>
  <c r="K157" i="3" s="1"/>
  <c r="K158" i="3" a="1"/>
  <c r="K158" i="3" s="1"/>
  <c r="K159" i="3" a="1"/>
  <c r="K159" i="3" s="1"/>
  <c r="K160" i="3" a="1"/>
  <c r="K160" i="3" s="1"/>
  <c r="K161" i="3" a="1"/>
  <c r="K161" i="3" s="1"/>
  <c r="K162" i="3" a="1"/>
  <c r="K162" i="3" s="1"/>
  <c r="K163" i="3" a="1"/>
  <c r="K163" i="3" s="1"/>
  <c r="K164" i="3" a="1"/>
  <c r="K164" i="3" s="1"/>
  <c r="K165" i="3" a="1"/>
  <c r="K165" i="3" s="1"/>
  <c r="K166" i="3" a="1"/>
  <c r="K166" i="3" s="1"/>
  <c r="K167" i="3" a="1"/>
  <c r="K167" i="3" s="1"/>
  <c r="K168" i="3" a="1"/>
  <c r="K168" i="3" s="1"/>
  <c r="K169" i="3" a="1"/>
  <c r="K169" i="3" s="1"/>
  <c r="K170" i="3" a="1"/>
  <c r="K170" i="3" s="1"/>
  <c r="K171" i="3" a="1"/>
  <c r="K171" i="3" s="1"/>
  <c r="K172" i="3" a="1"/>
  <c r="K172" i="3" s="1"/>
  <c r="K173" i="3" a="1"/>
  <c r="K173" i="3" s="1"/>
  <c r="K174" i="3" a="1"/>
  <c r="K174" i="3" s="1"/>
  <c r="K175" i="3" a="1"/>
  <c r="K175" i="3" s="1"/>
  <c r="K176" i="3" a="1"/>
  <c r="K176" i="3" s="1"/>
  <c r="K177" i="3" a="1"/>
  <c r="K177" i="3" s="1"/>
  <c r="K178" i="3" a="1"/>
  <c r="K178" i="3" s="1"/>
  <c r="K179" i="3" a="1"/>
  <c r="K179" i="3" s="1"/>
  <c r="K180" i="3" a="1"/>
  <c r="K180" i="3" s="1"/>
  <c r="K181" i="3" a="1"/>
  <c r="K181" i="3" s="1"/>
  <c r="K182" i="3" a="1"/>
  <c r="K182" i="3" s="1"/>
  <c r="K183" i="3" a="1"/>
  <c r="K183" i="3" s="1"/>
  <c r="K184" i="3" a="1"/>
  <c r="K184" i="3" s="1"/>
  <c r="K185" i="3" a="1"/>
  <c r="K185" i="3" s="1"/>
  <c r="K186" i="3" a="1"/>
  <c r="K186" i="3" s="1"/>
  <c r="K187" i="3" a="1"/>
  <c r="K187" i="3" s="1"/>
  <c r="K188" i="3" a="1"/>
  <c r="K188" i="3" s="1"/>
  <c r="K189" i="3" a="1"/>
  <c r="K189" i="3" s="1"/>
  <c r="K190" i="3" a="1"/>
  <c r="K190" i="3" s="1"/>
  <c r="K191" i="3" a="1"/>
  <c r="K191" i="3" s="1"/>
  <c r="K192" i="3" a="1"/>
  <c r="K192" i="3" s="1"/>
  <c r="K193" i="3" a="1"/>
  <c r="K193" i="3" s="1"/>
  <c r="K194" i="3" a="1"/>
  <c r="K194" i="3" s="1"/>
  <c r="K195" i="3" a="1"/>
  <c r="K195" i="3" s="1"/>
  <c r="K196" i="3" a="1"/>
  <c r="K196" i="3" s="1"/>
  <c r="K197" i="3" a="1"/>
  <c r="K197" i="3" s="1"/>
  <c r="K198" i="3" a="1"/>
  <c r="K198" i="3" s="1"/>
  <c r="K199" i="3" a="1"/>
  <c r="K199" i="3" s="1"/>
  <c r="K200" i="3" a="1"/>
  <c r="K200" i="3" s="1"/>
  <c r="K201" i="3" a="1"/>
  <c r="K201" i="3" s="1"/>
  <c r="K202" i="3" a="1"/>
  <c r="K202" i="3" s="1"/>
  <c r="K203" i="3" a="1"/>
  <c r="K203" i="3" s="1"/>
  <c r="K204" i="3" a="1"/>
  <c r="K204" i="3" s="1"/>
  <c r="K205" i="3" a="1"/>
  <c r="K205" i="3" s="1"/>
  <c r="K206" i="3" a="1"/>
  <c r="K206" i="3" s="1"/>
  <c r="K207" i="3" a="1"/>
  <c r="K207" i="3" s="1"/>
  <c r="K208" i="3" a="1"/>
  <c r="K208" i="3" s="1"/>
  <c r="K209" i="3" a="1"/>
  <c r="K209" i="3" s="1"/>
  <c r="K210" i="3" a="1"/>
  <c r="K210" i="3" s="1"/>
  <c r="K211" i="3" a="1"/>
  <c r="K211" i="3" s="1"/>
  <c r="K212" i="3" a="1"/>
  <c r="K212" i="3" s="1"/>
  <c r="K213" i="3" a="1"/>
  <c r="K213" i="3" s="1"/>
  <c r="K214" i="3" a="1"/>
  <c r="K214" i="3" s="1"/>
  <c r="K215" i="3" a="1"/>
  <c r="K215" i="3" s="1"/>
  <c r="K216" i="3" a="1"/>
  <c r="K216" i="3" s="1"/>
  <c r="K217" i="3" a="1"/>
  <c r="K217" i="3" s="1"/>
  <c r="K218" i="3" a="1"/>
  <c r="K218" i="3" s="1"/>
  <c r="K219" i="3" a="1"/>
  <c r="K219" i="3" s="1"/>
  <c r="K220" i="3" a="1"/>
  <c r="K220" i="3" s="1"/>
  <c r="K221" i="3" a="1"/>
  <c r="K221" i="3" s="1"/>
  <c r="K222" i="3" a="1"/>
  <c r="K222" i="3" s="1"/>
  <c r="K223" i="3" a="1"/>
  <c r="K223" i="3" s="1"/>
  <c r="K224" i="3" a="1"/>
  <c r="K224" i="3" s="1"/>
  <c r="K225" i="3" a="1"/>
  <c r="K225" i="3" s="1"/>
  <c r="K226" i="3" a="1"/>
  <c r="K226" i="3" s="1"/>
  <c r="K227" i="3" a="1"/>
  <c r="K227" i="3" s="1"/>
  <c r="K228" i="3" a="1"/>
  <c r="K228" i="3" s="1"/>
  <c r="K229" i="3" a="1"/>
  <c r="K229" i="3" s="1"/>
  <c r="K230" i="3" a="1"/>
  <c r="K230" i="3" s="1"/>
  <c r="K231" i="3" a="1"/>
  <c r="K231" i="3" s="1"/>
  <c r="K232" i="3" a="1"/>
  <c r="K232" i="3" s="1"/>
  <c r="K233" i="3" a="1"/>
  <c r="K233" i="3" s="1"/>
  <c r="K234" i="3" a="1"/>
  <c r="K234" i="3" s="1"/>
  <c r="K235" i="3" a="1"/>
  <c r="K235" i="3" s="1"/>
  <c r="K236" i="3" a="1"/>
  <c r="K236" i="3" s="1"/>
  <c r="K237" i="3" a="1"/>
  <c r="K237" i="3" s="1"/>
  <c r="K238" i="3" a="1"/>
  <c r="K238" i="3" s="1"/>
  <c r="K239" i="3" a="1"/>
  <c r="K239" i="3" s="1"/>
  <c r="K240" i="3" a="1"/>
  <c r="K240" i="3" s="1"/>
  <c r="K241" i="3" a="1"/>
  <c r="K241" i="3" s="1"/>
  <c r="K242" i="3" a="1"/>
  <c r="K242" i="3" s="1"/>
  <c r="K243" i="3" a="1"/>
  <c r="K243" i="3" s="1"/>
  <c r="K244" i="3" a="1"/>
  <c r="K244" i="3" s="1"/>
  <c r="K245" i="3" a="1"/>
  <c r="K245" i="3" s="1"/>
  <c r="K246" i="3" a="1"/>
  <c r="K246" i="3" s="1"/>
  <c r="K247" i="3" a="1"/>
  <c r="K247" i="3" s="1"/>
  <c r="K248" i="3" a="1"/>
  <c r="K248" i="3" s="1"/>
  <c r="K249" i="3" a="1"/>
  <c r="K249" i="3" s="1"/>
  <c r="K250" i="3" a="1"/>
  <c r="K250" i="3" s="1"/>
  <c r="R41" i="2" l="1" a="1"/>
  <c r="R41" i="2" s="1"/>
  <c r="S41" i="2" a="1"/>
  <c r="S41" i="2" s="1"/>
  <c r="T41" i="2" s="1" a="1"/>
  <c r="T41" i="2" s="1"/>
  <c r="R29" i="2" a="1"/>
  <c r="R29" i="2" s="1"/>
  <c r="S29" i="2" a="1"/>
  <c r="S29" i="2" s="1"/>
  <c r="T29" i="2" s="1" a="1"/>
  <c r="T29" i="2" s="1"/>
  <c r="S46" i="2" a="1"/>
  <c r="S46" i="2" s="1"/>
  <c r="T46" i="2" s="1" a="1"/>
  <c r="T46" i="2" s="1"/>
  <c r="S44" i="2" a="1"/>
  <c r="S44" i="2" s="1"/>
  <c r="T44" i="2" s="1" a="1"/>
  <c r="T44" i="2" s="1"/>
  <c r="R44" i="2" a="1"/>
  <c r="R44" i="2" s="1"/>
  <c r="S42" i="2" a="1"/>
  <c r="S42" i="2" s="1"/>
  <c r="T42" i="2" s="1" a="1"/>
  <c r="T42" i="2" s="1"/>
  <c r="R42" i="2" a="1"/>
  <c r="R42" i="2" s="1"/>
  <c r="R52" i="2" a="1"/>
  <c r="R52" i="2" s="1"/>
  <c r="S52" i="2" a="1"/>
  <c r="S52" i="2" s="1"/>
  <c r="T52" i="2" s="1" a="1"/>
  <c r="T52" i="2" s="1"/>
  <c r="R40" i="2" a="1"/>
  <c r="R40" i="2" s="1"/>
  <c r="S40" i="2" a="1"/>
  <c r="S40" i="2" s="1"/>
  <c r="T40" i="2" s="1" a="1"/>
  <c r="T40" i="2" s="1"/>
  <c r="R28" i="2" a="1"/>
  <c r="R28" i="2" s="1"/>
  <c r="S28" i="2" a="1"/>
  <c r="S28" i="2" s="1"/>
  <c r="T28" i="2" s="1" a="1"/>
  <c r="T28" i="2" s="1"/>
  <c r="R32" i="2" a="1"/>
  <c r="R32" i="2" s="1"/>
  <c r="S32" i="2" a="1"/>
  <c r="S32" i="2" s="1"/>
  <c r="T32" i="2" s="1" a="1"/>
  <c r="T32" i="2" s="1"/>
  <c r="S51" i="2" a="1"/>
  <c r="S51" i="2" s="1"/>
  <c r="T51" i="2" s="1" a="1"/>
  <c r="T51" i="2" s="1"/>
  <c r="R51" i="2" a="1"/>
  <c r="R51" i="2" s="1"/>
  <c r="R39" i="2" a="1"/>
  <c r="R39" i="2" s="1"/>
  <c r="S39" i="2" a="1"/>
  <c r="S39" i="2" s="1"/>
  <c r="T39" i="2" s="1" a="1"/>
  <c r="T39" i="2" s="1"/>
  <c r="R34" i="2" a="1"/>
  <c r="R34" i="2" s="1"/>
  <c r="S34" i="2" a="1"/>
  <c r="S34" i="2" s="1"/>
  <c r="T34" i="2" s="1" a="1"/>
  <c r="T34" i="2" s="1"/>
  <c r="R43" i="2" a="1"/>
  <c r="R43" i="2" s="1"/>
  <c r="S43" i="2" a="1"/>
  <c r="S43" i="2" s="1"/>
  <c r="T43" i="2" s="1" a="1"/>
  <c r="T43" i="2" s="1"/>
  <c r="R50" i="2" a="1"/>
  <c r="R50" i="2" s="1"/>
  <c r="S50" i="2" a="1"/>
  <c r="S50" i="2" s="1"/>
  <c r="T50" i="2" s="1" a="1"/>
  <c r="T50" i="2" s="1"/>
  <c r="R38" i="2" a="1"/>
  <c r="R38" i="2" s="1"/>
  <c r="S38" i="2" a="1"/>
  <c r="S38" i="2" s="1"/>
  <c r="T38" i="2" s="1" a="1"/>
  <c r="T38" i="2" s="1"/>
  <c r="R49" i="2" a="1"/>
  <c r="R49" i="2" s="1"/>
  <c r="S49" i="2" a="1"/>
  <c r="S49" i="2" s="1"/>
  <c r="T49" i="2" s="1" a="1"/>
  <c r="T49" i="2" s="1"/>
  <c r="R37" i="2" a="1"/>
  <c r="R37" i="2" s="1"/>
  <c r="S37" i="2" a="1"/>
  <c r="S37" i="2" s="1"/>
  <c r="T37" i="2" s="1" a="1"/>
  <c r="T37" i="2" s="1"/>
  <c r="R45" i="2" a="1"/>
  <c r="R45" i="2" s="1"/>
  <c r="S45" i="2" a="1"/>
  <c r="S45" i="2" s="1"/>
  <c r="T45" i="2" s="1" a="1"/>
  <c r="T45" i="2" s="1"/>
  <c r="R30" i="2" a="1"/>
  <c r="R30" i="2" s="1"/>
  <c r="S30" i="2" a="1"/>
  <c r="S30" i="2" s="1"/>
  <c r="T30" i="2" s="1" a="1"/>
  <c r="T30" i="2" s="1"/>
  <c r="S48" i="2" a="1"/>
  <c r="S48" i="2" s="1"/>
  <c r="T48" i="2" s="1" a="1"/>
  <c r="T48" i="2" s="1"/>
  <c r="R48" i="2" a="1"/>
  <c r="R48" i="2" s="1"/>
  <c r="R36" i="2" a="1"/>
  <c r="R36" i="2" s="1"/>
  <c r="S36" i="2" a="1"/>
  <c r="S36" i="2" s="1"/>
  <c r="T36" i="2" s="1" a="1"/>
  <c r="T36" i="2" s="1"/>
  <c r="S33" i="2" a="1"/>
  <c r="S33" i="2" s="1"/>
  <c r="T33" i="2" s="1" a="1"/>
  <c r="T33" i="2" s="1"/>
  <c r="R33" i="2" a="1"/>
  <c r="R33" i="2" s="1"/>
  <c r="S31" i="2" a="1"/>
  <c r="S31" i="2" s="1"/>
  <c r="T31" i="2" s="1" a="1"/>
  <c r="T31" i="2" s="1"/>
  <c r="R31" i="2" a="1"/>
  <c r="R31" i="2" s="1"/>
  <c r="S47" i="2" a="1"/>
  <c r="S47" i="2" s="1"/>
  <c r="T47" i="2" s="1" a="1"/>
  <c r="T47" i="2" s="1"/>
  <c r="R35" i="2" a="1"/>
  <c r="R35" i="2" s="1"/>
  <c r="S35" i="2" a="1"/>
  <c r="S35" i="2" s="1"/>
  <c r="T35" i="2" s="1" a="1"/>
  <c r="T35" i="2" s="1"/>
  <c r="B5" i="8"/>
  <c r="B6" i="8" s="1"/>
  <c r="T25" i="2" a="1"/>
  <c r="T25" i="2" s="1"/>
  <c r="K6" i="11" l="1" a="1"/>
  <c r="K6" i="11" s="1"/>
  <c r="K8" i="12" a="1"/>
  <c r="K8" i="12" s="1"/>
  <c r="K5" i="11" a="1"/>
  <c r="K5" i="11" s="1"/>
  <c r="K4" i="11" a="1"/>
  <c r="K4" i="11" s="1"/>
  <c r="K6" i="9" a="1"/>
  <c r="K6" i="9" s="1"/>
  <c r="K6" i="12" a="1"/>
  <c r="K6" i="12" s="1"/>
  <c r="K6" i="10" a="1"/>
  <c r="K6" i="10" s="1"/>
  <c r="K4" i="10" a="1"/>
  <c r="K4" i="10" s="1"/>
  <c r="K5" i="12" a="1"/>
  <c r="K5" i="12" s="1"/>
  <c r="K5" i="10" a="1"/>
  <c r="K5" i="10" s="1"/>
  <c r="K4" i="12" a="1"/>
  <c r="K4" i="12" s="1"/>
  <c r="K5" i="9" a="1"/>
  <c r="K5" i="9" s="1"/>
  <c r="K7" i="12" a="1"/>
  <c r="K7" i="12" s="1"/>
  <c r="K4" i="9" a="1"/>
  <c r="K4" i="9" s="1"/>
  <c r="K3" i="10" a="1"/>
  <c r="K3" i="10" s="1"/>
  <c r="K3" i="9" a="1"/>
  <c r="K3" i="9" s="1"/>
  <c r="K3" i="11" a="1"/>
  <c r="K3" i="11" s="1"/>
  <c r="K3" i="12" a="1"/>
  <c r="K3" i="12" s="1"/>
  <c r="K4" i="3" a="1"/>
  <c r="K4" i="3" s="1"/>
  <c r="K5" i="3" a="1"/>
  <c r="K5" i="3" s="1"/>
  <c r="K6" i="3" a="1"/>
  <c r="K6" i="3" s="1"/>
  <c r="K7" i="3" a="1"/>
  <c r="K7" i="3" s="1"/>
  <c r="K3" i="3" a="1"/>
  <c r="K3" i="3" s="1"/>
  <c r="K8" i="3" a="1"/>
  <c r="K8" i="3" s="1"/>
  <c r="K9" i="3" a="1"/>
  <c r="K9" i="3" s="1"/>
  <c r="K10" i="3" a="1"/>
  <c r="K10" i="3" s="1"/>
  <c r="B7" i="7"/>
  <c r="D7" i="7" l="1" a="1"/>
  <c r="D7" i="7" s="1"/>
  <c r="E7" i="7" a="1"/>
  <c r="E7" i="7" s="1"/>
  <c r="E16" i="3"/>
  <c r="B101" i="7"/>
  <c r="B99" i="7"/>
  <c r="B97" i="7"/>
  <c r="B95" i="7"/>
  <c r="B93" i="7"/>
  <c r="B91" i="7"/>
  <c r="B89" i="7"/>
  <c r="B87" i="7"/>
  <c r="B85" i="7"/>
  <c r="B83" i="7"/>
  <c r="B81" i="7"/>
  <c r="B79" i="7"/>
  <c r="B77" i="7"/>
  <c r="B75" i="7"/>
  <c r="B73" i="7"/>
  <c r="B71" i="7"/>
  <c r="B69" i="7"/>
  <c r="B67" i="7"/>
  <c r="B65" i="7"/>
  <c r="B63" i="7"/>
  <c r="B61" i="7"/>
  <c r="B59" i="7"/>
  <c r="B57" i="7"/>
  <c r="B55" i="7"/>
  <c r="B53" i="7"/>
  <c r="B51" i="7"/>
  <c r="B49" i="7"/>
  <c r="B47" i="7"/>
  <c r="B43" i="7"/>
  <c r="B41" i="7"/>
  <c r="B39" i="7"/>
  <c r="B37" i="7"/>
  <c r="B35" i="7"/>
  <c r="B33" i="7"/>
  <c r="B31" i="7"/>
  <c r="B29" i="7"/>
  <c r="B27" i="7"/>
  <c r="B25" i="7"/>
  <c r="B23" i="7"/>
  <c r="B21" i="7"/>
  <c r="B19" i="7"/>
  <c r="B17" i="7"/>
  <c r="B15" i="7"/>
  <c r="B13" i="7"/>
  <c r="B11" i="7"/>
  <c r="B9" i="7"/>
  <c r="B5" i="7"/>
  <c r="C53" i="7"/>
  <c r="D28" i="3"/>
  <c r="D18" i="3"/>
  <c r="D19" i="3"/>
  <c r="D20" i="3"/>
  <c r="D21" i="3"/>
  <c r="D22" i="3"/>
  <c r="D23" i="3"/>
  <c r="D24" i="3"/>
  <c r="D25" i="3"/>
  <c r="D26" i="3"/>
  <c r="D27" i="3"/>
  <c r="D17" i="3"/>
  <c r="D16" i="3"/>
  <c r="D15" i="3"/>
  <c r="D14" i="3"/>
  <c r="D13" i="3"/>
  <c r="D12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F4" i="7"/>
  <c r="F6" i="7" s="1" a="1"/>
  <c r="F6" i="7" s="1"/>
  <c r="C21" i="7"/>
  <c r="C7" i="7"/>
  <c r="C9" i="7"/>
  <c r="C13" i="7"/>
  <c r="C15" i="7"/>
  <c r="C17" i="7"/>
  <c r="C19" i="7"/>
  <c r="C23" i="7"/>
  <c r="C27" i="7"/>
  <c r="C29" i="7"/>
  <c r="F7" i="7" l="1" a="1"/>
  <c r="F7" i="7" s="1"/>
  <c r="F15" i="7" a="1"/>
  <c r="F15" i="7" s="1"/>
  <c r="E15" i="7" a="1"/>
  <c r="E15" i="7" s="1"/>
  <c r="D15" i="7" a="1"/>
  <c r="D15" i="7" s="1"/>
  <c r="F16" i="7" a="1"/>
  <c r="F16" i="7" s="1"/>
  <c r="F63" i="7" a="1"/>
  <c r="F63" i="7" s="1"/>
  <c r="E63" i="7" a="1"/>
  <c r="E63" i="7" s="1"/>
  <c r="D63" i="7" a="1"/>
  <c r="D63" i="7" s="1"/>
  <c r="F17" i="7" a="1"/>
  <c r="F17" i="7" s="1"/>
  <c r="D17" i="7" a="1"/>
  <c r="D17" i="7" s="1"/>
  <c r="E17" i="7" a="1"/>
  <c r="E17" i="7" s="1"/>
  <c r="F18" i="7" a="1"/>
  <c r="F18" i="7" s="1"/>
  <c r="F20" i="7" a="1"/>
  <c r="F20" i="7" s="1"/>
  <c r="D19" i="7" a="1"/>
  <c r="D19" i="7" s="1"/>
  <c r="E19" i="7" a="1"/>
  <c r="E19" i="7" s="1"/>
  <c r="F19" i="7" a="1"/>
  <c r="F19" i="7" s="1"/>
  <c r="D35" i="7" a="1"/>
  <c r="D35" i="7" s="1"/>
  <c r="E35" i="7" a="1"/>
  <c r="E35" i="7" s="1"/>
  <c r="F35" i="7" a="1"/>
  <c r="F35" i="7" s="1"/>
  <c r="F51" i="7" a="1"/>
  <c r="F51" i="7" s="1"/>
  <c r="D51" i="7" a="1"/>
  <c r="D51" i="7" s="1"/>
  <c r="E51" i="7" a="1"/>
  <c r="E51" i="7" s="1"/>
  <c r="F67" i="7" a="1"/>
  <c r="F67" i="7" s="1"/>
  <c r="E67" i="7" a="1"/>
  <c r="E67" i="7" s="1"/>
  <c r="D67" i="7" a="1"/>
  <c r="D67" i="7" s="1"/>
  <c r="F83" i="7" a="1"/>
  <c r="F83" i="7" s="1"/>
  <c r="E83" i="7" a="1"/>
  <c r="E83" i="7" s="1"/>
  <c r="D83" i="7" a="1"/>
  <c r="D83" i="7" s="1"/>
  <c r="F99" i="7" a="1"/>
  <c r="F99" i="7" s="1"/>
  <c r="D99" i="7" a="1"/>
  <c r="D99" i="7" s="1"/>
  <c r="E99" i="7" a="1"/>
  <c r="E99" i="7" s="1"/>
  <c r="F79" i="7" a="1"/>
  <c r="F79" i="7" s="1"/>
  <c r="D79" i="7" a="1"/>
  <c r="D79" i="7" s="1"/>
  <c r="E79" i="7" a="1"/>
  <c r="E79" i="7" s="1"/>
  <c r="E65" i="7" a="1"/>
  <c r="E65" i="7" s="1"/>
  <c r="D65" i="7" a="1"/>
  <c r="D65" i="7" s="1"/>
  <c r="F65" i="7" a="1"/>
  <c r="F65" i="7" s="1"/>
  <c r="F21" i="7" a="1"/>
  <c r="F21" i="7" s="1"/>
  <c r="D21" i="7" a="1"/>
  <c r="D21" i="7" s="1"/>
  <c r="F22" i="7" a="1"/>
  <c r="F22" i="7" s="1"/>
  <c r="E21" i="7" a="1"/>
  <c r="E21" i="7" s="1"/>
  <c r="F37" i="7" a="1"/>
  <c r="F37" i="7" s="1"/>
  <c r="D37" i="7" a="1"/>
  <c r="D37" i="7" s="1"/>
  <c r="E37" i="7" a="1"/>
  <c r="E37" i="7" s="1"/>
  <c r="F53" i="7" a="1"/>
  <c r="F53" i="7" s="1"/>
  <c r="D53" i="7" a="1"/>
  <c r="D53" i="7" s="1"/>
  <c r="E53" i="7" a="1"/>
  <c r="E53" i="7" s="1"/>
  <c r="F69" i="7" a="1"/>
  <c r="F69" i="7" s="1"/>
  <c r="D69" i="7" a="1"/>
  <c r="D69" i="7" s="1"/>
  <c r="E69" i="7" a="1"/>
  <c r="E69" i="7" s="1"/>
  <c r="F85" i="7" a="1"/>
  <c r="F85" i="7" s="1"/>
  <c r="D85" i="7" a="1"/>
  <c r="D85" i="7" s="1"/>
  <c r="E85" i="7" a="1"/>
  <c r="E85" i="7" s="1"/>
  <c r="F101" i="7" a="1"/>
  <c r="F101" i="7" s="1"/>
  <c r="D101" i="7" a="1"/>
  <c r="D101" i="7" s="1"/>
  <c r="E101" i="7" a="1"/>
  <c r="E101" i="7" s="1"/>
  <c r="F33" i="7" a="1"/>
  <c r="F33" i="7" s="1"/>
  <c r="D33" i="7" a="1"/>
  <c r="D33" i="7" s="1"/>
  <c r="E33" i="7" a="1"/>
  <c r="E33" i="7" s="1"/>
  <c r="F49" i="7" a="1"/>
  <c r="F49" i="7" s="1"/>
  <c r="D49" i="7" a="1"/>
  <c r="D49" i="7" s="1"/>
  <c r="E49" i="7" a="1"/>
  <c r="E49" i="7" s="1"/>
  <c r="F81" i="7" a="1"/>
  <c r="F81" i="7" s="1"/>
  <c r="D81" i="7" a="1"/>
  <c r="D81" i="7" s="1"/>
  <c r="E81" i="7" a="1"/>
  <c r="E81" i="7" s="1"/>
  <c r="F97" i="7" a="1"/>
  <c r="F97" i="7" s="1"/>
  <c r="D97" i="7" a="1"/>
  <c r="D97" i="7" s="1"/>
  <c r="E97" i="7" a="1"/>
  <c r="E97" i="7" s="1"/>
  <c r="F5" i="7" a="1"/>
  <c r="F5" i="7" s="1"/>
  <c r="E5" i="7" a="1"/>
  <c r="E5" i="7" s="1"/>
  <c r="D5" i="7" a="1"/>
  <c r="D5" i="7" s="1"/>
  <c r="F23" i="7" a="1"/>
  <c r="F23" i="7" s="1"/>
  <c r="F24" i="7" a="1"/>
  <c r="F24" i="7" s="1"/>
  <c r="D23" i="7" a="1"/>
  <c r="D23" i="7" s="1"/>
  <c r="E23" i="7" a="1"/>
  <c r="E23" i="7" s="1"/>
  <c r="F39" i="7" a="1"/>
  <c r="F39" i="7" s="1"/>
  <c r="D39" i="7" a="1"/>
  <c r="D39" i="7" s="1"/>
  <c r="E39" i="7" a="1"/>
  <c r="E39" i="7" s="1"/>
  <c r="F55" i="7" a="1"/>
  <c r="F55" i="7" s="1"/>
  <c r="E55" i="7" a="1"/>
  <c r="E55" i="7" s="1"/>
  <c r="D55" i="7" a="1"/>
  <c r="D55" i="7" s="1"/>
  <c r="F71" i="7" a="1"/>
  <c r="F71" i="7" s="1"/>
  <c r="E71" i="7" a="1"/>
  <c r="E71" i="7" s="1"/>
  <c r="D71" i="7" a="1"/>
  <c r="D71" i="7" s="1"/>
  <c r="F87" i="7" a="1"/>
  <c r="F87" i="7" s="1"/>
  <c r="E87" i="7" a="1"/>
  <c r="E87" i="7" s="1"/>
  <c r="D87" i="7" a="1"/>
  <c r="D87" i="7" s="1"/>
  <c r="F31" i="7" a="1"/>
  <c r="F31" i="7" s="1"/>
  <c r="E31" i="7" a="1"/>
  <c r="E31" i="7" s="1"/>
  <c r="D31" i="7" a="1"/>
  <c r="D31" i="7" s="1"/>
  <c r="F32" i="7" a="1"/>
  <c r="F32" i="7" s="1"/>
  <c r="F9" i="7" a="1"/>
  <c r="F9" i="7" s="1"/>
  <c r="D9" i="7" a="1"/>
  <c r="D9" i="7" s="1"/>
  <c r="E9" i="7" a="1"/>
  <c r="E9" i="7" s="1"/>
  <c r="F10" i="7" a="1"/>
  <c r="F10" i="7" s="1"/>
  <c r="F25" i="7" a="1"/>
  <c r="F25" i="7" s="1"/>
  <c r="D25" i="7" a="1"/>
  <c r="D25" i="7" s="1"/>
  <c r="E25" i="7" a="1"/>
  <c r="E25" i="7" s="1"/>
  <c r="F26" i="7" a="1"/>
  <c r="F26" i="7" s="1"/>
  <c r="F41" i="7" a="1"/>
  <c r="F41" i="7" s="1"/>
  <c r="D41" i="7" a="1"/>
  <c r="D41" i="7" s="1"/>
  <c r="E41" i="7" a="1"/>
  <c r="E41" i="7" s="1"/>
  <c r="F57" i="7" a="1"/>
  <c r="F57" i="7" s="1"/>
  <c r="E57" i="7" a="1"/>
  <c r="E57" i="7" s="1"/>
  <c r="D57" i="7" a="1"/>
  <c r="D57" i="7" s="1"/>
  <c r="F73" i="7" a="1"/>
  <c r="F73" i="7" s="1"/>
  <c r="E73" i="7" a="1"/>
  <c r="E73" i="7" s="1"/>
  <c r="D73" i="7" a="1"/>
  <c r="D73" i="7" s="1"/>
  <c r="F89" i="7" a="1"/>
  <c r="F89" i="7" s="1"/>
  <c r="E89" i="7" a="1"/>
  <c r="E89" i="7" s="1"/>
  <c r="D89" i="7" a="1"/>
  <c r="D89" i="7" s="1"/>
  <c r="F47" i="7" a="1"/>
  <c r="F47" i="7" s="1"/>
  <c r="E47" i="7" a="1"/>
  <c r="E47" i="7" s="1"/>
  <c r="D47" i="7" a="1"/>
  <c r="D47" i="7" s="1"/>
  <c r="F95" i="7" a="1"/>
  <c r="F95" i="7" s="1"/>
  <c r="E95" i="7" a="1"/>
  <c r="E95" i="7" s="1"/>
  <c r="D95" i="7" a="1"/>
  <c r="D95" i="7" s="1"/>
  <c r="F11" i="7" a="1"/>
  <c r="F11" i="7" s="1"/>
  <c r="E11" i="7" a="1"/>
  <c r="E11" i="7" s="1"/>
  <c r="F12" i="7" a="1"/>
  <c r="F12" i="7" s="1"/>
  <c r="D11" i="7" a="1"/>
  <c r="D11" i="7" s="1"/>
  <c r="F27" i="7" a="1"/>
  <c r="F27" i="7" s="1"/>
  <c r="F28" i="7" a="1"/>
  <c r="F28" i="7" s="1"/>
  <c r="D27" i="7" a="1"/>
  <c r="D27" i="7" s="1"/>
  <c r="E27" i="7" a="1"/>
  <c r="E27" i="7" s="1"/>
  <c r="F43" i="7" a="1"/>
  <c r="F43" i="7" s="1"/>
  <c r="D43" i="7" a="1"/>
  <c r="D43" i="7" s="1"/>
  <c r="E43" i="7" a="1"/>
  <c r="E43" i="7" s="1"/>
  <c r="F59" i="7" a="1"/>
  <c r="F59" i="7" s="1"/>
  <c r="E59" i="7" a="1"/>
  <c r="E59" i="7" s="1"/>
  <c r="D59" i="7" a="1"/>
  <c r="D59" i="7" s="1"/>
  <c r="F75" i="7" a="1"/>
  <c r="F75" i="7" s="1"/>
  <c r="E75" i="7" a="1"/>
  <c r="E75" i="7" s="1"/>
  <c r="D75" i="7" a="1"/>
  <c r="D75" i="7" s="1"/>
  <c r="F91" i="7" a="1"/>
  <c r="F91" i="7" s="1"/>
  <c r="E91" i="7" a="1"/>
  <c r="E91" i="7" s="1"/>
  <c r="D91" i="7" a="1"/>
  <c r="D91" i="7" s="1"/>
  <c r="F8" i="7" a="1"/>
  <c r="F8" i="7" s="1"/>
  <c r="E13" i="7" a="1"/>
  <c r="E13" i="7" s="1"/>
  <c r="F14" i="7" a="1"/>
  <c r="F14" i="7" s="1"/>
  <c r="F13" i="7" a="1"/>
  <c r="F13" i="7" s="1"/>
  <c r="D13" i="7" a="1"/>
  <c r="D13" i="7" s="1"/>
  <c r="F29" i="7" a="1"/>
  <c r="F29" i="7" s="1"/>
  <c r="E29" i="7" a="1"/>
  <c r="E29" i="7" s="1"/>
  <c r="F30" i="7" a="1"/>
  <c r="F30" i="7" s="1"/>
  <c r="D29" i="7" a="1"/>
  <c r="D29" i="7" s="1"/>
  <c r="F45" i="7" a="1"/>
  <c r="F45" i="7" s="1"/>
  <c r="E45" i="7" a="1"/>
  <c r="E45" i="7" s="1"/>
  <c r="D45" i="7" a="1"/>
  <c r="D45" i="7" s="1"/>
  <c r="F61" i="7" a="1"/>
  <c r="F61" i="7" s="1"/>
  <c r="E61" i="7" a="1"/>
  <c r="E61" i="7" s="1"/>
  <c r="D61" i="7" a="1"/>
  <c r="D61" i="7" s="1"/>
  <c r="F77" i="7" a="1"/>
  <c r="F77" i="7" s="1"/>
  <c r="E77" i="7" a="1"/>
  <c r="E77" i="7" s="1"/>
  <c r="D77" i="7" a="1"/>
  <c r="D77" i="7" s="1"/>
  <c r="F93" i="7" a="1"/>
  <c r="F93" i="7" s="1"/>
  <c r="E93" i="7" a="1"/>
  <c r="E93" i="7" s="1"/>
  <c r="D93" i="7" a="1"/>
  <c r="D93" i="7" s="1"/>
  <c r="F54" i="7" a="1"/>
  <c r="F54" i="7" s="1"/>
  <c r="F52" i="7" a="1"/>
  <c r="F52" i="7" s="1"/>
  <c r="E212" i="3"/>
  <c r="E213" i="3"/>
  <c r="E164" i="3"/>
  <c r="E92" i="3"/>
  <c r="E40" i="3"/>
  <c r="E88" i="3"/>
  <c r="E208" i="3"/>
  <c r="E45" i="3"/>
  <c r="E191" i="3"/>
  <c r="E44" i="3"/>
  <c r="E24" i="3"/>
  <c r="E142" i="3"/>
  <c r="E160" i="3"/>
  <c r="E141" i="3"/>
  <c r="E95" i="3"/>
  <c r="E143" i="3"/>
  <c r="E94" i="3"/>
  <c r="E214" i="3"/>
  <c r="E93" i="3"/>
  <c r="E190" i="3"/>
  <c r="E136" i="3"/>
  <c r="E119" i="3"/>
  <c r="E184" i="3"/>
  <c r="E236" i="3"/>
  <c r="E167" i="3"/>
  <c r="E117" i="3"/>
  <c r="E64" i="3"/>
  <c r="E71" i="3"/>
  <c r="E239" i="3"/>
  <c r="E70" i="3"/>
  <c r="E12" i="3"/>
  <c r="E238" i="3"/>
  <c r="E69" i="3"/>
  <c r="E118" i="3"/>
  <c r="E232" i="3"/>
  <c r="E166" i="3"/>
  <c r="E116" i="3"/>
  <c r="E47" i="3"/>
  <c r="E140" i="3"/>
  <c r="E189" i="3"/>
  <c r="E188" i="3"/>
  <c r="E237" i="3"/>
  <c r="E68" i="3"/>
  <c r="E215" i="3"/>
  <c r="E165" i="3"/>
  <c r="E112" i="3"/>
  <c r="E46" i="3"/>
  <c r="E180" i="3"/>
  <c r="E84" i="3"/>
  <c r="E155" i="3"/>
  <c r="E35" i="3"/>
  <c r="E82" i="3"/>
  <c r="E22" i="3"/>
  <c r="E204" i="3"/>
  <c r="E108" i="3"/>
  <c r="E227" i="3"/>
  <c r="E131" i="3"/>
  <c r="E59" i="3"/>
  <c r="E21" i="3"/>
  <c r="E202" i="3"/>
  <c r="E130" i="3"/>
  <c r="E34" i="3"/>
  <c r="E249" i="3"/>
  <c r="E177" i="3"/>
  <c r="E105" i="3"/>
  <c r="E33" i="3"/>
  <c r="E248" i="3"/>
  <c r="E224" i="3"/>
  <c r="E200" i="3"/>
  <c r="E176" i="3"/>
  <c r="E152" i="3"/>
  <c r="E128" i="3"/>
  <c r="E104" i="3"/>
  <c r="E80" i="3"/>
  <c r="E56" i="3"/>
  <c r="E32" i="3"/>
  <c r="E27" i="3"/>
  <c r="E156" i="3"/>
  <c r="E36" i="3"/>
  <c r="E203" i="3"/>
  <c r="E107" i="3"/>
  <c r="E250" i="3"/>
  <c r="E178" i="3"/>
  <c r="E106" i="3"/>
  <c r="E225" i="3"/>
  <c r="E153" i="3"/>
  <c r="E81" i="3"/>
  <c r="E244" i="3"/>
  <c r="E220" i="3"/>
  <c r="E196" i="3"/>
  <c r="E172" i="3"/>
  <c r="E148" i="3"/>
  <c r="E124" i="3"/>
  <c r="E100" i="3"/>
  <c r="E76" i="3"/>
  <c r="E52" i="3"/>
  <c r="E228" i="3"/>
  <c r="E132" i="3"/>
  <c r="E60" i="3"/>
  <c r="E179" i="3"/>
  <c r="E83" i="3"/>
  <c r="E226" i="3"/>
  <c r="E154" i="3"/>
  <c r="E58" i="3"/>
  <c r="E201" i="3"/>
  <c r="E129" i="3"/>
  <c r="E57" i="3"/>
  <c r="E17" i="3"/>
  <c r="E240" i="3"/>
  <c r="E216" i="3"/>
  <c r="E192" i="3"/>
  <c r="E168" i="3"/>
  <c r="E144" i="3"/>
  <c r="E120" i="3"/>
  <c r="E96" i="3"/>
  <c r="E72" i="3"/>
  <c r="E48" i="3"/>
  <c r="E235" i="3"/>
  <c r="E211" i="3"/>
  <c r="E187" i="3"/>
  <c r="E163" i="3"/>
  <c r="E139" i="3"/>
  <c r="E127" i="3"/>
  <c r="E103" i="3"/>
  <c r="E79" i="3"/>
  <c r="E55" i="3"/>
  <c r="E31" i="3"/>
  <c r="E13" i="3"/>
  <c r="E246" i="3"/>
  <c r="E234" i="3"/>
  <c r="E222" i="3"/>
  <c r="E210" i="3"/>
  <c r="E198" i="3"/>
  <c r="E186" i="3"/>
  <c r="E174" i="3"/>
  <c r="E162" i="3"/>
  <c r="E150" i="3"/>
  <c r="E138" i="3"/>
  <c r="E126" i="3"/>
  <c r="E114" i="3"/>
  <c r="E102" i="3"/>
  <c r="E90" i="3"/>
  <c r="E78" i="3"/>
  <c r="E66" i="3"/>
  <c r="E54" i="3"/>
  <c r="E42" i="3"/>
  <c r="E30" i="3"/>
  <c r="E25" i="3"/>
  <c r="E19" i="3"/>
  <c r="E26" i="3"/>
  <c r="E20" i="3"/>
  <c r="E247" i="3"/>
  <c r="E223" i="3"/>
  <c r="E199" i="3"/>
  <c r="E175" i="3"/>
  <c r="E151" i="3"/>
  <c r="E115" i="3"/>
  <c r="E91" i="3"/>
  <c r="E67" i="3"/>
  <c r="E43" i="3"/>
  <c r="E245" i="3"/>
  <c r="E233" i="3"/>
  <c r="E221" i="3"/>
  <c r="E209" i="3"/>
  <c r="E197" i="3"/>
  <c r="E185" i="3"/>
  <c r="E173" i="3"/>
  <c r="E161" i="3"/>
  <c r="E149" i="3"/>
  <c r="E137" i="3"/>
  <c r="E125" i="3"/>
  <c r="E113" i="3"/>
  <c r="E101" i="3"/>
  <c r="E89" i="3"/>
  <c r="E77" i="3"/>
  <c r="E65" i="3"/>
  <c r="E53" i="3"/>
  <c r="E41" i="3"/>
  <c r="E29" i="3"/>
  <c r="E14" i="3"/>
  <c r="E243" i="3"/>
  <c r="E231" i="3"/>
  <c r="E219" i="3"/>
  <c r="E207" i="3"/>
  <c r="E195" i="3"/>
  <c r="E183" i="3"/>
  <c r="E171" i="3"/>
  <c r="E159" i="3"/>
  <c r="E147" i="3"/>
  <c r="E135" i="3"/>
  <c r="E123" i="3"/>
  <c r="E111" i="3"/>
  <c r="E99" i="3"/>
  <c r="E87" i="3"/>
  <c r="E75" i="3"/>
  <c r="E63" i="3"/>
  <c r="E51" i="3"/>
  <c r="E39" i="3"/>
  <c r="E15" i="3"/>
  <c r="E18" i="3"/>
  <c r="E242" i="3"/>
  <c r="E230" i="3"/>
  <c r="E218" i="3"/>
  <c r="E206" i="3"/>
  <c r="E194" i="3"/>
  <c r="E182" i="3"/>
  <c r="E170" i="3"/>
  <c r="E158" i="3"/>
  <c r="E146" i="3"/>
  <c r="E134" i="3"/>
  <c r="E122" i="3"/>
  <c r="E110" i="3"/>
  <c r="E98" i="3"/>
  <c r="E86" i="3"/>
  <c r="E74" i="3"/>
  <c r="E62" i="3"/>
  <c r="E50" i="3"/>
  <c r="E38" i="3"/>
  <c r="E23" i="3"/>
  <c r="E28" i="3"/>
  <c r="E241" i="3"/>
  <c r="E229" i="3"/>
  <c r="E217" i="3"/>
  <c r="E205" i="3"/>
  <c r="E193" i="3"/>
  <c r="E181" i="3"/>
  <c r="E169" i="3"/>
  <c r="E157" i="3"/>
  <c r="E145" i="3"/>
  <c r="E133" i="3"/>
  <c r="E121" i="3"/>
  <c r="E109" i="3"/>
  <c r="E97" i="3"/>
  <c r="E85" i="3"/>
  <c r="E73" i="3"/>
  <c r="E61" i="3"/>
  <c r="E49" i="3"/>
  <c r="E37" i="3"/>
  <c r="C99" i="7" l="1"/>
  <c r="C101" i="7"/>
  <c r="C95" i="7"/>
  <c r="C97" i="7"/>
  <c r="C77" i="7"/>
  <c r="C79" i="7"/>
  <c r="C81" i="7"/>
  <c r="C83" i="7"/>
  <c r="C85" i="7"/>
  <c r="C87" i="7"/>
  <c r="C89" i="7"/>
  <c r="C91" i="7"/>
  <c r="C93" i="7"/>
  <c r="C55" i="7"/>
  <c r="C57" i="7"/>
  <c r="C59" i="7"/>
  <c r="C61" i="7"/>
  <c r="C63" i="7"/>
  <c r="C65" i="7"/>
  <c r="C67" i="7"/>
  <c r="C69" i="7"/>
  <c r="C71" i="7"/>
  <c r="C73" i="7"/>
  <c r="C75" i="7"/>
  <c r="C2" i="7"/>
  <c r="F36" i="7" l="1" a="1"/>
  <c r="F36" i="7" s="1"/>
  <c r="F34" i="7" a="1"/>
  <c r="F34" i="7" s="1"/>
  <c r="F90" i="7" a="1"/>
  <c r="F90" i="7" s="1"/>
  <c r="F62" i="7" a="1"/>
  <c r="F62" i="7" s="1"/>
  <c r="F60" i="7" a="1"/>
  <c r="F60" i="7" s="1"/>
  <c r="F74" i="7" a="1"/>
  <c r="F74" i="7" s="1"/>
  <c r="F72" i="7" a="1"/>
  <c r="F72" i="7" s="1"/>
  <c r="F40" i="7" a="1"/>
  <c r="F40" i="7" s="1"/>
  <c r="F50" i="7" a="1"/>
  <c r="F50" i="7" s="1"/>
  <c r="F80" i="7" a="1"/>
  <c r="F80" i="7" s="1"/>
  <c r="F44" i="7" a="1"/>
  <c r="F44" i="7" s="1"/>
  <c r="F66" i="7" a="1"/>
  <c r="F66" i="7" s="1"/>
  <c r="F92" i="7" a="1"/>
  <c r="F92" i="7" s="1"/>
  <c r="F98" i="7" a="1"/>
  <c r="F98" i="7" s="1"/>
  <c r="F64" i="7" a="1"/>
  <c r="F64" i="7" s="1"/>
  <c r="F88" i="7" a="1"/>
  <c r="F88" i="7" s="1"/>
  <c r="F76" i="7" a="1"/>
  <c r="F76" i="7" s="1"/>
  <c r="F58" i="7" a="1"/>
  <c r="F58" i="7" s="1"/>
  <c r="F48" i="7" a="1"/>
  <c r="F48" i="7" s="1"/>
  <c r="F86" i="7" a="1"/>
  <c r="F86" i="7" s="1"/>
  <c r="F56" i="7" a="1"/>
  <c r="F56" i="7" s="1"/>
  <c r="F96" i="7" a="1"/>
  <c r="F96" i="7" s="1"/>
  <c r="F100" i="7" a="1"/>
  <c r="F100" i="7" s="1"/>
  <c r="F46" i="7" a="1"/>
  <c r="F46" i="7" s="1"/>
  <c r="F102" i="7" a="1"/>
  <c r="F102" i="7" s="1"/>
  <c r="F84" i="7" a="1"/>
  <c r="F84" i="7" s="1"/>
  <c r="F38" i="7" a="1"/>
  <c r="F38" i="7" s="1"/>
  <c r="F82" i="7" a="1"/>
  <c r="F82" i="7" s="1"/>
  <c r="F70" i="7" a="1"/>
  <c r="F70" i="7" s="1"/>
  <c r="F42" i="7" a="1"/>
  <c r="F42" i="7" s="1"/>
  <c r="F68" i="7" a="1"/>
  <c r="F68" i="7" s="1"/>
  <c r="F94" i="7" a="1"/>
  <c r="F94" i="7" s="1"/>
  <c r="F78" i="7" a="1"/>
  <c r="F78" i="7" s="1"/>
  <c r="G4" i="7" l="1"/>
  <c r="G7" i="7" l="1" a="1"/>
  <c r="G7" i="7" s="1"/>
  <c r="G16" i="7" a="1"/>
  <c r="G16" i="7" s="1"/>
  <c r="G8" i="7" a="1"/>
  <c r="G8" i="7" s="1"/>
  <c r="G83" i="7" a="1"/>
  <c r="G83" i="7" s="1"/>
  <c r="G81" i="7" a="1"/>
  <c r="G81" i="7" s="1"/>
  <c r="G23" i="7" a="1"/>
  <c r="G23" i="7" s="1"/>
  <c r="G35" i="7" a="1"/>
  <c r="G35" i="7" s="1"/>
  <c r="G51" i="7" a="1"/>
  <c r="G51" i="7" s="1"/>
  <c r="G99" i="7" a="1"/>
  <c r="G99" i="7" s="1"/>
  <c r="G101" i="7" a="1"/>
  <c r="G101" i="7" s="1"/>
  <c r="G17" i="7" a="1"/>
  <c r="G17" i="7" s="1"/>
  <c r="G19" i="7" a="1"/>
  <c r="G19" i="7" s="1"/>
  <c r="G21" i="7" a="1"/>
  <c r="G21" i="7" s="1"/>
  <c r="G53" i="7" a="1"/>
  <c r="G53" i="7" s="1"/>
  <c r="G97" i="7" a="1"/>
  <c r="G97" i="7" s="1"/>
  <c r="G65" i="7" a="1"/>
  <c r="G65" i="7" s="1"/>
  <c r="G24" i="7" a="1"/>
  <c r="G24" i="7" s="1"/>
  <c r="G10" i="7" a="1"/>
  <c r="G10" i="7" s="1"/>
  <c r="G85" i="7" a="1"/>
  <c r="G85" i="7" s="1"/>
  <c r="G5" i="7" a="1"/>
  <c r="G5" i="7" s="1"/>
  <c r="G6" i="7" a="1"/>
  <c r="G6" i="7" s="1"/>
  <c r="G15" i="7" a="1"/>
  <c r="G15" i="7" s="1"/>
  <c r="G39" i="7" a="1"/>
  <c r="G39" i="7" s="1"/>
  <c r="G18" i="7" a="1"/>
  <c r="G18" i="7" s="1"/>
  <c r="G9" i="7" a="1"/>
  <c r="G9" i="7" s="1"/>
  <c r="G37" i="7" a="1"/>
  <c r="G37" i="7" s="1"/>
  <c r="G69" i="7" a="1"/>
  <c r="G69" i="7" s="1"/>
  <c r="G20" i="7" a="1"/>
  <c r="G20" i="7" s="1"/>
  <c r="G71" i="7" a="1"/>
  <c r="G71" i="7" s="1"/>
  <c r="G87" i="7" a="1"/>
  <c r="G87" i="7" s="1"/>
  <c r="G79" i="7" a="1"/>
  <c r="G79" i="7" s="1"/>
  <c r="G22" i="7" a="1"/>
  <c r="G22" i="7" s="1"/>
  <c r="G67" i="7" a="1"/>
  <c r="G67" i="7" s="1"/>
  <c r="G26" i="7" a="1"/>
  <c r="G26" i="7" s="1"/>
  <c r="G89" i="7" a="1"/>
  <c r="G89" i="7" s="1"/>
  <c r="G75" i="7" a="1"/>
  <c r="G75" i="7" s="1"/>
  <c r="G57" i="7" a="1"/>
  <c r="G57" i="7" s="1"/>
  <c r="G47" i="7" a="1"/>
  <c r="G47" i="7" s="1"/>
  <c r="G43" i="7" a="1"/>
  <c r="G43" i="7" s="1"/>
  <c r="G28" i="7" a="1"/>
  <c r="G28" i="7" s="1"/>
  <c r="G41" i="7" a="1"/>
  <c r="G41" i="7" s="1"/>
  <c r="G73" i="7" a="1"/>
  <c r="G73" i="7" s="1"/>
  <c r="G63" i="7" a="1"/>
  <c r="G63" i="7" s="1"/>
  <c r="G12" i="7" a="1"/>
  <c r="G12" i="7" s="1"/>
  <c r="G13" i="7" a="1"/>
  <c r="G13" i="7" s="1"/>
  <c r="G93" i="7" a="1"/>
  <c r="G93" i="7" s="1"/>
  <c r="G25" i="7" a="1"/>
  <c r="G25" i="7" s="1"/>
  <c r="G95" i="7" a="1"/>
  <c r="G95" i="7" s="1"/>
  <c r="G55" i="7" a="1"/>
  <c r="G55" i="7" s="1"/>
  <c r="G11" i="7" a="1"/>
  <c r="G11" i="7" s="1"/>
  <c r="G52" i="7" a="1"/>
  <c r="G52" i="7" s="1"/>
  <c r="G31" i="7" a="1"/>
  <c r="G31" i="7" s="1"/>
  <c r="G30" i="7" a="1"/>
  <c r="G30" i="7" s="1"/>
  <c r="G33" i="7" a="1"/>
  <c r="G33" i="7" s="1"/>
  <c r="G77" i="7" a="1"/>
  <c r="G77" i="7" s="1"/>
  <c r="G29" i="7" a="1"/>
  <c r="G29" i="7" s="1"/>
  <c r="G61" i="7" a="1"/>
  <c r="G61" i="7" s="1"/>
  <c r="G14" i="7" a="1"/>
  <c r="G14" i="7" s="1"/>
  <c r="G49" i="7" a="1"/>
  <c r="G49" i="7" s="1"/>
  <c r="G32" i="7" a="1"/>
  <c r="G32" i="7" s="1"/>
  <c r="G27" i="7" a="1"/>
  <c r="G27" i="7" s="1"/>
  <c r="G59" i="7" a="1"/>
  <c r="G59" i="7" s="1"/>
  <c r="G91" i="7" a="1"/>
  <c r="G91" i="7" s="1"/>
  <c r="G45" i="7" a="1"/>
  <c r="G45" i="7" s="1"/>
  <c r="G54" i="7" a="1"/>
  <c r="G54" i="7" s="1"/>
  <c r="G98" i="7" a="1"/>
  <c r="G98" i="7" s="1"/>
  <c r="G34" i="7" a="1"/>
  <c r="G34" i="7" s="1"/>
  <c r="G74" i="7" a="1"/>
  <c r="G74" i="7" s="1"/>
  <c r="G88" i="7" a="1"/>
  <c r="G88" i="7" s="1"/>
  <c r="G38" i="7" a="1"/>
  <c r="G38" i="7" s="1"/>
  <c r="G48" i="7" a="1"/>
  <c r="G48" i="7" s="1"/>
  <c r="G100" i="7" a="1"/>
  <c r="G100" i="7" s="1"/>
  <c r="G44" i="7" a="1"/>
  <c r="G44" i="7" s="1"/>
  <c r="G36" i="7" a="1"/>
  <c r="G36" i="7" s="1"/>
  <c r="G92" i="7" a="1"/>
  <c r="G92" i="7" s="1"/>
  <c r="G56" i="7" a="1"/>
  <c r="G56" i="7" s="1"/>
  <c r="G62" i="7" a="1"/>
  <c r="G62" i="7" s="1"/>
  <c r="G40" i="7" a="1"/>
  <c r="G40" i="7" s="1"/>
  <c r="G82" i="7" a="1"/>
  <c r="G82" i="7" s="1"/>
  <c r="G90" i="7" a="1"/>
  <c r="G90" i="7" s="1"/>
  <c r="G80" i="7" a="1"/>
  <c r="G80" i="7" s="1"/>
  <c r="G64" i="7" a="1"/>
  <c r="G64" i="7" s="1"/>
  <c r="G96" i="7" a="1"/>
  <c r="G96" i="7" s="1"/>
  <c r="G84" i="7" a="1"/>
  <c r="G84" i="7" s="1"/>
  <c r="G58" i="7" a="1"/>
  <c r="G58" i="7" s="1"/>
  <c r="G72" i="7" a="1"/>
  <c r="G72" i="7" s="1"/>
  <c r="G66" i="7" a="1"/>
  <c r="G66" i="7" s="1"/>
  <c r="G86" i="7" a="1"/>
  <c r="G86" i="7" s="1"/>
  <c r="G68" i="7" a="1"/>
  <c r="G68" i="7" s="1"/>
  <c r="G78" i="7" a="1"/>
  <c r="G78" i="7" s="1"/>
  <c r="G60" i="7" a="1"/>
  <c r="G60" i="7" s="1"/>
  <c r="G42" i="7" a="1"/>
  <c r="G42" i="7" s="1"/>
  <c r="G50" i="7" a="1"/>
  <c r="G50" i="7" s="1"/>
  <c r="G94" i="7" a="1"/>
  <c r="G94" i="7" s="1"/>
  <c r="G46" i="7" a="1"/>
  <c r="G46" i="7" s="1"/>
  <c r="G70" i="7" a="1"/>
  <c r="G70" i="7" s="1"/>
  <c r="G76" i="7" a="1"/>
  <c r="G76" i="7" s="1"/>
  <c r="G102" i="7" a="1"/>
  <c r="G102" i="7" s="1"/>
  <c r="H4" i="7"/>
  <c r="H7" i="7" l="1" a="1"/>
  <c r="H7" i="7" s="1"/>
  <c r="H16" i="7" a="1"/>
  <c r="H16" i="7" s="1"/>
  <c r="H17" i="7" a="1"/>
  <c r="H17" i="7" s="1"/>
  <c r="H18" i="7" a="1"/>
  <c r="H18" i="7" s="1"/>
  <c r="H15" i="7" a="1"/>
  <c r="H15" i="7" s="1"/>
  <c r="H63" i="7" a="1"/>
  <c r="H63" i="7" s="1"/>
  <c r="H65" i="7" a="1"/>
  <c r="H65" i="7" s="1"/>
  <c r="H33" i="7" a="1"/>
  <c r="H33" i="7" s="1"/>
  <c r="H79" i="7" a="1"/>
  <c r="H79" i="7" s="1"/>
  <c r="H67" i="7" a="1"/>
  <c r="H67" i="7" s="1"/>
  <c r="H20" i="7" a="1"/>
  <c r="H20" i="7" s="1"/>
  <c r="H31" i="7" a="1"/>
  <c r="H31" i="7" s="1"/>
  <c r="H26" i="7" a="1"/>
  <c r="H26" i="7" s="1"/>
  <c r="H19" i="7" a="1"/>
  <c r="H19" i="7" s="1"/>
  <c r="H53" i="7" a="1"/>
  <c r="H53" i="7" s="1"/>
  <c r="H97" i="7" a="1"/>
  <c r="H97" i="7" s="1"/>
  <c r="H23" i="7" a="1"/>
  <c r="H23" i="7" s="1"/>
  <c r="H51" i="7" a="1"/>
  <c r="H51" i="7" s="1"/>
  <c r="H35" i="7" a="1"/>
  <c r="H35" i="7" s="1"/>
  <c r="H5" i="7" a="1"/>
  <c r="H5" i="7" s="1"/>
  <c r="H55" i="7" a="1"/>
  <c r="H55" i="7" s="1"/>
  <c r="H8" i="7" a="1"/>
  <c r="H8" i="7" s="1"/>
  <c r="H37" i="7" a="1"/>
  <c r="H37" i="7" s="1"/>
  <c r="H85" i="7" a="1"/>
  <c r="H85" i="7" s="1"/>
  <c r="H39" i="7" a="1"/>
  <c r="H39" i="7" s="1"/>
  <c r="H57" i="7" a="1"/>
  <c r="H57" i="7" s="1"/>
  <c r="H69" i="7" a="1"/>
  <c r="H69" i="7" s="1"/>
  <c r="H47" i="7" a="1"/>
  <c r="H47" i="7" s="1"/>
  <c r="H83" i="7" a="1"/>
  <c r="H83" i="7" s="1"/>
  <c r="H49" i="7" a="1"/>
  <c r="H49" i="7" s="1"/>
  <c r="H101" i="7" a="1"/>
  <c r="H101" i="7" s="1"/>
  <c r="H24" i="7" a="1"/>
  <c r="H24" i="7" s="1"/>
  <c r="H87" i="7" a="1"/>
  <c r="H87" i="7" s="1"/>
  <c r="H32" i="7" a="1"/>
  <c r="H32" i="7" s="1"/>
  <c r="H9" i="7" a="1"/>
  <c r="H9" i="7" s="1"/>
  <c r="H21" i="7" a="1"/>
  <c r="H21" i="7" s="1"/>
  <c r="H29" i="7" a="1"/>
  <c r="H29" i="7" s="1"/>
  <c r="H91" i="7" a="1"/>
  <c r="H91" i="7" s="1"/>
  <c r="H99" i="7" a="1"/>
  <c r="H99" i="7" s="1"/>
  <c r="H10" i="7" a="1"/>
  <c r="H10" i="7" s="1"/>
  <c r="H28" i="7" a="1"/>
  <c r="H28" i="7" s="1"/>
  <c r="H14" i="7" a="1"/>
  <c r="H14" i="7" s="1"/>
  <c r="H81" i="7" a="1"/>
  <c r="H81" i="7" s="1"/>
  <c r="H6" i="7" a="1"/>
  <c r="H6" i="7" s="1"/>
  <c r="H89" i="7" a="1"/>
  <c r="H89" i="7" s="1"/>
  <c r="H41" i="7" a="1"/>
  <c r="H41" i="7" s="1"/>
  <c r="H11" i="7" a="1"/>
  <c r="H11" i="7" s="1"/>
  <c r="H27" i="7" a="1"/>
  <c r="H27" i="7" s="1"/>
  <c r="H59" i="7" a="1"/>
  <c r="H59" i="7" s="1"/>
  <c r="H13" i="7" a="1"/>
  <c r="H13" i="7" s="1"/>
  <c r="H61" i="7" a="1"/>
  <c r="H61" i="7" s="1"/>
  <c r="H45" i="7" a="1"/>
  <c r="H45" i="7" s="1"/>
  <c r="H25" i="7" a="1"/>
  <c r="H25" i="7" s="1"/>
  <c r="H54" i="7" a="1"/>
  <c r="H54" i="7" s="1"/>
  <c r="H22" i="7" a="1"/>
  <c r="H22" i="7" s="1"/>
  <c r="H77" i="7" a="1"/>
  <c r="H77" i="7" s="1"/>
  <c r="H52" i="7" a="1"/>
  <c r="H52" i="7" s="1"/>
  <c r="H93" i="7" a="1"/>
  <c r="H93" i="7" s="1"/>
  <c r="H71" i="7" a="1"/>
  <c r="H71" i="7" s="1"/>
  <c r="H95" i="7" a="1"/>
  <c r="H95" i="7" s="1"/>
  <c r="H12" i="7" a="1"/>
  <c r="H12" i="7" s="1"/>
  <c r="H75" i="7" a="1"/>
  <c r="H75" i="7" s="1"/>
  <c r="H30" i="7" a="1"/>
  <c r="H30" i="7" s="1"/>
  <c r="H73" i="7" a="1"/>
  <c r="H73" i="7" s="1"/>
  <c r="H43" i="7" a="1"/>
  <c r="H43" i="7" s="1"/>
  <c r="H92" i="7" a="1"/>
  <c r="H92" i="7" s="1"/>
  <c r="H56" i="7" a="1"/>
  <c r="H56" i="7" s="1"/>
  <c r="H62" i="7" a="1"/>
  <c r="H62" i="7" s="1"/>
  <c r="H40" i="7" a="1"/>
  <c r="H40" i="7" s="1"/>
  <c r="H38" i="7" a="1"/>
  <c r="H38" i="7" s="1"/>
  <c r="H82" i="7" a="1"/>
  <c r="H82" i="7" s="1"/>
  <c r="H90" i="7" a="1"/>
  <c r="H90" i="7" s="1"/>
  <c r="H64" i="7" a="1"/>
  <c r="H64" i="7" s="1"/>
  <c r="H66" i="7" a="1"/>
  <c r="H66" i="7" s="1"/>
  <c r="H58" i="7" a="1"/>
  <c r="H58" i="7" s="1"/>
  <c r="H60" i="7" a="1"/>
  <c r="H60" i="7" s="1"/>
  <c r="H50" i="7" a="1"/>
  <c r="H50" i="7" s="1"/>
  <c r="H76" i="7" a="1"/>
  <c r="H76" i="7" s="1"/>
  <c r="H70" i="7" a="1"/>
  <c r="H70" i="7" s="1"/>
  <c r="H80" i="7" a="1"/>
  <c r="H80" i="7" s="1"/>
  <c r="H46" i="7" a="1"/>
  <c r="H46" i="7" s="1"/>
  <c r="H102" i="7" a="1"/>
  <c r="H102" i="7" s="1"/>
  <c r="H72" i="7" a="1"/>
  <c r="H72" i="7" s="1"/>
  <c r="H86" i="7" a="1"/>
  <c r="H86" i="7" s="1"/>
  <c r="H34" i="7" a="1"/>
  <c r="H34" i="7" s="1"/>
  <c r="H98" i="7" a="1"/>
  <c r="H98" i="7" s="1"/>
  <c r="H36" i="7" a="1"/>
  <c r="H36" i="7" s="1"/>
  <c r="H74" i="7" a="1"/>
  <c r="H74" i="7" s="1"/>
  <c r="H44" i="7" a="1"/>
  <c r="H44" i="7" s="1"/>
  <c r="H100" i="7" a="1"/>
  <c r="H100" i="7" s="1"/>
  <c r="H88" i="7" a="1"/>
  <c r="H88" i="7" s="1"/>
  <c r="H42" i="7" a="1"/>
  <c r="H42" i="7" s="1"/>
  <c r="H68" i="7" a="1"/>
  <c r="H68" i="7" s="1"/>
  <c r="H94" i="7" a="1"/>
  <c r="H94" i="7" s="1"/>
  <c r="H48" i="7" a="1"/>
  <c r="H48" i="7" s="1"/>
  <c r="H96" i="7" a="1"/>
  <c r="H96" i="7" s="1"/>
  <c r="H78" i="7" a="1"/>
  <c r="H78" i="7" s="1"/>
  <c r="H84" i="7" a="1"/>
  <c r="H84" i="7" s="1"/>
  <c r="I4" i="7"/>
  <c r="I7" i="7" l="1" a="1"/>
  <c r="I7" i="7" s="1"/>
  <c r="I81" i="7" a="1"/>
  <c r="I81" i="7" s="1"/>
  <c r="I5" i="7" a="1"/>
  <c r="I5" i="7" s="1"/>
  <c r="I49" i="7" a="1"/>
  <c r="I49" i="7" s="1"/>
  <c r="I21" i="7" a="1"/>
  <c r="I21" i="7" s="1"/>
  <c r="I37" i="7" a="1"/>
  <c r="I37" i="7" s="1"/>
  <c r="I69" i="7" a="1"/>
  <c r="I69" i="7" s="1"/>
  <c r="I18" i="7" a="1"/>
  <c r="I18" i="7" s="1"/>
  <c r="I35" i="7" a="1"/>
  <c r="I35" i="7" s="1"/>
  <c r="I33" i="7" a="1"/>
  <c r="I33" i="7" s="1"/>
  <c r="I16" i="7" a="1"/>
  <c r="I16" i="7" s="1"/>
  <c r="I51" i="7" a="1"/>
  <c r="I51" i="7" s="1"/>
  <c r="I83" i="7" a="1"/>
  <c r="I83" i="7" s="1"/>
  <c r="I99" i="7" a="1"/>
  <c r="I99" i="7" s="1"/>
  <c r="I22" i="7" a="1"/>
  <c r="I22" i="7" s="1"/>
  <c r="I85" i="7" a="1"/>
  <c r="I85" i="7" s="1"/>
  <c r="I63" i="7" a="1"/>
  <c r="I63" i="7" s="1"/>
  <c r="I8" i="7" a="1"/>
  <c r="I8" i="7" s="1"/>
  <c r="I53" i="7" a="1"/>
  <c r="I53" i="7" s="1"/>
  <c r="I97" i="7" a="1"/>
  <c r="I97" i="7" s="1"/>
  <c r="I23" i="7" a="1"/>
  <c r="I23" i="7" s="1"/>
  <c r="I67" i="7" a="1"/>
  <c r="I67" i="7" s="1"/>
  <c r="I57" i="7" a="1"/>
  <c r="I57" i="7" s="1"/>
  <c r="I79" i="7" a="1"/>
  <c r="I79" i="7" s="1"/>
  <c r="I65" i="7" a="1"/>
  <c r="I65" i="7" s="1"/>
  <c r="I15" i="7" a="1"/>
  <c r="I15" i="7" s="1"/>
  <c r="I87" i="7" a="1"/>
  <c r="I87" i="7" s="1"/>
  <c r="I12" i="7" a="1"/>
  <c r="I12" i="7" s="1"/>
  <c r="I101" i="7" a="1"/>
  <c r="I101" i="7" s="1"/>
  <c r="I10" i="7" a="1"/>
  <c r="I10" i="7" s="1"/>
  <c r="I95" i="7" a="1"/>
  <c r="I95" i="7" s="1"/>
  <c r="I24" i="7" a="1"/>
  <c r="I24" i="7" s="1"/>
  <c r="I71" i="7" a="1"/>
  <c r="I71" i="7" s="1"/>
  <c r="I26" i="7" a="1"/>
  <c r="I26" i="7" s="1"/>
  <c r="I28" i="7" a="1"/>
  <c r="I28" i="7" s="1"/>
  <c r="I61" i="7" a="1"/>
  <c r="I61" i="7" s="1"/>
  <c r="I17" i="7" a="1"/>
  <c r="I17" i="7" s="1"/>
  <c r="I20" i="7" a="1"/>
  <c r="I20" i="7" s="1"/>
  <c r="I59" i="7" a="1"/>
  <c r="I59" i="7" s="1"/>
  <c r="I91" i="7" a="1"/>
  <c r="I91" i="7" s="1"/>
  <c r="I6" i="7" a="1"/>
  <c r="I6" i="7" s="1"/>
  <c r="I14" i="7" a="1"/>
  <c r="I14" i="7" s="1"/>
  <c r="I19" i="7" a="1"/>
  <c r="I19" i="7" s="1"/>
  <c r="I11" i="7" a="1"/>
  <c r="I11" i="7" s="1"/>
  <c r="I55" i="7" a="1"/>
  <c r="I55" i="7" s="1"/>
  <c r="I27" i="7" a="1"/>
  <c r="I27" i="7" s="1"/>
  <c r="I31" i="7" a="1"/>
  <c r="I31" i="7" s="1"/>
  <c r="I39" i="7" a="1"/>
  <c r="I39" i="7" s="1"/>
  <c r="I89" i="7" a="1"/>
  <c r="I89" i="7" s="1"/>
  <c r="I45" i="7" a="1"/>
  <c r="I45" i="7" s="1"/>
  <c r="I77" i="7" a="1"/>
  <c r="I77" i="7" s="1"/>
  <c r="I54" i="7" a="1"/>
  <c r="I54" i="7" s="1"/>
  <c r="I93" i="7" a="1"/>
  <c r="I93" i="7" s="1"/>
  <c r="I52" i="7" a="1"/>
  <c r="I52" i="7" s="1"/>
  <c r="I9" i="7" a="1"/>
  <c r="I9" i="7" s="1"/>
  <c r="I25" i="7" a="1"/>
  <c r="I25" i="7" s="1"/>
  <c r="I47" i="7" a="1"/>
  <c r="I47" i="7" s="1"/>
  <c r="I13" i="7" a="1"/>
  <c r="I13" i="7" s="1"/>
  <c r="I32" i="7" a="1"/>
  <c r="I32" i="7" s="1"/>
  <c r="I43" i="7" a="1"/>
  <c r="I43" i="7" s="1"/>
  <c r="I41" i="7" a="1"/>
  <c r="I41" i="7" s="1"/>
  <c r="I75" i="7" a="1"/>
  <c r="I75" i="7" s="1"/>
  <c r="I73" i="7" a="1"/>
  <c r="I73" i="7" s="1"/>
  <c r="I29" i="7" a="1"/>
  <c r="I29" i="7" s="1"/>
  <c r="I30" i="7" a="1"/>
  <c r="I30" i="7" s="1"/>
  <c r="I46" i="7" a="1"/>
  <c r="I46" i="7" s="1"/>
  <c r="I102" i="7" a="1"/>
  <c r="I102" i="7" s="1"/>
  <c r="I72" i="7" a="1"/>
  <c r="I72" i="7" s="1"/>
  <c r="I86" i="7" a="1"/>
  <c r="I86" i="7" s="1"/>
  <c r="I36" i="7" a="1"/>
  <c r="I36" i="7" s="1"/>
  <c r="I44" i="7" a="1"/>
  <c r="I44" i="7" s="1"/>
  <c r="I98" i="7" a="1"/>
  <c r="I98" i="7" s="1"/>
  <c r="I48" i="7" a="1"/>
  <c r="I48" i="7" s="1"/>
  <c r="I84" i="7" a="1"/>
  <c r="I84" i="7" s="1"/>
  <c r="I38" i="7" a="1"/>
  <c r="I38" i="7" s="1"/>
  <c r="I80" i="7" a="1"/>
  <c r="I80" i="7" s="1"/>
  <c r="I88" i="7" a="1"/>
  <c r="I88" i="7" s="1"/>
  <c r="I64" i="7" a="1"/>
  <c r="I64" i="7" s="1"/>
  <c r="I100" i="7" a="1"/>
  <c r="I100" i="7" s="1"/>
  <c r="I34" i="7" a="1"/>
  <c r="I34" i="7" s="1"/>
  <c r="I92" i="7" a="1"/>
  <c r="I92" i="7" s="1"/>
  <c r="I56" i="7" a="1"/>
  <c r="I56" i="7" s="1"/>
  <c r="I90" i="7" a="1"/>
  <c r="I90" i="7" s="1"/>
  <c r="I62" i="7" a="1"/>
  <c r="I62" i="7" s="1"/>
  <c r="I60" i="7" a="1"/>
  <c r="I60" i="7" s="1"/>
  <c r="I40" i="7" a="1"/>
  <c r="I40" i="7" s="1"/>
  <c r="I96" i="7" a="1"/>
  <c r="I96" i="7" s="1"/>
  <c r="I74" i="7" a="1"/>
  <c r="I74" i="7" s="1"/>
  <c r="I50" i="7" a="1"/>
  <c r="I50" i="7" s="1"/>
  <c r="I66" i="7" a="1"/>
  <c r="I66" i="7" s="1"/>
  <c r="I76" i="7" a="1"/>
  <c r="I76" i="7" s="1"/>
  <c r="I58" i="7" a="1"/>
  <c r="I58" i="7" s="1"/>
  <c r="I70" i="7" a="1"/>
  <c r="I70" i="7" s="1"/>
  <c r="I78" i="7" a="1"/>
  <c r="I78" i="7" s="1"/>
  <c r="I68" i="7" a="1"/>
  <c r="I68" i="7" s="1"/>
  <c r="I82" i="7" a="1"/>
  <c r="I82" i="7" s="1"/>
  <c r="I42" i="7" a="1"/>
  <c r="I42" i="7" s="1"/>
  <c r="I94" i="7" a="1"/>
  <c r="I94" i="7" s="1"/>
  <c r="J4" i="7"/>
  <c r="J7" i="7" l="1" a="1"/>
  <c r="J7" i="7" s="1"/>
  <c r="J16" i="7" a="1"/>
  <c r="J16" i="7" s="1"/>
  <c r="J51" i="7" a="1"/>
  <c r="J51" i="7" s="1"/>
  <c r="J99" i="7" a="1"/>
  <c r="J99" i="7" s="1"/>
  <c r="J85" i="7" a="1"/>
  <c r="J85" i="7" s="1"/>
  <c r="J101" i="7" a="1"/>
  <c r="J101" i="7" s="1"/>
  <c r="J24" i="7" a="1"/>
  <c r="J24" i="7" s="1"/>
  <c r="J63" i="7" a="1"/>
  <c r="J63" i="7" s="1"/>
  <c r="J79" i="7" a="1"/>
  <c r="J79" i="7" s="1"/>
  <c r="J53" i="7" a="1"/>
  <c r="J53" i="7" s="1"/>
  <c r="J20" i="7" a="1"/>
  <c r="J20" i="7" s="1"/>
  <c r="J67" i="7" a="1"/>
  <c r="J67" i="7" s="1"/>
  <c r="J83" i="7" a="1"/>
  <c r="J83" i="7" s="1"/>
  <c r="J22" i="7" a="1"/>
  <c r="J22" i="7" s="1"/>
  <c r="J17" i="7" a="1"/>
  <c r="J17" i="7" s="1"/>
  <c r="J19" i="7" a="1"/>
  <c r="J19" i="7" s="1"/>
  <c r="J33" i="7" a="1"/>
  <c r="J33" i="7" s="1"/>
  <c r="J35" i="7" a="1"/>
  <c r="J35" i="7" s="1"/>
  <c r="J55" i="7" a="1"/>
  <c r="J55" i="7" s="1"/>
  <c r="J87" i="7" a="1"/>
  <c r="J87" i="7" s="1"/>
  <c r="J9" i="7" a="1"/>
  <c r="J9" i="7" s="1"/>
  <c r="J71" i="7" a="1"/>
  <c r="J71" i="7" s="1"/>
  <c r="J39" i="7" a="1"/>
  <c r="J39" i="7" s="1"/>
  <c r="J32" i="7" a="1"/>
  <c r="J32" i="7" s="1"/>
  <c r="J15" i="7" a="1"/>
  <c r="J15" i="7" s="1"/>
  <c r="J49" i="7" a="1"/>
  <c r="J49" i="7" s="1"/>
  <c r="J81" i="7" a="1"/>
  <c r="J81" i="7" s="1"/>
  <c r="J25" i="7" a="1"/>
  <c r="J25" i="7" s="1"/>
  <c r="J18" i="7" a="1"/>
  <c r="J18" i="7" s="1"/>
  <c r="J41" i="7" a="1"/>
  <c r="J41" i="7" s="1"/>
  <c r="J69" i="7" a="1"/>
  <c r="J69" i="7" s="1"/>
  <c r="J10" i="7" a="1"/>
  <c r="J10" i="7" s="1"/>
  <c r="J30" i="7" a="1"/>
  <c r="J30" i="7" s="1"/>
  <c r="J31" i="7" a="1"/>
  <c r="J31" i="7" s="1"/>
  <c r="J47" i="7" a="1"/>
  <c r="J47" i="7" s="1"/>
  <c r="J97" i="7" a="1"/>
  <c r="J97" i="7" s="1"/>
  <c r="J26" i="7" a="1"/>
  <c r="J26" i="7" s="1"/>
  <c r="J73" i="7" a="1"/>
  <c r="J73" i="7" s="1"/>
  <c r="J28" i="7" a="1"/>
  <c r="J28" i="7" s="1"/>
  <c r="J21" i="7" a="1"/>
  <c r="J21" i="7" s="1"/>
  <c r="J5" i="7" a="1"/>
  <c r="J5" i="7" s="1"/>
  <c r="J8" i="7" a="1"/>
  <c r="J8" i="7" s="1"/>
  <c r="J37" i="7" a="1"/>
  <c r="J37" i="7" s="1"/>
  <c r="J95" i="7" a="1"/>
  <c r="J95" i="7" s="1"/>
  <c r="J91" i="7" a="1"/>
  <c r="J91" i="7" s="1"/>
  <c r="J54" i="7" a="1"/>
  <c r="J54" i="7" s="1"/>
  <c r="J93" i="7" a="1"/>
  <c r="J93" i="7" s="1"/>
  <c r="J52" i="7" a="1"/>
  <c r="J52" i="7" s="1"/>
  <c r="J6" i="7" a="1"/>
  <c r="J6" i="7" s="1"/>
  <c r="J57" i="7" a="1"/>
  <c r="J57" i="7" s="1"/>
  <c r="J27" i="7" a="1"/>
  <c r="J27" i="7" s="1"/>
  <c r="J12" i="7" a="1"/>
  <c r="J12" i="7" s="1"/>
  <c r="J43" i="7" a="1"/>
  <c r="J43" i="7" s="1"/>
  <c r="J14" i="7" a="1"/>
  <c r="J14" i="7" s="1"/>
  <c r="J61" i="7" a="1"/>
  <c r="J61" i="7" s="1"/>
  <c r="J45" i="7" a="1"/>
  <c r="J45" i="7" s="1"/>
  <c r="J75" i="7" a="1"/>
  <c r="J75" i="7" s="1"/>
  <c r="J29" i="7" a="1"/>
  <c r="J29" i="7" s="1"/>
  <c r="J13" i="7" a="1"/>
  <c r="J13" i="7" s="1"/>
  <c r="J11" i="7" a="1"/>
  <c r="J11" i="7" s="1"/>
  <c r="J65" i="7" a="1"/>
  <c r="J65" i="7" s="1"/>
  <c r="J23" i="7" a="1"/>
  <c r="J23" i="7" s="1"/>
  <c r="J59" i="7" a="1"/>
  <c r="J59" i="7" s="1"/>
  <c r="J77" i="7" a="1"/>
  <c r="J77" i="7" s="1"/>
  <c r="J89" i="7" a="1"/>
  <c r="J89" i="7" s="1"/>
  <c r="J36" i="7" a="1"/>
  <c r="J36" i="7" s="1"/>
  <c r="J72" i="7" a="1"/>
  <c r="J72" i="7" s="1"/>
  <c r="J100" i="7" a="1"/>
  <c r="J100" i="7" s="1"/>
  <c r="J34" i="7" a="1"/>
  <c r="J34" i="7" s="1"/>
  <c r="J48" i="7" a="1"/>
  <c r="J48" i="7" s="1"/>
  <c r="J92" i="7" a="1"/>
  <c r="J92" i="7" s="1"/>
  <c r="J56" i="7" a="1"/>
  <c r="J56" i="7" s="1"/>
  <c r="J90" i="7" a="1"/>
  <c r="J90" i="7" s="1"/>
  <c r="J62" i="7" a="1"/>
  <c r="J62" i="7" s="1"/>
  <c r="J60" i="7" a="1"/>
  <c r="J60" i="7" s="1"/>
  <c r="J40" i="7" a="1"/>
  <c r="J40" i="7" s="1"/>
  <c r="J96" i="7" a="1"/>
  <c r="J96" i="7" s="1"/>
  <c r="J82" i="7" a="1"/>
  <c r="J82" i="7" s="1"/>
  <c r="J88" i="7" a="1"/>
  <c r="J88" i="7" s="1"/>
  <c r="J70" i="7" a="1"/>
  <c r="J70" i="7" s="1"/>
  <c r="J50" i="7" a="1"/>
  <c r="J50" i="7" s="1"/>
  <c r="J66" i="7" a="1"/>
  <c r="J66" i="7" s="1"/>
  <c r="J76" i="7" a="1"/>
  <c r="J76" i="7" s="1"/>
  <c r="J74" i="7" a="1"/>
  <c r="J74" i="7" s="1"/>
  <c r="J64" i="7" a="1"/>
  <c r="J64" i="7" s="1"/>
  <c r="J46" i="7" a="1"/>
  <c r="J46" i="7" s="1"/>
  <c r="J102" i="7" a="1"/>
  <c r="J102" i="7" s="1"/>
  <c r="J80" i="7" a="1"/>
  <c r="J80" i="7" s="1"/>
  <c r="J38" i="7" a="1"/>
  <c r="J38" i="7" s="1"/>
  <c r="J68" i="7" a="1"/>
  <c r="J68" i="7" s="1"/>
  <c r="J98" i="7" a="1"/>
  <c r="J98" i="7" s="1"/>
  <c r="J44" i="7" a="1"/>
  <c r="J44" i="7" s="1"/>
  <c r="J86" i="7" a="1"/>
  <c r="J86" i="7" s="1"/>
  <c r="J78" i="7" a="1"/>
  <c r="J78" i="7" s="1"/>
  <c r="J42" i="7" a="1"/>
  <c r="J42" i="7" s="1"/>
  <c r="J94" i="7" a="1"/>
  <c r="J94" i="7" s="1"/>
  <c r="J58" i="7" a="1"/>
  <c r="J58" i="7" s="1"/>
  <c r="J84" i="7" a="1"/>
  <c r="J84" i="7" s="1"/>
  <c r="K4" i="7"/>
  <c r="K7" i="7" l="1" a="1"/>
  <c r="K7" i="7" s="1"/>
  <c r="K19" i="7" a="1"/>
  <c r="K19" i="7" s="1"/>
  <c r="K17" i="7" a="1"/>
  <c r="K17" i="7" s="1"/>
  <c r="K6" i="7" a="1"/>
  <c r="K6" i="7" s="1"/>
  <c r="K49" i="7" a="1"/>
  <c r="K49" i="7" s="1"/>
  <c r="K16" i="7" a="1"/>
  <c r="K16" i="7" s="1"/>
  <c r="K35" i="7" a="1"/>
  <c r="K35" i="7" s="1"/>
  <c r="K67" i="7" a="1"/>
  <c r="K67" i="7" s="1"/>
  <c r="K65" i="7" a="1"/>
  <c r="K65" i="7" s="1"/>
  <c r="K22" i="7" a="1"/>
  <c r="K22" i="7" s="1"/>
  <c r="K15" i="7" a="1"/>
  <c r="K15" i="7" s="1"/>
  <c r="K69" i="7" a="1"/>
  <c r="K69" i="7" s="1"/>
  <c r="K81" i="7" a="1"/>
  <c r="K81" i="7" s="1"/>
  <c r="K51" i="7" a="1"/>
  <c r="K51" i="7" s="1"/>
  <c r="K33" i="7" a="1"/>
  <c r="K33" i="7" s="1"/>
  <c r="K39" i="7" a="1"/>
  <c r="K39" i="7" s="1"/>
  <c r="K71" i="7" a="1"/>
  <c r="K71" i="7" s="1"/>
  <c r="K85" i="7" a="1"/>
  <c r="K85" i="7" s="1"/>
  <c r="K101" i="7" a="1"/>
  <c r="K101" i="7" s="1"/>
  <c r="K55" i="7" a="1"/>
  <c r="K55" i="7" s="1"/>
  <c r="K87" i="7" a="1"/>
  <c r="K87" i="7" s="1"/>
  <c r="K20" i="7" a="1"/>
  <c r="K20" i="7" s="1"/>
  <c r="K53" i="7" a="1"/>
  <c r="K53" i="7" s="1"/>
  <c r="K5" i="7" a="1"/>
  <c r="K5" i="7" s="1"/>
  <c r="K63" i="7" a="1"/>
  <c r="K63" i="7" s="1"/>
  <c r="K18" i="7" a="1"/>
  <c r="K18" i="7" s="1"/>
  <c r="K83" i="7" a="1"/>
  <c r="K83" i="7" s="1"/>
  <c r="K97" i="7" a="1"/>
  <c r="K97" i="7" s="1"/>
  <c r="K21" i="7" a="1"/>
  <c r="K21" i="7" s="1"/>
  <c r="K41" i="7" a="1"/>
  <c r="K41" i="7" s="1"/>
  <c r="K73" i="7" a="1"/>
  <c r="K73" i="7" s="1"/>
  <c r="K47" i="7" a="1"/>
  <c r="K47" i="7" s="1"/>
  <c r="K79" i="7" a="1"/>
  <c r="K79" i="7" s="1"/>
  <c r="K26" i="7" a="1"/>
  <c r="K26" i="7" s="1"/>
  <c r="K57" i="7" a="1"/>
  <c r="K57" i="7" s="1"/>
  <c r="K23" i="7" a="1"/>
  <c r="K23" i="7" s="1"/>
  <c r="K31" i="7" a="1"/>
  <c r="K31" i="7" s="1"/>
  <c r="K10" i="7" a="1"/>
  <c r="K10" i="7" s="1"/>
  <c r="K45" i="7" a="1"/>
  <c r="K45" i="7" s="1"/>
  <c r="K27" i="7" a="1"/>
  <c r="K27" i="7" s="1"/>
  <c r="K13" i="7" a="1"/>
  <c r="K13" i="7" s="1"/>
  <c r="K30" i="7" a="1"/>
  <c r="K30" i="7" s="1"/>
  <c r="K37" i="7" a="1"/>
  <c r="K37" i="7" s="1"/>
  <c r="K32" i="7" a="1"/>
  <c r="K32" i="7" s="1"/>
  <c r="K25" i="7" a="1"/>
  <c r="K25" i="7" s="1"/>
  <c r="K28" i="7" a="1"/>
  <c r="K28" i="7" s="1"/>
  <c r="K43" i="7" a="1"/>
  <c r="K43" i="7" s="1"/>
  <c r="K75" i="7" a="1"/>
  <c r="K75" i="7" s="1"/>
  <c r="K24" i="7" a="1"/>
  <c r="K24" i="7" s="1"/>
  <c r="K9" i="7" a="1"/>
  <c r="K9" i="7" s="1"/>
  <c r="K8" i="7" a="1"/>
  <c r="K8" i="7" s="1"/>
  <c r="K52" i="7" a="1"/>
  <c r="K52" i="7" s="1"/>
  <c r="K95" i="7" a="1"/>
  <c r="K95" i="7" s="1"/>
  <c r="K14" i="7" a="1"/>
  <c r="K14" i="7" s="1"/>
  <c r="K29" i="7" a="1"/>
  <c r="K29" i="7" s="1"/>
  <c r="K61" i="7" a="1"/>
  <c r="K61" i="7" s="1"/>
  <c r="K77" i="7" a="1"/>
  <c r="K77" i="7" s="1"/>
  <c r="K54" i="7" a="1"/>
  <c r="K54" i="7" s="1"/>
  <c r="K11" i="7" a="1"/>
  <c r="K11" i="7" s="1"/>
  <c r="K59" i="7" a="1"/>
  <c r="K59" i="7" s="1"/>
  <c r="K89" i="7" a="1"/>
  <c r="K89" i="7" s="1"/>
  <c r="K91" i="7" a="1"/>
  <c r="K91" i="7" s="1"/>
  <c r="K93" i="7" a="1"/>
  <c r="K93" i="7" s="1"/>
  <c r="K99" i="7" a="1"/>
  <c r="K99" i="7" s="1"/>
  <c r="K12" i="7" a="1"/>
  <c r="K12" i="7" s="1"/>
  <c r="K34" i="7" a="1"/>
  <c r="K34" i="7" s="1"/>
  <c r="K90" i="7" a="1"/>
  <c r="K90" i="7" s="1"/>
  <c r="K62" i="7" a="1"/>
  <c r="K62" i="7" s="1"/>
  <c r="K60" i="7" a="1"/>
  <c r="K60" i="7" s="1"/>
  <c r="K40" i="7" a="1"/>
  <c r="K40" i="7" s="1"/>
  <c r="K64" i="7" a="1"/>
  <c r="K64" i="7" s="1"/>
  <c r="K88" i="7" a="1"/>
  <c r="K88" i="7" s="1"/>
  <c r="K96" i="7" a="1"/>
  <c r="K96" i="7" s="1"/>
  <c r="K84" i="7" a="1"/>
  <c r="K84" i="7" s="1"/>
  <c r="K36" i="7" a="1"/>
  <c r="K36" i="7" s="1"/>
  <c r="K50" i="7" a="1"/>
  <c r="K50" i="7" s="1"/>
  <c r="K76" i="7" a="1"/>
  <c r="K76" i="7" s="1"/>
  <c r="K74" i="7" a="1"/>
  <c r="K74" i="7" s="1"/>
  <c r="K66" i="7" a="1"/>
  <c r="K66" i="7" s="1"/>
  <c r="K58" i="7" a="1"/>
  <c r="K58" i="7" s="1"/>
  <c r="K46" i="7" a="1"/>
  <c r="K46" i="7" s="1"/>
  <c r="K102" i="7" a="1"/>
  <c r="K102" i="7" s="1"/>
  <c r="K86" i="7" a="1"/>
  <c r="K86" i="7" s="1"/>
  <c r="K44" i="7" a="1"/>
  <c r="K44" i="7" s="1"/>
  <c r="K98" i="7" a="1"/>
  <c r="K98" i="7" s="1"/>
  <c r="K80" i="7" a="1"/>
  <c r="K80" i="7" s="1"/>
  <c r="K38" i="7" a="1"/>
  <c r="K38" i="7" s="1"/>
  <c r="K48" i="7" a="1"/>
  <c r="K48" i="7" s="1"/>
  <c r="K100" i="7" a="1"/>
  <c r="K100" i="7" s="1"/>
  <c r="K72" i="7" a="1"/>
  <c r="K72" i="7" s="1"/>
  <c r="K92" i="7" a="1"/>
  <c r="K92" i="7" s="1"/>
  <c r="K56" i="7" a="1"/>
  <c r="K56" i="7" s="1"/>
  <c r="K94" i="7" a="1"/>
  <c r="K94" i="7" s="1"/>
  <c r="K42" i="7" a="1"/>
  <c r="K42" i="7" s="1"/>
  <c r="K70" i="7" a="1"/>
  <c r="K70" i="7" s="1"/>
  <c r="K78" i="7" a="1"/>
  <c r="K78" i="7" s="1"/>
  <c r="K82" i="7" a="1"/>
  <c r="K82" i="7" s="1"/>
  <c r="K68" i="7" a="1"/>
  <c r="K68" i="7" s="1"/>
  <c r="L4" i="7"/>
  <c r="L7" i="7" l="1" a="1"/>
  <c r="L7" i="7" s="1"/>
  <c r="L15" i="7" a="1"/>
  <c r="L15" i="7" s="1"/>
  <c r="L79" i="7" a="1"/>
  <c r="L79" i="7" s="1"/>
  <c r="L22" i="7" a="1"/>
  <c r="L22" i="7" s="1"/>
  <c r="L69" i="7" a="1"/>
  <c r="L69" i="7" s="1"/>
  <c r="L81" i="7" a="1"/>
  <c r="L81" i="7" s="1"/>
  <c r="L24" i="7" a="1"/>
  <c r="L24" i="7" s="1"/>
  <c r="L21" i="7" a="1"/>
  <c r="L21" i="7" s="1"/>
  <c r="L85" i="7" a="1"/>
  <c r="L85" i="7" s="1"/>
  <c r="L37" i="7" a="1"/>
  <c r="L37" i="7" s="1"/>
  <c r="L20" i="7" a="1"/>
  <c r="L20" i="7" s="1"/>
  <c r="L83" i="7" a="1"/>
  <c r="L83" i="7" s="1"/>
  <c r="L51" i="7" a="1"/>
  <c r="L51" i="7" s="1"/>
  <c r="L99" i="7" a="1"/>
  <c r="L99" i="7" s="1"/>
  <c r="L101" i="7" a="1"/>
  <c r="L101" i="7" s="1"/>
  <c r="L33" i="7" a="1"/>
  <c r="L33" i="7" s="1"/>
  <c r="L49" i="7" a="1"/>
  <c r="L49" i="7" s="1"/>
  <c r="L39" i="7" a="1"/>
  <c r="L39" i="7" s="1"/>
  <c r="L35" i="7" a="1"/>
  <c r="L35" i="7" s="1"/>
  <c r="L23" i="7" a="1"/>
  <c r="L23" i="7" s="1"/>
  <c r="L63" i="7" a="1"/>
  <c r="L63" i="7" s="1"/>
  <c r="L19" i="7" a="1"/>
  <c r="L19" i="7" s="1"/>
  <c r="L16" i="7" a="1"/>
  <c r="L16" i="7" s="1"/>
  <c r="L18" i="7" a="1"/>
  <c r="L18" i="7" s="1"/>
  <c r="L32" i="7" a="1"/>
  <c r="L32" i="7" s="1"/>
  <c r="L67" i="7" a="1"/>
  <c r="L67" i="7" s="1"/>
  <c r="L65" i="7" a="1"/>
  <c r="L65" i="7" s="1"/>
  <c r="L53" i="7" a="1"/>
  <c r="L53" i="7" s="1"/>
  <c r="L71" i="7" a="1"/>
  <c r="L71" i="7" s="1"/>
  <c r="L9" i="7" a="1"/>
  <c r="L9" i="7" s="1"/>
  <c r="L95" i="7" a="1"/>
  <c r="L95" i="7" s="1"/>
  <c r="L17" i="7" a="1"/>
  <c r="L17" i="7" s="1"/>
  <c r="L5" i="7" a="1"/>
  <c r="L5" i="7" s="1"/>
  <c r="L57" i="7" a="1"/>
  <c r="L57" i="7" s="1"/>
  <c r="L26" i="7" a="1"/>
  <c r="L26" i="7" s="1"/>
  <c r="L91" i="7" a="1"/>
  <c r="L91" i="7" s="1"/>
  <c r="L30" i="7" a="1"/>
  <c r="L30" i="7" s="1"/>
  <c r="L59" i="7" a="1"/>
  <c r="L59" i="7" s="1"/>
  <c r="L13" i="7" a="1"/>
  <c r="L13" i="7" s="1"/>
  <c r="L10" i="7" a="1"/>
  <c r="L10" i="7" s="1"/>
  <c r="L8" i="7" a="1"/>
  <c r="L8" i="7" s="1"/>
  <c r="L73" i="7" a="1"/>
  <c r="L73" i="7" s="1"/>
  <c r="L89" i="7" a="1"/>
  <c r="L89" i="7" s="1"/>
  <c r="L87" i="7" a="1"/>
  <c r="L87" i="7" s="1"/>
  <c r="L11" i="7" a="1"/>
  <c r="L11" i="7" s="1"/>
  <c r="L27" i="7" a="1"/>
  <c r="L27" i="7" s="1"/>
  <c r="L14" i="7" a="1"/>
  <c r="L14" i="7" s="1"/>
  <c r="L29" i="7" a="1"/>
  <c r="L29" i="7" s="1"/>
  <c r="L77" i="7" a="1"/>
  <c r="L77" i="7" s="1"/>
  <c r="L75" i="7" a="1"/>
  <c r="L75" i="7" s="1"/>
  <c r="L6" i="7" a="1"/>
  <c r="L6" i="7" s="1"/>
  <c r="L45" i="7" a="1"/>
  <c r="L45" i="7" s="1"/>
  <c r="L52" i="7" a="1"/>
  <c r="L52" i="7" s="1"/>
  <c r="L61" i="7" a="1"/>
  <c r="L61" i="7" s="1"/>
  <c r="L54" i="7" a="1"/>
  <c r="L54" i="7" s="1"/>
  <c r="L93" i="7" a="1"/>
  <c r="L93" i="7" s="1"/>
  <c r="L25" i="7" a="1"/>
  <c r="L25" i="7" s="1"/>
  <c r="L43" i="7" a="1"/>
  <c r="L43" i="7" s="1"/>
  <c r="L41" i="7" a="1"/>
  <c r="L41" i="7" s="1"/>
  <c r="L31" i="7" a="1"/>
  <c r="L31" i="7" s="1"/>
  <c r="L12" i="7" a="1"/>
  <c r="L12" i="7" s="1"/>
  <c r="L55" i="7" a="1"/>
  <c r="L55" i="7" s="1"/>
  <c r="L97" i="7" a="1"/>
  <c r="L97" i="7" s="1"/>
  <c r="L28" i="7" a="1"/>
  <c r="L28" i="7" s="1"/>
  <c r="L47" i="7" a="1"/>
  <c r="L47" i="7" s="1"/>
  <c r="L34" i="7" a="1"/>
  <c r="L34" i="7" s="1"/>
  <c r="L74" i="7" a="1"/>
  <c r="L74" i="7" s="1"/>
  <c r="L102" i="7" a="1"/>
  <c r="L102" i="7" s="1"/>
  <c r="L82" i="7" a="1"/>
  <c r="L82" i="7" s="1"/>
  <c r="L66" i="7" a="1"/>
  <c r="L66" i="7" s="1"/>
  <c r="L86" i="7" a="1"/>
  <c r="L86" i="7" s="1"/>
  <c r="L44" i="7" a="1"/>
  <c r="L44" i="7" s="1"/>
  <c r="L98" i="7" a="1"/>
  <c r="L98" i="7" s="1"/>
  <c r="L80" i="7" a="1"/>
  <c r="L80" i="7" s="1"/>
  <c r="L48" i="7" a="1"/>
  <c r="L48" i="7" s="1"/>
  <c r="L100" i="7" a="1"/>
  <c r="L100" i="7" s="1"/>
  <c r="L70" i="7" a="1"/>
  <c r="L70" i="7" s="1"/>
  <c r="L62" i="7" a="1"/>
  <c r="L62" i="7" s="1"/>
  <c r="L88" i="7" a="1"/>
  <c r="L88" i="7" s="1"/>
  <c r="L92" i="7" a="1"/>
  <c r="L92" i="7" s="1"/>
  <c r="L56" i="7" a="1"/>
  <c r="L56" i="7" s="1"/>
  <c r="L90" i="7" a="1"/>
  <c r="L90" i="7" s="1"/>
  <c r="L60" i="7" a="1"/>
  <c r="L60" i="7" s="1"/>
  <c r="L40" i="7" a="1"/>
  <c r="L40" i="7" s="1"/>
  <c r="L64" i="7" a="1"/>
  <c r="L64" i="7" s="1"/>
  <c r="L96" i="7" a="1"/>
  <c r="L96" i="7" s="1"/>
  <c r="L46" i="7" a="1"/>
  <c r="L46" i="7" s="1"/>
  <c r="L72" i="7" a="1"/>
  <c r="L72" i="7" s="1"/>
  <c r="L50" i="7" a="1"/>
  <c r="L50" i="7" s="1"/>
  <c r="L76" i="7" a="1"/>
  <c r="L76" i="7" s="1"/>
  <c r="L36" i="7" a="1"/>
  <c r="L36" i="7" s="1"/>
  <c r="L68" i="7" a="1"/>
  <c r="L68" i="7" s="1"/>
  <c r="L78" i="7" a="1"/>
  <c r="L78" i="7" s="1"/>
  <c r="L58" i="7" a="1"/>
  <c r="L58" i="7" s="1"/>
  <c r="L84" i="7" a="1"/>
  <c r="L84" i="7" s="1"/>
  <c r="L42" i="7" a="1"/>
  <c r="L42" i="7" s="1"/>
  <c r="L38" i="7" a="1"/>
  <c r="L38" i="7" s="1"/>
  <c r="L94" i="7" a="1"/>
  <c r="L94" i="7" s="1"/>
  <c r="M4" i="7"/>
  <c r="M7" i="7" l="1" a="1"/>
  <c r="M7" i="7" s="1"/>
  <c r="M17" i="7" a="1"/>
  <c r="M17" i="7" s="1"/>
  <c r="M99" i="7" a="1"/>
  <c r="M99" i="7" s="1"/>
  <c r="M101" i="7" a="1"/>
  <c r="M101" i="7" s="1"/>
  <c r="M33" i="7" a="1"/>
  <c r="M33" i="7" s="1"/>
  <c r="M6" i="7" a="1"/>
  <c r="M6" i="7" s="1"/>
  <c r="M53" i="7" a="1"/>
  <c r="M53" i="7" s="1"/>
  <c r="M97" i="7" a="1"/>
  <c r="M97" i="7" s="1"/>
  <c r="M63" i="7" a="1"/>
  <c r="M63" i="7" s="1"/>
  <c r="M35" i="7" a="1"/>
  <c r="M35" i="7" s="1"/>
  <c r="M15" i="7" a="1"/>
  <c r="M15" i="7" s="1"/>
  <c r="M19" i="7" a="1"/>
  <c r="M19" i="7" s="1"/>
  <c r="M83" i="7" a="1"/>
  <c r="M83" i="7" s="1"/>
  <c r="M24" i="7" a="1"/>
  <c r="M24" i="7" s="1"/>
  <c r="M9" i="7" a="1"/>
  <c r="M9" i="7" s="1"/>
  <c r="M18" i="7" a="1"/>
  <c r="M18" i="7" s="1"/>
  <c r="M51" i="7" a="1"/>
  <c r="M51" i="7" s="1"/>
  <c r="M69" i="7" a="1"/>
  <c r="M69" i="7" s="1"/>
  <c r="M85" i="7" a="1"/>
  <c r="M85" i="7" s="1"/>
  <c r="M55" i="7" a="1"/>
  <c r="M55" i="7" s="1"/>
  <c r="M87" i="7" a="1"/>
  <c r="M87" i="7" s="1"/>
  <c r="M32" i="7" a="1"/>
  <c r="M32" i="7" s="1"/>
  <c r="M16" i="7" a="1"/>
  <c r="M16" i="7" s="1"/>
  <c r="M37" i="7" a="1"/>
  <c r="M37" i="7" s="1"/>
  <c r="M21" i="7" a="1"/>
  <c r="M21" i="7" s="1"/>
  <c r="M81" i="7" a="1"/>
  <c r="M81" i="7" s="1"/>
  <c r="M5" i="7" a="1"/>
  <c r="M5" i="7" s="1"/>
  <c r="M39" i="7" a="1"/>
  <c r="M39" i="7" s="1"/>
  <c r="M22" i="7" a="1"/>
  <c r="M22" i="7" s="1"/>
  <c r="M71" i="7" a="1"/>
  <c r="M71" i="7" s="1"/>
  <c r="M43" i="7" a="1"/>
  <c r="M43" i="7" s="1"/>
  <c r="M31" i="7" a="1"/>
  <c r="M31" i="7" s="1"/>
  <c r="M26" i="7" a="1"/>
  <c r="M26" i="7" s="1"/>
  <c r="M20" i="7" a="1"/>
  <c r="M20" i="7" s="1"/>
  <c r="M67" i="7" a="1"/>
  <c r="M67" i="7" s="1"/>
  <c r="M75" i="7" a="1"/>
  <c r="M75" i="7" s="1"/>
  <c r="M10" i="7" a="1"/>
  <c r="M10" i="7" s="1"/>
  <c r="M73" i="7" a="1"/>
  <c r="M73" i="7" s="1"/>
  <c r="M28" i="7" a="1"/>
  <c r="M28" i="7" s="1"/>
  <c r="M89" i="7" a="1"/>
  <c r="M89" i="7" s="1"/>
  <c r="M30" i="7" a="1"/>
  <c r="M30" i="7" s="1"/>
  <c r="M49" i="7" a="1"/>
  <c r="M49" i="7" s="1"/>
  <c r="M57" i="7" a="1"/>
  <c r="M57" i="7" s="1"/>
  <c r="M61" i="7" a="1"/>
  <c r="M61" i="7" s="1"/>
  <c r="M65" i="7" a="1"/>
  <c r="M65" i="7" s="1"/>
  <c r="M47" i="7" a="1"/>
  <c r="M47" i="7" s="1"/>
  <c r="M12" i="7" a="1"/>
  <c r="M12" i="7" s="1"/>
  <c r="M59" i="7" a="1"/>
  <c r="M59" i="7" s="1"/>
  <c r="M95" i="7" a="1"/>
  <c r="M95" i="7" s="1"/>
  <c r="M8" i="7" a="1"/>
  <c r="M8" i="7" s="1"/>
  <c r="M45" i="7" a="1"/>
  <c r="M45" i="7" s="1"/>
  <c r="M54" i="7" a="1"/>
  <c r="M54" i="7" s="1"/>
  <c r="M52" i="7" a="1"/>
  <c r="M52" i="7" s="1"/>
  <c r="M27" i="7" a="1"/>
  <c r="M27" i="7" s="1"/>
  <c r="M13" i="7" a="1"/>
  <c r="M13" i="7" s="1"/>
  <c r="M77" i="7" a="1"/>
  <c r="M77" i="7" s="1"/>
  <c r="M23" i="7" a="1"/>
  <c r="M23" i="7" s="1"/>
  <c r="M93" i="7" a="1"/>
  <c r="M93" i="7" s="1"/>
  <c r="M91" i="7" a="1"/>
  <c r="M91" i="7" s="1"/>
  <c r="M79" i="7" a="1"/>
  <c r="M79" i="7" s="1"/>
  <c r="M11" i="7" a="1"/>
  <c r="M11" i="7" s="1"/>
  <c r="M41" i="7" a="1"/>
  <c r="M41" i="7" s="1"/>
  <c r="M29" i="7" a="1"/>
  <c r="M29" i="7" s="1"/>
  <c r="M25" i="7" a="1"/>
  <c r="M25" i="7" s="1"/>
  <c r="M14" i="7" a="1"/>
  <c r="M14" i="7" s="1"/>
  <c r="M40" i="7" a="1"/>
  <c r="M40" i="7" s="1"/>
  <c r="M48" i="7" a="1"/>
  <c r="M48" i="7" s="1"/>
  <c r="M100" i="7" a="1"/>
  <c r="M100" i="7" s="1"/>
  <c r="M86" i="7" a="1"/>
  <c r="M86" i="7" s="1"/>
  <c r="M92" i="7" a="1"/>
  <c r="M92" i="7" s="1"/>
  <c r="M90" i="7" a="1"/>
  <c r="M90" i="7" s="1"/>
  <c r="M60" i="7" a="1"/>
  <c r="M60" i="7" s="1"/>
  <c r="M64" i="7" a="1"/>
  <c r="M64" i="7" s="1"/>
  <c r="M96" i="7" a="1"/>
  <c r="M96" i="7" s="1"/>
  <c r="M84" i="7" a="1"/>
  <c r="M84" i="7" s="1"/>
  <c r="M70" i="7" a="1"/>
  <c r="M70" i="7" s="1"/>
  <c r="M36" i="7" a="1"/>
  <c r="M36" i="7" s="1"/>
  <c r="M58" i="7" a="1"/>
  <c r="M58" i="7" s="1"/>
  <c r="M56" i="7" a="1"/>
  <c r="M56" i="7" s="1"/>
  <c r="M62" i="7" a="1"/>
  <c r="M62" i="7" s="1"/>
  <c r="M50" i="7" a="1"/>
  <c r="M50" i="7" s="1"/>
  <c r="M46" i="7" a="1"/>
  <c r="M46" i="7" s="1"/>
  <c r="M74" i="7" a="1"/>
  <c r="M74" i="7" s="1"/>
  <c r="M72" i="7" a="1"/>
  <c r="M72" i="7" s="1"/>
  <c r="M102" i="7" a="1"/>
  <c r="M102" i="7" s="1"/>
  <c r="M98" i="7" a="1"/>
  <c r="M98" i="7" s="1"/>
  <c r="M80" i="7" a="1"/>
  <c r="M80" i="7" s="1"/>
  <c r="M88" i="7" a="1"/>
  <c r="M88" i="7" s="1"/>
  <c r="M76" i="7" a="1"/>
  <c r="M76" i="7" s="1"/>
  <c r="M78" i="7" a="1"/>
  <c r="M78" i="7" s="1"/>
  <c r="M44" i="7" a="1"/>
  <c r="M44" i="7" s="1"/>
  <c r="M42" i="7" a="1"/>
  <c r="M42" i="7" s="1"/>
  <c r="M34" i="7" a="1"/>
  <c r="M34" i="7" s="1"/>
  <c r="M94" i="7" a="1"/>
  <c r="M94" i="7" s="1"/>
  <c r="M66" i="7" a="1"/>
  <c r="M66" i="7" s="1"/>
  <c r="M82" i="7" a="1"/>
  <c r="M82" i="7" s="1"/>
  <c r="M38" i="7" a="1"/>
  <c r="M38" i="7" s="1"/>
  <c r="M68" i="7" a="1"/>
  <c r="M68" i="7" s="1"/>
  <c r="N4" i="7"/>
  <c r="N7" i="7" l="1" a="1"/>
  <c r="N7" i="7" s="1"/>
  <c r="N8" i="7" a="1"/>
  <c r="N8" i="7" s="1"/>
  <c r="N63" i="7" a="1"/>
  <c r="N63" i="7" s="1"/>
  <c r="N18" i="7" a="1"/>
  <c r="N18" i="7" s="1"/>
  <c r="N35" i="7" a="1"/>
  <c r="N35" i="7" s="1"/>
  <c r="N22" i="7" a="1"/>
  <c r="N22" i="7" s="1"/>
  <c r="N15" i="7" a="1"/>
  <c r="N15" i="7" s="1"/>
  <c r="N16" i="7" a="1"/>
  <c r="N16" i="7" s="1"/>
  <c r="N67" i="7" a="1"/>
  <c r="N67" i="7" s="1"/>
  <c r="N49" i="7" a="1"/>
  <c r="N49" i="7" s="1"/>
  <c r="N17" i="7" a="1"/>
  <c r="N17" i="7" s="1"/>
  <c r="N19" i="7" a="1"/>
  <c r="N19" i="7" s="1"/>
  <c r="N20" i="7" a="1"/>
  <c r="N20" i="7" s="1"/>
  <c r="N79" i="7" a="1"/>
  <c r="N79" i="7" s="1"/>
  <c r="N83" i="7" a="1"/>
  <c r="N83" i="7" s="1"/>
  <c r="N51" i="7" a="1"/>
  <c r="N51" i="7" s="1"/>
  <c r="N97" i="7" a="1"/>
  <c r="N97" i="7" s="1"/>
  <c r="N5" i="7" a="1"/>
  <c r="N5" i="7" s="1"/>
  <c r="N71" i="7" a="1"/>
  <c r="N71" i="7" s="1"/>
  <c r="N69" i="7" a="1"/>
  <c r="N69" i="7" s="1"/>
  <c r="N101" i="7" a="1"/>
  <c r="N101" i="7" s="1"/>
  <c r="N31" i="7" a="1"/>
  <c r="N31" i="7" s="1"/>
  <c r="N41" i="7" a="1"/>
  <c r="N41" i="7" s="1"/>
  <c r="N99" i="7" a="1"/>
  <c r="N99" i="7" s="1"/>
  <c r="N81" i="7" a="1"/>
  <c r="N81" i="7" s="1"/>
  <c r="N10" i="7" a="1"/>
  <c r="N10" i="7" s="1"/>
  <c r="N85" i="7" a="1"/>
  <c r="N85" i="7" s="1"/>
  <c r="N65" i="7" a="1"/>
  <c r="N65" i="7" s="1"/>
  <c r="N33" i="7" a="1"/>
  <c r="N33" i="7" s="1"/>
  <c r="N55" i="7" a="1"/>
  <c r="N55" i="7" s="1"/>
  <c r="N26" i="7" a="1"/>
  <c r="N26" i="7" s="1"/>
  <c r="N95" i="7" a="1"/>
  <c r="N95" i="7" s="1"/>
  <c r="N6" i="7" a="1"/>
  <c r="N6" i="7" s="1"/>
  <c r="N30" i="7" a="1"/>
  <c r="N30" i="7" s="1"/>
  <c r="N87" i="7" a="1"/>
  <c r="N87" i="7" s="1"/>
  <c r="N11" i="7" a="1"/>
  <c r="N11" i="7" s="1"/>
  <c r="N25" i="7" a="1"/>
  <c r="N25" i="7" s="1"/>
  <c r="N73" i="7" a="1"/>
  <c r="N73" i="7" s="1"/>
  <c r="N28" i="7" a="1"/>
  <c r="N28" i="7" s="1"/>
  <c r="N75" i="7" a="1"/>
  <c r="N75" i="7" s="1"/>
  <c r="N13" i="7" a="1"/>
  <c r="N13" i="7" s="1"/>
  <c r="N39" i="7" a="1"/>
  <c r="N39" i="7" s="1"/>
  <c r="N23" i="7" a="1"/>
  <c r="N23" i="7" s="1"/>
  <c r="N32" i="7" a="1"/>
  <c r="N32" i="7" s="1"/>
  <c r="N59" i="7" a="1"/>
  <c r="N59" i="7" s="1"/>
  <c r="N14" i="7" a="1"/>
  <c r="N14" i="7" s="1"/>
  <c r="N91" i="7" a="1"/>
  <c r="N91" i="7" s="1"/>
  <c r="N12" i="7" a="1"/>
  <c r="N12" i="7" s="1"/>
  <c r="N27" i="7" a="1"/>
  <c r="N27" i="7" s="1"/>
  <c r="N9" i="7" a="1"/>
  <c r="N9" i="7" s="1"/>
  <c r="N89" i="7" a="1"/>
  <c r="N89" i="7" s="1"/>
  <c r="N29" i="7" a="1"/>
  <c r="N29" i="7" s="1"/>
  <c r="N45" i="7" a="1"/>
  <c r="N45" i="7" s="1"/>
  <c r="N21" i="7" a="1"/>
  <c r="N21" i="7" s="1"/>
  <c r="N53" i="7" a="1"/>
  <c r="N53" i="7" s="1"/>
  <c r="N24" i="7" a="1"/>
  <c r="N24" i="7" s="1"/>
  <c r="N93" i="7" a="1"/>
  <c r="N93" i="7" s="1"/>
  <c r="N47" i="7" a="1"/>
  <c r="N47" i="7" s="1"/>
  <c r="N52" i="7" a="1"/>
  <c r="N52" i="7" s="1"/>
  <c r="N77" i="7" a="1"/>
  <c r="N77" i="7" s="1"/>
  <c r="N61" i="7" a="1"/>
  <c r="N61" i="7" s="1"/>
  <c r="N57" i="7" a="1"/>
  <c r="N57" i="7" s="1"/>
  <c r="N54" i="7" a="1"/>
  <c r="N54" i="7" s="1"/>
  <c r="N37" i="7" a="1"/>
  <c r="N37" i="7" s="1"/>
  <c r="N43" i="7" a="1"/>
  <c r="N43" i="7" s="1"/>
  <c r="N34" i="7" a="1"/>
  <c r="N34" i="7" s="1"/>
  <c r="N80" i="7" a="1"/>
  <c r="N80" i="7" s="1"/>
  <c r="N58" i="7" a="1"/>
  <c r="N58" i="7" s="1"/>
  <c r="N56" i="7" a="1"/>
  <c r="N56" i="7" s="1"/>
  <c r="N46" i="7" a="1"/>
  <c r="N46" i="7" s="1"/>
  <c r="N74" i="7" a="1"/>
  <c r="N74" i="7" s="1"/>
  <c r="N72" i="7" a="1"/>
  <c r="N72" i="7" s="1"/>
  <c r="N40" i="7" a="1"/>
  <c r="N40" i="7" s="1"/>
  <c r="N98" i="7" a="1"/>
  <c r="N98" i="7" s="1"/>
  <c r="N44" i="7" a="1"/>
  <c r="N44" i="7" s="1"/>
  <c r="N36" i="7" a="1"/>
  <c r="N36" i="7" s="1"/>
  <c r="N92" i="7" a="1"/>
  <c r="N92" i="7" s="1"/>
  <c r="N88" i="7" a="1"/>
  <c r="N88" i="7" s="1"/>
  <c r="N38" i="7" a="1"/>
  <c r="N38" i="7" s="1"/>
  <c r="N50" i="7" a="1"/>
  <c r="N50" i="7" s="1"/>
  <c r="N48" i="7" a="1"/>
  <c r="N48" i="7" s="1"/>
  <c r="N100" i="7" a="1"/>
  <c r="N100" i="7" s="1"/>
  <c r="N86" i="7" a="1"/>
  <c r="N86" i="7" s="1"/>
  <c r="N66" i="7" a="1"/>
  <c r="N66" i="7" s="1"/>
  <c r="N90" i="7" a="1"/>
  <c r="N90" i="7" s="1"/>
  <c r="N60" i="7" a="1"/>
  <c r="N60" i="7" s="1"/>
  <c r="N64" i="7" a="1"/>
  <c r="N64" i="7" s="1"/>
  <c r="N96" i="7" a="1"/>
  <c r="N96" i="7" s="1"/>
  <c r="N84" i="7" a="1"/>
  <c r="N84" i="7" s="1"/>
  <c r="N94" i="7" a="1"/>
  <c r="N94" i="7" s="1"/>
  <c r="N62" i="7" a="1"/>
  <c r="N62" i="7" s="1"/>
  <c r="N102" i="7" a="1"/>
  <c r="N102" i="7" s="1"/>
  <c r="N68" i="7" a="1"/>
  <c r="N68" i="7" s="1"/>
  <c r="N82" i="7" a="1"/>
  <c r="N82" i="7" s="1"/>
  <c r="N70" i="7" a="1"/>
  <c r="N70" i="7" s="1"/>
  <c r="N78" i="7" a="1"/>
  <c r="N78" i="7" s="1"/>
  <c r="N76" i="7" a="1"/>
  <c r="N76" i="7" s="1"/>
  <c r="N42" i="7" a="1"/>
  <c r="N42" i="7" s="1"/>
  <c r="O4" i="7"/>
  <c r="O7" i="7" l="1" a="1"/>
  <c r="O7" i="7" s="1"/>
  <c r="O15" i="7" a="1"/>
  <c r="O15" i="7" s="1"/>
  <c r="O51" i="7" a="1"/>
  <c r="O51" i="7" s="1"/>
  <c r="O99" i="7" a="1"/>
  <c r="O99" i="7" s="1"/>
  <c r="O85" i="7" a="1"/>
  <c r="O85" i="7" s="1"/>
  <c r="O33" i="7" a="1"/>
  <c r="O33" i="7" s="1"/>
  <c r="O101" i="7" a="1"/>
  <c r="O101" i="7" s="1"/>
  <c r="O37" i="7" a="1"/>
  <c r="O37" i="7" s="1"/>
  <c r="O53" i="7" a="1"/>
  <c r="O53" i="7" s="1"/>
  <c r="O63" i="7" a="1"/>
  <c r="O63" i="7" s="1"/>
  <c r="O22" i="7" a="1"/>
  <c r="O22" i="7" s="1"/>
  <c r="O32" i="7" a="1"/>
  <c r="O32" i="7" s="1"/>
  <c r="O16" i="7" a="1"/>
  <c r="O16" i="7" s="1"/>
  <c r="O8" i="7" a="1"/>
  <c r="O8" i="7" s="1"/>
  <c r="O17" i="7" a="1"/>
  <c r="O17" i="7" s="1"/>
  <c r="O18" i="7" a="1"/>
  <c r="O18" i="7" s="1"/>
  <c r="O21" i="7" a="1"/>
  <c r="O21" i="7" s="1"/>
  <c r="O23" i="7" a="1"/>
  <c r="O23" i="7" s="1"/>
  <c r="O83" i="7" a="1"/>
  <c r="O83" i="7" s="1"/>
  <c r="O71" i="7" a="1"/>
  <c r="O71" i="7" s="1"/>
  <c r="O9" i="7" a="1"/>
  <c r="O9" i="7" s="1"/>
  <c r="O20" i="7" a="1"/>
  <c r="O20" i="7" s="1"/>
  <c r="O35" i="7" a="1"/>
  <c r="O35" i="7" s="1"/>
  <c r="O79" i="7" a="1"/>
  <c r="O79" i="7" s="1"/>
  <c r="O81" i="7" a="1"/>
  <c r="O81" i="7" s="1"/>
  <c r="O6" i="7" a="1"/>
  <c r="O6" i="7" s="1"/>
  <c r="O28" i="7" a="1"/>
  <c r="O28" i="7" s="1"/>
  <c r="O11" i="7" a="1"/>
  <c r="O11" i="7" s="1"/>
  <c r="O12" i="7" a="1"/>
  <c r="O12" i="7" s="1"/>
  <c r="O97" i="7" a="1"/>
  <c r="O97" i="7" s="1"/>
  <c r="O5" i="7" a="1"/>
  <c r="O5" i="7" s="1"/>
  <c r="O69" i="7" a="1"/>
  <c r="O69" i="7" s="1"/>
  <c r="O39" i="7" a="1"/>
  <c r="O39" i="7" s="1"/>
  <c r="O57" i="7" a="1"/>
  <c r="O57" i="7" s="1"/>
  <c r="O65" i="7" a="1"/>
  <c r="O65" i="7" s="1"/>
  <c r="O10" i="7" a="1"/>
  <c r="O10" i="7" s="1"/>
  <c r="O24" i="7" a="1"/>
  <c r="O24" i="7" s="1"/>
  <c r="O55" i="7" a="1"/>
  <c r="O55" i="7" s="1"/>
  <c r="O89" i="7" a="1"/>
  <c r="O89" i="7" s="1"/>
  <c r="O59" i="7" a="1"/>
  <c r="O59" i="7" s="1"/>
  <c r="O14" i="7" a="1"/>
  <c r="O14" i="7" s="1"/>
  <c r="O13" i="7" a="1"/>
  <c r="O13" i="7" s="1"/>
  <c r="O93" i="7" a="1"/>
  <c r="O93" i="7" s="1"/>
  <c r="O95" i="7" a="1"/>
  <c r="O95" i="7" s="1"/>
  <c r="O43" i="7" a="1"/>
  <c r="O43" i="7" s="1"/>
  <c r="O27" i="7" a="1"/>
  <c r="O27" i="7" s="1"/>
  <c r="O26" i="7" a="1"/>
  <c r="O26" i="7" s="1"/>
  <c r="O87" i="7" a="1"/>
  <c r="O87" i="7" s="1"/>
  <c r="O73" i="7" a="1"/>
  <c r="O73" i="7" s="1"/>
  <c r="O77" i="7" a="1"/>
  <c r="O77" i="7" s="1"/>
  <c r="O41" i="7" a="1"/>
  <c r="O41" i="7" s="1"/>
  <c r="O47" i="7" a="1"/>
  <c r="O47" i="7" s="1"/>
  <c r="O29" i="7" a="1"/>
  <c r="O29" i="7" s="1"/>
  <c r="O30" i="7" a="1"/>
  <c r="O30" i="7" s="1"/>
  <c r="O45" i="7" a="1"/>
  <c r="O45" i="7" s="1"/>
  <c r="O52" i="7" a="1"/>
  <c r="O52" i="7" s="1"/>
  <c r="O54" i="7" a="1"/>
  <c r="O54" i="7" s="1"/>
  <c r="O25" i="7" a="1"/>
  <c r="O25" i="7" s="1"/>
  <c r="O61" i="7" a="1"/>
  <c r="O61" i="7" s="1"/>
  <c r="O91" i="7" a="1"/>
  <c r="O91" i="7" s="1"/>
  <c r="O49" i="7" a="1"/>
  <c r="O49" i="7" s="1"/>
  <c r="O31" i="7" a="1"/>
  <c r="O31" i="7" s="1"/>
  <c r="O19" i="7" a="1"/>
  <c r="O19" i="7" s="1"/>
  <c r="O67" i="7" a="1"/>
  <c r="O67" i="7" s="1"/>
  <c r="O75" i="7" a="1"/>
  <c r="O75" i="7" s="1"/>
  <c r="O88" i="7" a="1"/>
  <c r="O88" i="7" s="1"/>
  <c r="O86" i="7" a="1"/>
  <c r="O86" i="7" s="1"/>
  <c r="O38" i="7" a="1"/>
  <c r="O38" i="7" s="1"/>
  <c r="O36" i="7" a="1"/>
  <c r="O36" i="7" s="1"/>
  <c r="O48" i="7" a="1"/>
  <c r="O48" i="7" s="1"/>
  <c r="O100" i="7" a="1"/>
  <c r="O100" i="7" s="1"/>
  <c r="O70" i="7" a="1"/>
  <c r="O70" i="7" s="1"/>
  <c r="O92" i="7" a="1"/>
  <c r="O92" i="7" s="1"/>
  <c r="O56" i="7" a="1"/>
  <c r="O56" i="7" s="1"/>
  <c r="O62" i="7" a="1"/>
  <c r="O62" i="7" s="1"/>
  <c r="O40" i="7" a="1"/>
  <c r="O40" i="7" s="1"/>
  <c r="O82" i="7" a="1"/>
  <c r="O82" i="7" s="1"/>
  <c r="O34" i="7" a="1"/>
  <c r="O34" i="7" s="1"/>
  <c r="O90" i="7" a="1"/>
  <c r="O90" i="7" s="1"/>
  <c r="O60" i="7" a="1"/>
  <c r="O60" i="7" s="1"/>
  <c r="O50" i="7" a="1"/>
  <c r="O50" i="7" s="1"/>
  <c r="O80" i="7" a="1"/>
  <c r="O80" i="7" s="1"/>
  <c r="O64" i="7" a="1"/>
  <c r="O64" i="7" s="1"/>
  <c r="O96" i="7" a="1"/>
  <c r="O96" i="7" s="1"/>
  <c r="O84" i="7" a="1"/>
  <c r="O84" i="7" s="1"/>
  <c r="O58" i="7" a="1"/>
  <c r="O58" i="7" s="1"/>
  <c r="O44" i="7" a="1"/>
  <c r="O44" i="7" s="1"/>
  <c r="O66" i="7" a="1"/>
  <c r="O66" i="7" s="1"/>
  <c r="O76" i="7" a="1"/>
  <c r="O76" i="7" s="1"/>
  <c r="O98" i="7" a="1"/>
  <c r="O98" i="7" s="1"/>
  <c r="O72" i="7" a="1"/>
  <c r="O72" i="7" s="1"/>
  <c r="O78" i="7" a="1"/>
  <c r="O78" i="7" s="1"/>
  <c r="O42" i="7" a="1"/>
  <c r="O42" i="7" s="1"/>
  <c r="O68" i="7" a="1"/>
  <c r="O68" i="7" s="1"/>
  <c r="O94" i="7" a="1"/>
  <c r="O94" i="7" s="1"/>
  <c r="O46" i="7" a="1"/>
  <c r="O46" i="7" s="1"/>
  <c r="O102" i="7" a="1"/>
  <c r="O102" i="7" s="1"/>
  <c r="O74" i="7" a="1"/>
  <c r="O74" i="7" s="1"/>
  <c r="P4" i="7"/>
  <c r="P7" i="7" l="1" a="1"/>
  <c r="P7" i="7" s="1"/>
  <c r="P63" i="7" a="1"/>
  <c r="P63" i="7" s="1"/>
  <c r="P65" i="7" a="1"/>
  <c r="P65" i="7" s="1"/>
  <c r="P23" i="7" a="1"/>
  <c r="P23" i="7" s="1"/>
  <c r="P33" i="7" a="1"/>
  <c r="P33" i="7" s="1"/>
  <c r="P49" i="7" a="1"/>
  <c r="P49" i="7" s="1"/>
  <c r="P81" i="7" a="1"/>
  <c r="P81" i="7" s="1"/>
  <c r="P8" i="7" a="1"/>
  <c r="P8" i="7" s="1"/>
  <c r="P5" i="7" a="1"/>
  <c r="P5" i="7" s="1"/>
  <c r="P16" i="7" a="1"/>
  <c r="P16" i="7" s="1"/>
  <c r="P39" i="7" a="1"/>
  <c r="P39" i="7" s="1"/>
  <c r="P31" i="7" a="1"/>
  <c r="P31" i="7" s="1"/>
  <c r="P17" i="7" a="1"/>
  <c r="P17" i="7" s="1"/>
  <c r="P83" i="7" a="1"/>
  <c r="P83" i="7" s="1"/>
  <c r="P21" i="7" a="1"/>
  <c r="P21" i="7" s="1"/>
  <c r="P69" i="7" a="1"/>
  <c r="P69" i="7" s="1"/>
  <c r="P55" i="7" a="1"/>
  <c r="P55" i="7" s="1"/>
  <c r="P71" i="7" a="1"/>
  <c r="P71" i="7" s="1"/>
  <c r="P18" i="7" a="1"/>
  <c r="P18" i="7" s="1"/>
  <c r="P37" i="7" a="1"/>
  <c r="P37" i="7" s="1"/>
  <c r="P53" i="7" a="1"/>
  <c r="P53" i="7" s="1"/>
  <c r="P97" i="7" a="1"/>
  <c r="P97" i="7" s="1"/>
  <c r="P51" i="7" a="1"/>
  <c r="P51" i="7" s="1"/>
  <c r="P24" i="7" a="1"/>
  <c r="P24" i="7" s="1"/>
  <c r="P22" i="7" a="1"/>
  <c r="P22" i="7" s="1"/>
  <c r="P85" i="7" a="1"/>
  <c r="P85" i="7" s="1"/>
  <c r="P101" i="7" a="1"/>
  <c r="P101" i="7" s="1"/>
  <c r="P67" i="7" a="1"/>
  <c r="P67" i="7" s="1"/>
  <c r="P99" i="7" a="1"/>
  <c r="P99" i="7" s="1"/>
  <c r="P6" i="7" a="1"/>
  <c r="P6" i="7" s="1"/>
  <c r="P20" i="7" a="1"/>
  <c r="P20" i="7" s="1"/>
  <c r="P79" i="7" a="1"/>
  <c r="P79" i="7" s="1"/>
  <c r="P47" i="7" a="1"/>
  <c r="P47" i="7" s="1"/>
  <c r="P73" i="7" a="1"/>
  <c r="P73" i="7" s="1"/>
  <c r="P87" i="7" a="1"/>
  <c r="P87" i="7" s="1"/>
  <c r="P25" i="7" a="1"/>
  <c r="P25" i="7" s="1"/>
  <c r="P11" i="7" a="1"/>
  <c r="P11" i="7" s="1"/>
  <c r="P32" i="7" a="1"/>
  <c r="P32" i="7" s="1"/>
  <c r="P41" i="7" a="1"/>
  <c r="P41" i="7" s="1"/>
  <c r="P12" i="7" a="1"/>
  <c r="P12" i="7" s="1"/>
  <c r="P10" i="7" a="1"/>
  <c r="P10" i="7" s="1"/>
  <c r="P28" i="7" a="1"/>
  <c r="P28" i="7" s="1"/>
  <c r="P45" i="7" a="1"/>
  <c r="P45" i="7" s="1"/>
  <c r="P59" i="7" a="1"/>
  <c r="P59" i="7" s="1"/>
  <c r="P29" i="7" a="1"/>
  <c r="P29" i="7" s="1"/>
  <c r="P89" i="7" a="1"/>
  <c r="P89" i="7" s="1"/>
  <c r="P27" i="7" a="1"/>
  <c r="P27" i="7" s="1"/>
  <c r="P35" i="7" a="1"/>
  <c r="P35" i="7" s="1"/>
  <c r="P61" i="7" a="1"/>
  <c r="P61" i="7" s="1"/>
  <c r="P9" i="7" a="1"/>
  <c r="P9" i="7" s="1"/>
  <c r="P13" i="7" a="1"/>
  <c r="P13" i="7" s="1"/>
  <c r="P54" i="7" a="1"/>
  <c r="P54" i="7" s="1"/>
  <c r="P15" i="7" a="1"/>
  <c r="P15" i="7" s="1"/>
  <c r="P14" i="7" a="1"/>
  <c r="P14" i="7" s="1"/>
  <c r="P30" i="7" a="1"/>
  <c r="P30" i="7" s="1"/>
  <c r="P93" i="7" a="1"/>
  <c r="P93" i="7" s="1"/>
  <c r="P43" i="7" a="1"/>
  <c r="P43" i="7" s="1"/>
  <c r="P19" i="7" a="1"/>
  <c r="P19" i="7" s="1"/>
  <c r="P26" i="7" a="1"/>
  <c r="P26" i="7" s="1"/>
  <c r="P57" i="7" a="1"/>
  <c r="P57" i="7" s="1"/>
  <c r="P95" i="7" a="1"/>
  <c r="P95" i="7" s="1"/>
  <c r="P91" i="7" a="1"/>
  <c r="P91" i="7" s="1"/>
  <c r="P75" i="7" a="1"/>
  <c r="P75" i="7" s="1"/>
  <c r="P52" i="7" a="1"/>
  <c r="P52" i="7" s="1"/>
  <c r="P77" i="7" a="1"/>
  <c r="P77" i="7" s="1"/>
  <c r="P62" i="7" a="1"/>
  <c r="P62" i="7" s="1"/>
  <c r="P40" i="7" a="1"/>
  <c r="P40" i="7" s="1"/>
  <c r="P82" i="7" a="1"/>
  <c r="P82" i="7" s="1"/>
  <c r="P90" i="7" a="1"/>
  <c r="P90" i="7" s="1"/>
  <c r="P80" i="7" a="1"/>
  <c r="P80" i="7" s="1"/>
  <c r="P64" i="7" a="1"/>
  <c r="P64" i="7" s="1"/>
  <c r="P96" i="7" a="1"/>
  <c r="P96" i="7" s="1"/>
  <c r="P66" i="7" a="1"/>
  <c r="P66" i="7" s="1"/>
  <c r="P58" i="7" a="1"/>
  <c r="P58" i="7" s="1"/>
  <c r="P50" i="7" a="1"/>
  <c r="P50" i="7" s="1"/>
  <c r="P76" i="7" a="1"/>
  <c r="P76" i="7" s="1"/>
  <c r="P46" i="7" a="1"/>
  <c r="P46" i="7" s="1"/>
  <c r="P102" i="7" a="1"/>
  <c r="P102" i="7" s="1"/>
  <c r="P38" i="7" a="1"/>
  <c r="P38" i="7" s="1"/>
  <c r="P60" i="7" a="1"/>
  <c r="P60" i="7" s="1"/>
  <c r="P72" i="7" a="1"/>
  <c r="P72" i="7" s="1"/>
  <c r="P86" i="7" a="1"/>
  <c r="P86" i="7" s="1"/>
  <c r="P98" i="7" a="1"/>
  <c r="P98" i="7" s="1"/>
  <c r="P84" i="7" a="1"/>
  <c r="P84" i="7" s="1"/>
  <c r="P36" i="7" a="1"/>
  <c r="P36" i="7" s="1"/>
  <c r="P44" i="7" a="1"/>
  <c r="P44" i="7" s="1"/>
  <c r="P34" i="7" a="1"/>
  <c r="P34" i="7" s="1"/>
  <c r="P88" i="7" a="1"/>
  <c r="P88" i="7" s="1"/>
  <c r="P92" i="7" a="1"/>
  <c r="P92" i="7" s="1"/>
  <c r="P56" i="7" a="1"/>
  <c r="P56" i="7" s="1"/>
  <c r="P42" i="7" a="1"/>
  <c r="P42" i="7" s="1"/>
  <c r="P68" i="7" a="1"/>
  <c r="P68" i="7" s="1"/>
  <c r="P94" i="7" a="1"/>
  <c r="P94" i="7" s="1"/>
  <c r="P78" i="7" a="1"/>
  <c r="P78" i="7" s="1"/>
  <c r="P100" i="7" a="1"/>
  <c r="P100" i="7" s="1"/>
  <c r="P74" i="7" a="1"/>
  <c r="P74" i="7" s="1"/>
  <c r="P70" i="7" a="1"/>
  <c r="P70" i="7" s="1"/>
  <c r="P48" i="7" a="1"/>
  <c r="P48" i="7" s="1"/>
  <c r="Q4" i="7"/>
  <c r="Q7" i="7" l="1" a="1"/>
  <c r="Q7" i="7" s="1"/>
  <c r="Q15" i="7" a="1"/>
  <c r="Q15" i="7" s="1"/>
  <c r="Q33" i="7" a="1"/>
  <c r="Q33" i="7" s="1"/>
  <c r="Q49" i="7" a="1"/>
  <c r="Q49" i="7" s="1"/>
  <c r="Q17" i="7" a="1"/>
  <c r="Q17" i="7" s="1"/>
  <c r="Q79" i="7" a="1"/>
  <c r="Q79" i="7" s="1"/>
  <c r="Q37" i="7" a="1"/>
  <c r="Q37" i="7" s="1"/>
  <c r="Q69" i="7" a="1"/>
  <c r="Q69" i="7" s="1"/>
  <c r="Q5" i="7" a="1"/>
  <c r="Q5" i="7" s="1"/>
  <c r="Q18" i="7" a="1"/>
  <c r="Q18" i="7" s="1"/>
  <c r="Q16" i="7" a="1"/>
  <c r="Q16" i="7" s="1"/>
  <c r="Q51" i="7" a="1"/>
  <c r="Q51" i="7" s="1"/>
  <c r="Q83" i="7" a="1"/>
  <c r="Q83" i="7" s="1"/>
  <c r="Q99" i="7" a="1"/>
  <c r="Q99" i="7" s="1"/>
  <c r="Q22" i="7" a="1"/>
  <c r="Q22" i="7" s="1"/>
  <c r="Q85" i="7" a="1"/>
  <c r="Q85" i="7" s="1"/>
  <c r="Q19" i="7" a="1"/>
  <c r="Q19" i="7" s="1"/>
  <c r="Q67" i="7" a="1"/>
  <c r="Q67" i="7" s="1"/>
  <c r="Q101" i="7" a="1"/>
  <c r="Q101" i="7" s="1"/>
  <c r="Q9" i="7" a="1"/>
  <c r="Q9" i="7" s="1"/>
  <c r="Q20" i="7" a="1"/>
  <c r="Q20" i="7" s="1"/>
  <c r="Q23" i="7" a="1"/>
  <c r="Q23" i="7" s="1"/>
  <c r="Q71" i="7" a="1"/>
  <c r="Q71" i="7" s="1"/>
  <c r="Q41" i="7" a="1"/>
  <c r="Q41" i="7" s="1"/>
  <c r="Q24" i="7" a="1"/>
  <c r="Q24" i="7" s="1"/>
  <c r="Q39" i="7" a="1"/>
  <c r="Q39" i="7" s="1"/>
  <c r="Q21" i="7" a="1"/>
  <c r="Q21" i="7" s="1"/>
  <c r="Q63" i="7" a="1"/>
  <c r="Q63" i="7" s="1"/>
  <c r="Q55" i="7" a="1"/>
  <c r="Q55" i="7" s="1"/>
  <c r="Q10" i="7" a="1"/>
  <c r="Q10" i="7" s="1"/>
  <c r="Q25" i="7" a="1"/>
  <c r="Q25" i="7" s="1"/>
  <c r="Q95" i="7" a="1"/>
  <c r="Q95" i="7" s="1"/>
  <c r="Q8" i="7" a="1"/>
  <c r="Q8" i="7" s="1"/>
  <c r="Q27" i="7" a="1"/>
  <c r="Q27" i="7" s="1"/>
  <c r="Q43" i="7" a="1"/>
  <c r="Q43" i="7" s="1"/>
  <c r="Q89" i="7" a="1"/>
  <c r="Q89" i="7" s="1"/>
  <c r="Q11" i="7" a="1"/>
  <c r="Q11" i="7" s="1"/>
  <c r="Q35" i="7" a="1"/>
  <c r="Q35" i="7" s="1"/>
  <c r="Q81" i="7" a="1"/>
  <c r="Q81" i="7" s="1"/>
  <c r="Q6" i="7" a="1"/>
  <c r="Q6" i="7" s="1"/>
  <c r="Q57" i="7" a="1"/>
  <c r="Q57" i="7" s="1"/>
  <c r="Q97" i="7" a="1"/>
  <c r="Q97" i="7" s="1"/>
  <c r="Q31" i="7" a="1"/>
  <c r="Q31" i="7" s="1"/>
  <c r="Q59" i="7" a="1"/>
  <c r="Q59" i="7" s="1"/>
  <c r="Q91" i="7" a="1"/>
  <c r="Q91" i="7" s="1"/>
  <c r="Q53" i="7" a="1"/>
  <c r="Q53" i="7" s="1"/>
  <c r="Q93" i="7" a="1"/>
  <c r="Q93" i="7" s="1"/>
  <c r="Q12" i="7" a="1"/>
  <c r="Q12" i="7" s="1"/>
  <c r="Q65" i="7" a="1"/>
  <c r="Q65" i="7" s="1"/>
  <c r="Q77" i="7" a="1"/>
  <c r="Q77" i="7" s="1"/>
  <c r="Q47" i="7" a="1"/>
  <c r="Q47" i="7" s="1"/>
  <c r="Q28" i="7" a="1"/>
  <c r="Q28" i="7" s="1"/>
  <c r="Q14" i="7" a="1"/>
  <c r="Q14" i="7" s="1"/>
  <c r="Q26" i="7" a="1"/>
  <c r="Q26" i="7" s="1"/>
  <c r="Q52" i="7" a="1"/>
  <c r="Q52" i="7" s="1"/>
  <c r="Q87" i="7" a="1"/>
  <c r="Q87" i="7" s="1"/>
  <c r="Q32" i="7" a="1"/>
  <c r="Q32" i="7" s="1"/>
  <c r="Q75" i="7" a="1"/>
  <c r="Q75" i="7" s="1"/>
  <c r="Q73" i="7" a="1"/>
  <c r="Q73" i="7" s="1"/>
  <c r="Q29" i="7" a="1"/>
  <c r="Q29" i="7" s="1"/>
  <c r="Q54" i="7" a="1"/>
  <c r="Q54" i="7" s="1"/>
  <c r="Q61" i="7" a="1"/>
  <c r="Q61" i="7" s="1"/>
  <c r="Q13" i="7" a="1"/>
  <c r="Q13" i="7" s="1"/>
  <c r="Q30" i="7" a="1"/>
  <c r="Q30" i="7" s="1"/>
  <c r="Q45" i="7" a="1"/>
  <c r="Q45" i="7" s="1"/>
  <c r="Q72" i="7" a="1"/>
  <c r="Q72" i="7" s="1"/>
  <c r="Q48" i="7" a="1"/>
  <c r="Q48" i="7" s="1"/>
  <c r="Q86" i="7" a="1"/>
  <c r="Q86" i="7" s="1"/>
  <c r="Q44" i="7" a="1"/>
  <c r="Q44" i="7" s="1"/>
  <c r="Q98" i="7" a="1"/>
  <c r="Q98" i="7" s="1"/>
  <c r="Q84" i="7" a="1"/>
  <c r="Q84" i="7" s="1"/>
  <c r="Q34" i="7" a="1"/>
  <c r="Q34" i="7" s="1"/>
  <c r="Q80" i="7" a="1"/>
  <c r="Q80" i="7" s="1"/>
  <c r="Q88" i="7" a="1"/>
  <c r="Q88" i="7" s="1"/>
  <c r="Q36" i="7" a="1"/>
  <c r="Q36" i="7" s="1"/>
  <c r="Q100" i="7" a="1"/>
  <c r="Q100" i="7" s="1"/>
  <c r="Q92" i="7" a="1"/>
  <c r="Q92" i="7" s="1"/>
  <c r="Q64" i="7" a="1"/>
  <c r="Q64" i="7" s="1"/>
  <c r="Q56" i="7" a="1"/>
  <c r="Q56" i="7" s="1"/>
  <c r="Q90" i="7" a="1"/>
  <c r="Q90" i="7" s="1"/>
  <c r="Q62" i="7" a="1"/>
  <c r="Q62" i="7" s="1"/>
  <c r="Q60" i="7" a="1"/>
  <c r="Q60" i="7" s="1"/>
  <c r="Q40" i="7" a="1"/>
  <c r="Q40" i="7" s="1"/>
  <c r="Q96" i="7" a="1"/>
  <c r="Q96" i="7" s="1"/>
  <c r="Q74" i="7" a="1"/>
  <c r="Q74" i="7" s="1"/>
  <c r="Q46" i="7" a="1"/>
  <c r="Q46" i="7" s="1"/>
  <c r="Q102" i="7" a="1"/>
  <c r="Q102" i="7" s="1"/>
  <c r="Q58" i="7" a="1"/>
  <c r="Q58" i="7" s="1"/>
  <c r="Q38" i="7" a="1"/>
  <c r="Q38" i="7" s="1"/>
  <c r="Q70" i="7" a="1"/>
  <c r="Q70" i="7" s="1"/>
  <c r="Q68" i="7" a="1"/>
  <c r="Q68" i="7" s="1"/>
  <c r="Q50" i="7" a="1"/>
  <c r="Q50" i="7" s="1"/>
  <c r="Q66" i="7" a="1"/>
  <c r="Q66" i="7" s="1"/>
  <c r="Q82" i="7" a="1"/>
  <c r="Q82" i="7" s="1"/>
  <c r="Q42" i="7" a="1"/>
  <c r="Q42" i="7" s="1"/>
  <c r="Q94" i="7" a="1"/>
  <c r="Q94" i="7" s="1"/>
  <c r="Q76" i="7" a="1"/>
  <c r="Q76" i="7" s="1"/>
  <c r="Q78" i="7" a="1"/>
  <c r="Q78" i="7" s="1"/>
  <c r="R4" i="7"/>
  <c r="R7" i="7" l="1" a="1"/>
  <c r="R7" i="7" s="1"/>
  <c r="R16" i="7" a="1"/>
  <c r="R16" i="7" s="1"/>
  <c r="R17" i="7" a="1"/>
  <c r="R17" i="7" s="1"/>
  <c r="R101" i="7" a="1"/>
  <c r="R101" i="7" s="1"/>
  <c r="R5" i="7" a="1"/>
  <c r="R5" i="7" s="1"/>
  <c r="R63" i="7" a="1"/>
  <c r="R63" i="7" s="1"/>
  <c r="R53" i="7" a="1"/>
  <c r="R53" i="7" s="1"/>
  <c r="R35" i="7" a="1"/>
  <c r="R35" i="7" s="1"/>
  <c r="R65" i="7" a="1"/>
  <c r="R65" i="7" s="1"/>
  <c r="R97" i="7" a="1"/>
  <c r="R97" i="7" s="1"/>
  <c r="R15" i="7" a="1"/>
  <c r="R15" i="7" s="1"/>
  <c r="R20" i="7" a="1"/>
  <c r="R20" i="7" s="1"/>
  <c r="R18" i="7" a="1"/>
  <c r="R18" i="7" s="1"/>
  <c r="R25" i="7" a="1"/>
  <c r="R25" i="7" s="1"/>
  <c r="R79" i="7" a="1"/>
  <c r="R79" i="7" s="1"/>
  <c r="R37" i="7" a="1"/>
  <c r="R37" i="7" s="1"/>
  <c r="R99" i="7" a="1"/>
  <c r="R99" i="7" s="1"/>
  <c r="R19" i="7" a="1"/>
  <c r="R19" i="7" s="1"/>
  <c r="R33" i="7" a="1"/>
  <c r="R33" i="7" s="1"/>
  <c r="R81" i="7" a="1"/>
  <c r="R81" i="7" s="1"/>
  <c r="R39" i="7" a="1"/>
  <c r="R39" i="7" s="1"/>
  <c r="R32" i="7" a="1"/>
  <c r="R32" i="7" s="1"/>
  <c r="R10" i="7" a="1"/>
  <c r="R10" i="7" s="1"/>
  <c r="R83" i="7" a="1"/>
  <c r="R83" i="7" s="1"/>
  <c r="R22" i="7" a="1"/>
  <c r="R22" i="7" s="1"/>
  <c r="R49" i="7" a="1"/>
  <c r="R49" i="7" s="1"/>
  <c r="R57" i="7" a="1"/>
  <c r="R57" i="7" s="1"/>
  <c r="R23" i="7" a="1"/>
  <c r="R23" i="7" s="1"/>
  <c r="R24" i="7" a="1"/>
  <c r="R24" i="7" s="1"/>
  <c r="R31" i="7" a="1"/>
  <c r="R31" i="7" s="1"/>
  <c r="R55" i="7" a="1"/>
  <c r="R55" i="7" s="1"/>
  <c r="R51" i="7" a="1"/>
  <c r="R51" i="7" s="1"/>
  <c r="R73" i="7" a="1"/>
  <c r="R73" i="7" s="1"/>
  <c r="R47" i="7" a="1"/>
  <c r="R47" i="7" s="1"/>
  <c r="R87" i="7" a="1"/>
  <c r="R87" i="7" s="1"/>
  <c r="R9" i="7" a="1"/>
  <c r="R9" i="7" s="1"/>
  <c r="R6" i="7" a="1"/>
  <c r="R6" i="7" s="1"/>
  <c r="R27" i="7" a="1"/>
  <c r="R27" i="7" s="1"/>
  <c r="R21" i="7" a="1"/>
  <c r="R21" i="7" s="1"/>
  <c r="R43" i="7" a="1"/>
  <c r="R43" i="7" s="1"/>
  <c r="R59" i="7" a="1"/>
  <c r="R59" i="7" s="1"/>
  <c r="R8" i="7" a="1"/>
  <c r="R8" i="7" s="1"/>
  <c r="R61" i="7" a="1"/>
  <c r="R61" i="7" s="1"/>
  <c r="R95" i="7" a="1"/>
  <c r="R95" i="7" s="1"/>
  <c r="R11" i="7" a="1"/>
  <c r="R11" i="7" s="1"/>
  <c r="R71" i="7" a="1"/>
  <c r="R71" i="7" s="1"/>
  <c r="R41" i="7" a="1"/>
  <c r="R41" i="7" s="1"/>
  <c r="R30" i="7" a="1"/>
  <c r="R30" i="7" s="1"/>
  <c r="R93" i="7" a="1"/>
  <c r="R93" i="7" s="1"/>
  <c r="R52" i="7" a="1"/>
  <c r="R52" i="7" s="1"/>
  <c r="R26" i="7" a="1"/>
  <c r="R26" i="7" s="1"/>
  <c r="R45" i="7" a="1"/>
  <c r="R45" i="7" s="1"/>
  <c r="R67" i="7" a="1"/>
  <c r="R67" i="7" s="1"/>
  <c r="R12" i="7" a="1"/>
  <c r="R12" i="7" s="1"/>
  <c r="R91" i="7" a="1"/>
  <c r="R91" i="7" s="1"/>
  <c r="R85" i="7" a="1"/>
  <c r="R85" i="7" s="1"/>
  <c r="R29" i="7" a="1"/>
  <c r="R29" i="7" s="1"/>
  <c r="R69" i="7" a="1"/>
  <c r="R69" i="7" s="1"/>
  <c r="R13" i="7" a="1"/>
  <c r="R13" i="7" s="1"/>
  <c r="R14" i="7" a="1"/>
  <c r="R14" i="7" s="1"/>
  <c r="R89" i="7" a="1"/>
  <c r="R89" i="7" s="1"/>
  <c r="R28" i="7" a="1"/>
  <c r="R28" i="7" s="1"/>
  <c r="R54" i="7" a="1"/>
  <c r="R54" i="7" s="1"/>
  <c r="R75" i="7" a="1"/>
  <c r="R75" i="7" s="1"/>
  <c r="R77" i="7" a="1"/>
  <c r="R77" i="7" s="1"/>
  <c r="R92" i="7" a="1"/>
  <c r="R92" i="7" s="1"/>
  <c r="R56" i="7" a="1"/>
  <c r="R56" i="7" s="1"/>
  <c r="R90" i="7" a="1"/>
  <c r="R90" i="7" s="1"/>
  <c r="R62" i="7" a="1"/>
  <c r="R62" i="7" s="1"/>
  <c r="R60" i="7" a="1"/>
  <c r="R60" i="7" s="1"/>
  <c r="R40" i="7" a="1"/>
  <c r="R40" i="7" s="1"/>
  <c r="R88" i="7" a="1"/>
  <c r="R88" i="7" s="1"/>
  <c r="R58" i="7" a="1"/>
  <c r="R58" i="7" s="1"/>
  <c r="R96" i="7" a="1"/>
  <c r="R96" i="7" s="1"/>
  <c r="R64" i="7" a="1"/>
  <c r="R64" i="7" s="1"/>
  <c r="R84" i="7" a="1"/>
  <c r="R84" i="7" s="1"/>
  <c r="R50" i="7" a="1"/>
  <c r="R50" i="7" s="1"/>
  <c r="R66" i="7" a="1"/>
  <c r="R66" i="7" s="1"/>
  <c r="R76" i="7" a="1"/>
  <c r="R76" i="7" s="1"/>
  <c r="R36" i="7" a="1"/>
  <c r="R36" i="7" s="1"/>
  <c r="R34" i="7" a="1"/>
  <c r="R34" i="7" s="1"/>
  <c r="R74" i="7" a="1"/>
  <c r="R74" i="7" s="1"/>
  <c r="R46" i="7" a="1"/>
  <c r="R46" i="7" s="1"/>
  <c r="R102" i="7" a="1"/>
  <c r="R102" i="7" s="1"/>
  <c r="R86" i="7" a="1"/>
  <c r="R86" i="7" s="1"/>
  <c r="R44" i="7" a="1"/>
  <c r="R44" i="7" s="1"/>
  <c r="R98" i="7" a="1"/>
  <c r="R98" i="7" s="1"/>
  <c r="R48" i="7" a="1"/>
  <c r="R48" i="7" s="1"/>
  <c r="R100" i="7" a="1"/>
  <c r="R100" i="7" s="1"/>
  <c r="R42" i="7" a="1"/>
  <c r="R42" i="7" s="1"/>
  <c r="R72" i="7" a="1"/>
  <c r="R72" i="7" s="1"/>
  <c r="R70" i="7" a="1"/>
  <c r="R70" i="7" s="1"/>
  <c r="R78" i="7" a="1"/>
  <c r="R78" i="7" s="1"/>
  <c r="R94" i="7" a="1"/>
  <c r="R94" i="7" s="1"/>
  <c r="R82" i="7" a="1"/>
  <c r="R82" i="7" s="1"/>
  <c r="R68" i="7" a="1"/>
  <c r="R68" i="7" s="1"/>
  <c r="R80" i="7" a="1"/>
  <c r="R80" i="7" s="1"/>
  <c r="R38" i="7" a="1"/>
  <c r="R38" i="7" s="1"/>
  <c r="S4" i="7"/>
  <c r="S7" i="7" l="1" a="1"/>
  <c r="S7" i="7" s="1"/>
  <c r="S63" i="7" a="1"/>
  <c r="S63" i="7" s="1"/>
  <c r="S15" i="7" a="1"/>
  <c r="S15" i="7" s="1"/>
  <c r="S6" i="7" a="1"/>
  <c r="S6" i="7" s="1"/>
  <c r="S49" i="7" a="1"/>
  <c r="S49" i="7" s="1"/>
  <c r="S23" i="7" a="1"/>
  <c r="S23" i="7" s="1"/>
  <c r="S16" i="7" a="1"/>
  <c r="S16" i="7" s="1"/>
  <c r="S35" i="7" a="1"/>
  <c r="S35" i="7" s="1"/>
  <c r="S67" i="7" a="1"/>
  <c r="S67" i="7" s="1"/>
  <c r="S22" i="7" a="1"/>
  <c r="S22" i="7" s="1"/>
  <c r="S69" i="7" a="1"/>
  <c r="S69" i="7" s="1"/>
  <c r="S18" i="7" a="1"/>
  <c r="S18" i="7" s="1"/>
  <c r="S21" i="7" a="1"/>
  <c r="S21" i="7" s="1"/>
  <c r="S32" i="7" a="1"/>
  <c r="S32" i="7" s="1"/>
  <c r="S99" i="7" a="1"/>
  <c r="S99" i="7" s="1"/>
  <c r="S65" i="7" a="1"/>
  <c r="S65" i="7" s="1"/>
  <c r="S53" i="7" a="1"/>
  <c r="S53" i="7" s="1"/>
  <c r="S81" i="7" a="1"/>
  <c r="S81" i="7" s="1"/>
  <c r="S41" i="7" a="1"/>
  <c r="S41" i="7" s="1"/>
  <c r="S83" i="7" a="1"/>
  <c r="S83" i="7" s="1"/>
  <c r="S24" i="7" a="1"/>
  <c r="S24" i="7" s="1"/>
  <c r="S19" i="7" a="1"/>
  <c r="S19" i="7" s="1"/>
  <c r="S20" i="7" a="1"/>
  <c r="S20" i="7" s="1"/>
  <c r="S87" i="7" a="1"/>
  <c r="S87" i="7" s="1"/>
  <c r="S37" i="7" a="1"/>
  <c r="S37" i="7" s="1"/>
  <c r="S85" i="7" a="1"/>
  <c r="S85" i="7" s="1"/>
  <c r="S33" i="7" a="1"/>
  <c r="S33" i="7" s="1"/>
  <c r="S17" i="7" a="1"/>
  <c r="S17" i="7" s="1"/>
  <c r="S9" i="7" a="1"/>
  <c r="S9" i="7" s="1"/>
  <c r="S26" i="7" a="1"/>
  <c r="S26" i="7" s="1"/>
  <c r="S12" i="7" a="1"/>
  <c r="S12" i="7" s="1"/>
  <c r="S51" i="7" a="1"/>
  <c r="S51" i="7" s="1"/>
  <c r="S25" i="7" a="1"/>
  <c r="S25" i="7" s="1"/>
  <c r="S27" i="7" a="1"/>
  <c r="S27" i="7" s="1"/>
  <c r="S101" i="7" a="1"/>
  <c r="S101" i="7" s="1"/>
  <c r="S39" i="7" a="1"/>
  <c r="S39" i="7" s="1"/>
  <c r="S28" i="7" a="1"/>
  <c r="S28" i="7" s="1"/>
  <c r="S75" i="7" a="1"/>
  <c r="S75" i="7" s="1"/>
  <c r="S55" i="7" a="1"/>
  <c r="S55" i="7" s="1"/>
  <c r="S45" i="7" a="1"/>
  <c r="S45" i="7" s="1"/>
  <c r="S71" i="7" a="1"/>
  <c r="S71" i="7" s="1"/>
  <c r="S10" i="7" a="1"/>
  <c r="S10" i="7" s="1"/>
  <c r="S57" i="7" a="1"/>
  <c r="S57" i="7" s="1"/>
  <c r="S5" i="7" a="1"/>
  <c r="S5" i="7" s="1"/>
  <c r="S8" i="7" a="1"/>
  <c r="S8" i="7" s="1"/>
  <c r="S61" i="7" a="1"/>
  <c r="S61" i="7" s="1"/>
  <c r="S52" i="7" a="1"/>
  <c r="S52" i="7" s="1"/>
  <c r="S29" i="7" a="1"/>
  <c r="S29" i="7" s="1"/>
  <c r="S95" i="7" a="1"/>
  <c r="S95" i="7" s="1"/>
  <c r="S77" i="7" a="1"/>
  <c r="S77" i="7" s="1"/>
  <c r="S14" i="7" a="1"/>
  <c r="S14" i="7" s="1"/>
  <c r="S73" i="7" a="1"/>
  <c r="S73" i="7" s="1"/>
  <c r="S79" i="7" a="1"/>
  <c r="S79" i="7" s="1"/>
  <c r="S11" i="7" a="1"/>
  <c r="S11" i="7" s="1"/>
  <c r="S93" i="7" a="1"/>
  <c r="S93" i="7" s="1"/>
  <c r="S13" i="7" a="1"/>
  <c r="S13" i="7" s="1"/>
  <c r="S59" i="7" a="1"/>
  <c r="S59" i="7" s="1"/>
  <c r="S54" i="7" a="1"/>
  <c r="S54" i="7" s="1"/>
  <c r="S30" i="7" a="1"/>
  <c r="S30" i="7" s="1"/>
  <c r="S89" i="7" a="1"/>
  <c r="S89" i="7" s="1"/>
  <c r="S91" i="7" a="1"/>
  <c r="S91" i="7" s="1"/>
  <c r="S97" i="7" a="1"/>
  <c r="S97" i="7" s="1"/>
  <c r="S47" i="7" a="1"/>
  <c r="S47" i="7" s="1"/>
  <c r="S43" i="7" a="1"/>
  <c r="S43" i="7" s="1"/>
  <c r="S31" i="7" a="1"/>
  <c r="S31" i="7" s="1"/>
  <c r="S70" i="7" a="1"/>
  <c r="S70" i="7" s="1"/>
  <c r="S50" i="7" a="1"/>
  <c r="S50" i="7" s="1"/>
  <c r="S76" i="7" a="1"/>
  <c r="S76" i="7" s="1"/>
  <c r="S74" i="7" a="1"/>
  <c r="S74" i="7" s="1"/>
  <c r="S66" i="7" a="1"/>
  <c r="S66" i="7" s="1"/>
  <c r="S46" i="7" a="1"/>
  <c r="S46" i="7" s="1"/>
  <c r="S86" i="7" a="1"/>
  <c r="S86" i="7" s="1"/>
  <c r="S34" i="7" a="1"/>
  <c r="S34" i="7" s="1"/>
  <c r="S44" i="7" a="1"/>
  <c r="S44" i="7" s="1"/>
  <c r="S98" i="7" a="1"/>
  <c r="S98" i="7" s="1"/>
  <c r="S58" i="7" a="1"/>
  <c r="S58" i="7" s="1"/>
  <c r="S80" i="7" a="1"/>
  <c r="S80" i="7" s="1"/>
  <c r="S38" i="7" a="1"/>
  <c r="S38" i="7" s="1"/>
  <c r="S82" i="7" a="1"/>
  <c r="S82" i="7" s="1"/>
  <c r="S48" i="7" a="1"/>
  <c r="S48" i="7" s="1"/>
  <c r="S100" i="7" a="1"/>
  <c r="S100" i="7" s="1"/>
  <c r="S72" i="7" a="1"/>
  <c r="S72" i="7" s="1"/>
  <c r="S36" i="7" a="1"/>
  <c r="S36" i="7" s="1"/>
  <c r="S90" i="7" a="1"/>
  <c r="S90" i="7" s="1"/>
  <c r="S62" i="7" a="1"/>
  <c r="S62" i="7" s="1"/>
  <c r="S60" i="7" a="1"/>
  <c r="S60" i="7" s="1"/>
  <c r="S40" i="7" a="1"/>
  <c r="S40" i="7" s="1"/>
  <c r="S64" i="7" a="1"/>
  <c r="S64" i="7" s="1"/>
  <c r="S88" i="7" a="1"/>
  <c r="S88" i="7" s="1"/>
  <c r="S96" i="7" a="1"/>
  <c r="S96" i="7" s="1"/>
  <c r="S84" i="7" a="1"/>
  <c r="S84" i="7" s="1"/>
  <c r="S42" i="7" a="1"/>
  <c r="S42" i="7" s="1"/>
  <c r="S94" i="7" a="1"/>
  <c r="S94" i="7" s="1"/>
  <c r="S78" i="7" a="1"/>
  <c r="S78" i="7" s="1"/>
  <c r="S102" i="7" a="1"/>
  <c r="S102" i="7" s="1"/>
  <c r="S68" i="7" a="1"/>
  <c r="S68" i="7" s="1"/>
  <c r="S92" i="7" a="1"/>
  <c r="S92" i="7" s="1"/>
  <c r="S56" i="7" a="1"/>
  <c r="S56" i="7" s="1"/>
  <c r="T4" i="7"/>
  <c r="T7" i="7" l="1" a="1"/>
  <c r="T7" i="7" s="1"/>
  <c r="T15" i="7" a="1"/>
  <c r="T15" i="7" s="1"/>
  <c r="T16" i="7" a="1"/>
  <c r="T16" i="7" s="1"/>
  <c r="T19" i="7" a="1"/>
  <c r="T19" i="7" s="1"/>
  <c r="T83" i="7" a="1"/>
  <c r="T83" i="7" s="1"/>
  <c r="T21" i="7" a="1"/>
  <c r="T21" i="7" s="1"/>
  <c r="T85" i="7" a="1"/>
  <c r="T85" i="7" s="1"/>
  <c r="T37" i="7" a="1"/>
  <c r="T37" i="7" s="1"/>
  <c r="T6" i="7" a="1"/>
  <c r="T6" i="7" s="1"/>
  <c r="T17" i="7" a="1"/>
  <c r="T17" i="7" s="1"/>
  <c r="T20" i="7" a="1"/>
  <c r="T20" i="7" s="1"/>
  <c r="T51" i="7" a="1"/>
  <c r="T51" i="7" s="1"/>
  <c r="T99" i="7" a="1"/>
  <c r="T99" i="7" s="1"/>
  <c r="T101" i="7" a="1"/>
  <c r="T101" i="7" s="1"/>
  <c r="T33" i="7" a="1"/>
  <c r="T33" i="7" s="1"/>
  <c r="T53" i="7" a="1"/>
  <c r="T53" i="7" s="1"/>
  <c r="T97" i="7" a="1"/>
  <c r="T97" i="7" s="1"/>
  <c r="T57" i="7" a="1"/>
  <c r="T57" i="7" s="1"/>
  <c r="T18" i="7" a="1"/>
  <c r="T18" i="7" s="1"/>
  <c r="T69" i="7" a="1"/>
  <c r="T69" i="7" s="1"/>
  <c r="T32" i="7" a="1"/>
  <c r="T32" i="7" s="1"/>
  <c r="T31" i="7" a="1"/>
  <c r="T31" i="7" s="1"/>
  <c r="T35" i="7" a="1"/>
  <c r="T35" i="7" s="1"/>
  <c r="T67" i="7" a="1"/>
  <c r="T67" i="7" s="1"/>
  <c r="T79" i="7" a="1"/>
  <c r="T79" i="7" s="1"/>
  <c r="T39" i="7" a="1"/>
  <c r="T39" i="7" s="1"/>
  <c r="T55" i="7" a="1"/>
  <c r="T55" i="7" s="1"/>
  <c r="T23" i="7" a="1"/>
  <c r="T23" i="7" s="1"/>
  <c r="T63" i="7" a="1"/>
  <c r="T63" i="7" s="1"/>
  <c r="T95" i="7" a="1"/>
  <c r="T95" i="7" s="1"/>
  <c r="T28" i="7" a="1"/>
  <c r="T28" i="7" s="1"/>
  <c r="T75" i="7" a="1"/>
  <c r="T75" i="7" s="1"/>
  <c r="T89" i="7" a="1"/>
  <c r="T89" i="7" s="1"/>
  <c r="T22" i="7" a="1"/>
  <c r="T22" i="7" s="1"/>
  <c r="T5" i="7" a="1"/>
  <c r="T5" i="7" s="1"/>
  <c r="T87" i="7" a="1"/>
  <c r="T87" i="7" s="1"/>
  <c r="T73" i="7" a="1"/>
  <c r="T73" i="7" s="1"/>
  <c r="T59" i="7" a="1"/>
  <c r="T59" i="7" s="1"/>
  <c r="T41" i="7" a="1"/>
  <c r="T41" i="7" s="1"/>
  <c r="T12" i="7" a="1"/>
  <c r="T12" i="7" s="1"/>
  <c r="T43" i="7" a="1"/>
  <c r="T43" i="7" s="1"/>
  <c r="T65" i="7" a="1"/>
  <c r="T65" i="7" s="1"/>
  <c r="T81" i="7" a="1"/>
  <c r="T81" i="7" s="1"/>
  <c r="T24" i="7" a="1"/>
  <c r="T24" i="7" s="1"/>
  <c r="T71" i="7" a="1"/>
  <c r="T71" i="7" s="1"/>
  <c r="T93" i="7" a="1"/>
  <c r="T93" i="7" s="1"/>
  <c r="T47" i="7" a="1"/>
  <c r="T47" i="7" s="1"/>
  <c r="T27" i="7" a="1"/>
  <c r="T27" i="7" s="1"/>
  <c r="T49" i="7" a="1"/>
  <c r="T49" i="7" s="1"/>
  <c r="T9" i="7" a="1"/>
  <c r="T9" i="7" s="1"/>
  <c r="T8" i="7" a="1"/>
  <c r="T8" i="7" s="1"/>
  <c r="T54" i="7" a="1"/>
  <c r="T54" i="7" s="1"/>
  <c r="T61" i="7" a="1"/>
  <c r="T61" i="7" s="1"/>
  <c r="T30" i="7" a="1"/>
  <c r="T30" i="7" s="1"/>
  <c r="T91" i="7" a="1"/>
  <c r="T91" i="7" s="1"/>
  <c r="T52" i="7" a="1"/>
  <c r="T52" i="7" s="1"/>
  <c r="T25" i="7" a="1"/>
  <c r="T25" i="7" s="1"/>
  <c r="T77" i="7" a="1"/>
  <c r="T77" i="7" s="1"/>
  <c r="T45" i="7" a="1"/>
  <c r="T45" i="7" s="1"/>
  <c r="T26" i="7" a="1"/>
  <c r="T26" i="7" s="1"/>
  <c r="T29" i="7" a="1"/>
  <c r="T29" i="7" s="1"/>
  <c r="T10" i="7" a="1"/>
  <c r="T10" i="7" s="1"/>
  <c r="T11" i="7" a="1"/>
  <c r="T11" i="7" s="1"/>
  <c r="T14" i="7" a="1"/>
  <c r="T14" i="7" s="1"/>
  <c r="T13" i="7" a="1"/>
  <c r="T13" i="7" s="1"/>
  <c r="T66" i="7" a="1"/>
  <c r="T66" i="7" s="1"/>
  <c r="T86" i="7" a="1"/>
  <c r="T86" i="7" s="1"/>
  <c r="T44" i="7" a="1"/>
  <c r="T44" i="7" s="1"/>
  <c r="T98" i="7" a="1"/>
  <c r="T98" i="7" s="1"/>
  <c r="T80" i="7" a="1"/>
  <c r="T80" i="7" s="1"/>
  <c r="T88" i="7" a="1"/>
  <c r="T88" i="7" s="1"/>
  <c r="T38" i="7" a="1"/>
  <c r="T38" i="7" s="1"/>
  <c r="T36" i="7" a="1"/>
  <c r="T36" i="7" s="1"/>
  <c r="T48" i="7" a="1"/>
  <c r="T48" i="7" s="1"/>
  <c r="T100" i="7" a="1"/>
  <c r="T100" i="7" s="1"/>
  <c r="T62" i="7" a="1"/>
  <c r="T62" i="7" s="1"/>
  <c r="T92" i="7" a="1"/>
  <c r="T92" i="7" s="1"/>
  <c r="T76" i="7" a="1"/>
  <c r="T76" i="7" s="1"/>
  <c r="T56" i="7" a="1"/>
  <c r="T56" i="7" s="1"/>
  <c r="T46" i="7" a="1"/>
  <c r="T46" i="7" s="1"/>
  <c r="T90" i="7" a="1"/>
  <c r="T90" i="7" s="1"/>
  <c r="T60" i="7" a="1"/>
  <c r="T60" i="7" s="1"/>
  <c r="T40" i="7" a="1"/>
  <c r="T40" i="7" s="1"/>
  <c r="T64" i="7" a="1"/>
  <c r="T64" i="7" s="1"/>
  <c r="T96" i="7" a="1"/>
  <c r="T96" i="7" s="1"/>
  <c r="T84" i="7" a="1"/>
  <c r="T84" i="7" s="1"/>
  <c r="T34" i="7" a="1"/>
  <c r="T34" i="7" s="1"/>
  <c r="T58" i="7" a="1"/>
  <c r="T58" i="7" s="1"/>
  <c r="T72" i="7" a="1"/>
  <c r="T72" i="7" s="1"/>
  <c r="T74" i="7" a="1"/>
  <c r="T74" i="7" s="1"/>
  <c r="T102" i="7" a="1"/>
  <c r="T102" i="7" s="1"/>
  <c r="T70" i="7" a="1"/>
  <c r="T70" i="7" s="1"/>
  <c r="T68" i="7" a="1"/>
  <c r="T68" i="7" s="1"/>
  <c r="T78" i="7" a="1"/>
  <c r="T78" i="7" s="1"/>
  <c r="T82" i="7" a="1"/>
  <c r="T82" i="7" s="1"/>
  <c r="T50" i="7" a="1"/>
  <c r="T50" i="7" s="1"/>
  <c r="T42" i="7" a="1"/>
  <c r="T42" i="7" s="1"/>
  <c r="T94" i="7" a="1"/>
  <c r="T94" i="7" s="1"/>
  <c r="U4" i="7"/>
  <c r="U7" i="7" l="1" a="1"/>
  <c r="U7" i="7" s="1"/>
  <c r="U53" i="7" a="1"/>
  <c r="U53" i="7" s="1"/>
  <c r="U97" i="7" a="1"/>
  <c r="U97" i="7" s="1"/>
  <c r="U63" i="7" a="1"/>
  <c r="U63" i="7" s="1"/>
  <c r="U49" i="7" a="1"/>
  <c r="U49" i="7" s="1"/>
  <c r="U19" i="7" a="1"/>
  <c r="U19" i="7" s="1"/>
  <c r="U79" i="7" a="1"/>
  <c r="U79" i="7" s="1"/>
  <c r="U15" i="7" a="1"/>
  <c r="U15" i="7" s="1"/>
  <c r="U35" i="7" a="1"/>
  <c r="U35" i="7" s="1"/>
  <c r="U23" i="7" a="1"/>
  <c r="U23" i="7" s="1"/>
  <c r="U101" i="7" a="1"/>
  <c r="U101" i="7" s="1"/>
  <c r="U32" i="7" a="1"/>
  <c r="U32" i="7" s="1"/>
  <c r="U9" i="7" a="1"/>
  <c r="U9" i="7" s="1"/>
  <c r="U16" i="7" a="1"/>
  <c r="U16" i="7" s="1"/>
  <c r="U21" i="7" a="1"/>
  <c r="U21" i="7" s="1"/>
  <c r="U37" i="7" a="1"/>
  <c r="U37" i="7" s="1"/>
  <c r="U81" i="7" a="1"/>
  <c r="U81" i="7" s="1"/>
  <c r="U17" i="7" a="1"/>
  <c r="U17" i="7" s="1"/>
  <c r="U20" i="7" a="1"/>
  <c r="U20" i="7" s="1"/>
  <c r="U22" i="7" a="1"/>
  <c r="U22" i="7" s="1"/>
  <c r="U31" i="7" a="1"/>
  <c r="U31" i="7" s="1"/>
  <c r="U83" i="7" a="1"/>
  <c r="U83" i="7" s="1"/>
  <c r="U5" i="7" a="1"/>
  <c r="U5" i="7" s="1"/>
  <c r="U55" i="7" a="1"/>
  <c r="U55" i="7" s="1"/>
  <c r="U65" i="7" a="1"/>
  <c r="U65" i="7" s="1"/>
  <c r="U39" i="7" a="1"/>
  <c r="U39" i="7" s="1"/>
  <c r="U26" i="7" a="1"/>
  <c r="U26" i="7" s="1"/>
  <c r="U27" i="7" a="1"/>
  <c r="U27" i="7" s="1"/>
  <c r="U24" i="7" a="1"/>
  <c r="U24" i="7" s="1"/>
  <c r="U87" i="7" a="1"/>
  <c r="U87" i="7" s="1"/>
  <c r="U67" i="7" a="1"/>
  <c r="U67" i="7" s="1"/>
  <c r="U99" i="7" a="1"/>
  <c r="U99" i="7" s="1"/>
  <c r="U69" i="7" a="1"/>
  <c r="U69" i="7" s="1"/>
  <c r="U10" i="7" a="1"/>
  <c r="U10" i="7" s="1"/>
  <c r="U51" i="7" a="1"/>
  <c r="U51" i="7" s="1"/>
  <c r="U73" i="7" a="1"/>
  <c r="U73" i="7" s="1"/>
  <c r="U28" i="7" a="1"/>
  <c r="U28" i="7" s="1"/>
  <c r="U45" i="7" a="1"/>
  <c r="U45" i="7" s="1"/>
  <c r="U95" i="7" a="1"/>
  <c r="U95" i="7" s="1"/>
  <c r="U61" i="7" a="1"/>
  <c r="U61" i="7" s="1"/>
  <c r="U25" i="7" a="1"/>
  <c r="U25" i="7" s="1"/>
  <c r="U47" i="7" a="1"/>
  <c r="U47" i="7" s="1"/>
  <c r="U91" i="7" a="1"/>
  <c r="U91" i="7" s="1"/>
  <c r="U8" i="7" a="1"/>
  <c r="U8" i="7" s="1"/>
  <c r="U85" i="7" a="1"/>
  <c r="U85" i="7" s="1"/>
  <c r="U12" i="7" a="1"/>
  <c r="U12" i="7" s="1"/>
  <c r="U6" i="7" a="1"/>
  <c r="U6" i="7" s="1"/>
  <c r="U43" i="7" a="1"/>
  <c r="U43" i="7" s="1"/>
  <c r="U93" i="7" a="1"/>
  <c r="U93" i="7" s="1"/>
  <c r="U33" i="7" a="1"/>
  <c r="U33" i="7" s="1"/>
  <c r="U59" i="7" a="1"/>
  <c r="U59" i="7" s="1"/>
  <c r="U75" i="7" a="1"/>
  <c r="U75" i="7" s="1"/>
  <c r="U18" i="7" a="1"/>
  <c r="U18" i="7" s="1"/>
  <c r="U71" i="7" a="1"/>
  <c r="U71" i="7" s="1"/>
  <c r="U41" i="7" a="1"/>
  <c r="U41" i="7" s="1"/>
  <c r="U29" i="7" a="1"/>
  <c r="U29" i="7" s="1"/>
  <c r="U77" i="7" a="1"/>
  <c r="U77" i="7" s="1"/>
  <c r="U30" i="7" a="1"/>
  <c r="U30" i="7" s="1"/>
  <c r="U52" i="7" a="1"/>
  <c r="U52" i="7" s="1"/>
  <c r="U89" i="7" a="1"/>
  <c r="U89" i="7" s="1"/>
  <c r="U14" i="7" a="1"/>
  <c r="U14" i="7" s="1"/>
  <c r="U11" i="7" a="1"/>
  <c r="U11" i="7" s="1"/>
  <c r="U57" i="7" a="1"/>
  <c r="U57" i="7" s="1"/>
  <c r="U13" i="7" a="1"/>
  <c r="U13" i="7" s="1"/>
  <c r="U54" i="7" a="1"/>
  <c r="U54" i="7" s="1"/>
  <c r="U36" i="7" a="1"/>
  <c r="U36" i="7" s="1"/>
  <c r="U86" i="7" a="1"/>
  <c r="U86" i="7" s="1"/>
  <c r="U40" i="7" a="1"/>
  <c r="U40" i="7" s="1"/>
  <c r="U92" i="7" a="1"/>
  <c r="U92" i="7" s="1"/>
  <c r="U56" i="7" a="1"/>
  <c r="U56" i="7" s="1"/>
  <c r="U34" i="7" a="1"/>
  <c r="U34" i="7" s="1"/>
  <c r="U90" i="7" a="1"/>
  <c r="U90" i="7" s="1"/>
  <c r="U62" i="7" a="1"/>
  <c r="U62" i="7" s="1"/>
  <c r="U60" i="7" a="1"/>
  <c r="U60" i="7" s="1"/>
  <c r="U64" i="7" a="1"/>
  <c r="U64" i="7" s="1"/>
  <c r="U96" i="7" a="1"/>
  <c r="U96" i="7" s="1"/>
  <c r="U58" i="7" a="1"/>
  <c r="U58" i="7" s="1"/>
  <c r="U46" i="7" a="1"/>
  <c r="U46" i="7" s="1"/>
  <c r="U82" i="7" a="1"/>
  <c r="U82" i="7" s="1"/>
  <c r="U50" i="7" a="1"/>
  <c r="U50" i="7" s="1"/>
  <c r="U74" i="7" a="1"/>
  <c r="U74" i="7" s="1"/>
  <c r="U72" i="7" a="1"/>
  <c r="U72" i="7" s="1"/>
  <c r="U102" i="7" a="1"/>
  <c r="U102" i="7" s="1"/>
  <c r="U98" i="7" a="1"/>
  <c r="U98" i="7" s="1"/>
  <c r="U44" i="7" a="1"/>
  <c r="U44" i="7" s="1"/>
  <c r="U66" i="7" a="1"/>
  <c r="U66" i="7" s="1"/>
  <c r="U48" i="7" a="1"/>
  <c r="U48" i="7" s="1"/>
  <c r="U100" i="7" a="1"/>
  <c r="U100" i="7" s="1"/>
  <c r="U94" i="7" a="1"/>
  <c r="U94" i="7" s="1"/>
  <c r="U42" i="7" a="1"/>
  <c r="U42" i="7" s="1"/>
  <c r="U88" i="7" a="1"/>
  <c r="U88" i="7" s="1"/>
  <c r="U84" i="7" a="1"/>
  <c r="U84" i="7" s="1"/>
  <c r="U38" i="7" a="1"/>
  <c r="U38" i="7" s="1"/>
  <c r="U76" i="7" a="1"/>
  <c r="U76" i="7" s="1"/>
  <c r="U68" i="7" a="1"/>
  <c r="U68" i="7" s="1"/>
  <c r="U78" i="7" a="1"/>
  <c r="U78" i="7" s="1"/>
  <c r="U70" i="7" a="1"/>
  <c r="U70" i="7" s="1"/>
  <c r="U80" i="7" a="1"/>
  <c r="U80" i="7" s="1"/>
  <c r="V4" i="7"/>
  <c r="V7" i="7" l="1" a="1"/>
  <c r="V7" i="7" s="1"/>
  <c r="V8" i="7" a="1"/>
  <c r="V8" i="7" s="1"/>
  <c r="V22" i="7" a="1"/>
  <c r="V22" i="7" s="1"/>
  <c r="V16" i="7" a="1"/>
  <c r="V16" i="7" s="1"/>
  <c r="V19" i="7" a="1"/>
  <c r="V19" i="7" s="1"/>
  <c r="V67" i="7" a="1"/>
  <c r="V67" i="7" s="1"/>
  <c r="V17" i="7" a="1"/>
  <c r="V17" i="7" s="1"/>
  <c r="V20" i="7" a="1"/>
  <c r="V20" i="7" s="1"/>
  <c r="V5" i="7" a="1"/>
  <c r="V5" i="7" s="1"/>
  <c r="V6" i="7" a="1"/>
  <c r="V6" i="7" s="1"/>
  <c r="V83" i="7" a="1"/>
  <c r="V83" i="7" s="1"/>
  <c r="V15" i="7" a="1"/>
  <c r="V15" i="7" s="1"/>
  <c r="V65" i="7" a="1"/>
  <c r="V65" i="7" s="1"/>
  <c r="V21" i="7" a="1"/>
  <c r="V21" i="7" s="1"/>
  <c r="V37" i="7" a="1"/>
  <c r="V37" i="7" s="1"/>
  <c r="V85" i="7" a="1"/>
  <c r="V85" i="7" s="1"/>
  <c r="V81" i="7" a="1"/>
  <c r="V81" i="7" s="1"/>
  <c r="V55" i="7" a="1"/>
  <c r="V55" i="7" s="1"/>
  <c r="V87" i="7" a="1"/>
  <c r="V87" i="7" s="1"/>
  <c r="V32" i="7" a="1"/>
  <c r="V32" i="7" s="1"/>
  <c r="V25" i="7" a="1"/>
  <c r="V25" i="7" s="1"/>
  <c r="V63" i="7" a="1"/>
  <c r="V63" i="7" s="1"/>
  <c r="V49" i="7" a="1"/>
  <c r="V49" i="7" s="1"/>
  <c r="V99" i="7" a="1"/>
  <c r="V99" i="7" s="1"/>
  <c r="V71" i="7" a="1"/>
  <c r="V71" i="7" s="1"/>
  <c r="V35" i="7" a="1"/>
  <c r="V35" i="7" s="1"/>
  <c r="V39" i="7" a="1"/>
  <c r="V39" i="7" s="1"/>
  <c r="V51" i="7" a="1"/>
  <c r="V51" i="7" s="1"/>
  <c r="V69" i="7" a="1"/>
  <c r="V69" i="7" s="1"/>
  <c r="V31" i="7" a="1"/>
  <c r="V31" i="7" s="1"/>
  <c r="V11" i="7" a="1"/>
  <c r="V11" i="7" s="1"/>
  <c r="V9" i="7" a="1"/>
  <c r="V9" i="7" s="1"/>
  <c r="V10" i="7" a="1"/>
  <c r="V10" i="7" s="1"/>
  <c r="V41" i="7" a="1"/>
  <c r="V41" i="7" s="1"/>
  <c r="V89" i="7" a="1"/>
  <c r="V89" i="7" s="1"/>
  <c r="V33" i="7" a="1"/>
  <c r="V33" i="7" s="1"/>
  <c r="V26" i="7" a="1"/>
  <c r="V26" i="7" s="1"/>
  <c r="V73" i="7" a="1"/>
  <c r="V73" i="7" s="1"/>
  <c r="V79" i="7" a="1"/>
  <c r="V79" i="7" s="1"/>
  <c r="V59" i="7" a="1"/>
  <c r="V59" i="7" s="1"/>
  <c r="V12" i="7" a="1"/>
  <c r="V12" i="7" s="1"/>
  <c r="V27" i="7" a="1"/>
  <c r="V27" i="7" s="1"/>
  <c r="V28" i="7" a="1"/>
  <c r="V28" i="7" s="1"/>
  <c r="V75" i="7" a="1"/>
  <c r="V75" i="7" s="1"/>
  <c r="V13" i="7" a="1"/>
  <c r="V13" i="7" s="1"/>
  <c r="V45" i="7" a="1"/>
  <c r="V45" i="7" s="1"/>
  <c r="V18" i="7" a="1"/>
  <c r="V18" i="7" s="1"/>
  <c r="V23" i="7" a="1"/>
  <c r="V23" i="7" s="1"/>
  <c r="V95" i="7" a="1"/>
  <c r="V95" i="7" s="1"/>
  <c r="V91" i="7" a="1"/>
  <c r="V91" i="7" s="1"/>
  <c r="V14" i="7" a="1"/>
  <c r="V14" i="7" s="1"/>
  <c r="V29" i="7" a="1"/>
  <c r="V29" i="7" s="1"/>
  <c r="V53" i="7" a="1"/>
  <c r="V53" i="7" s="1"/>
  <c r="V24" i="7" a="1"/>
  <c r="V24" i="7" s="1"/>
  <c r="V47" i="7" a="1"/>
  <c r="V47" i="7" s="1"/>
  <c r="V30" i="7" a="1"/>
  <c r="V30" i="7" s="1"/>
  <c r="V52" i="7" a="1"/>
  <c r="V52" i="7" s="1"/>
  <c r="V97" i="7" a="1"/>
  <c r="V97" i="7" s="1"/>
  <c r="V57" i="7" a="1"/>
  <c r="V57" i="7" s="1"/>
  <c r="V43" i="7" a="1"/>
  <c r="V43" i="7" s="1"/>
  <c r="V77" i="7" a="1"/>
  <c r="V77" i="7" s="1"/>
  <c r="V54" i="7" a="1"/>
  <c r="V54" i="7" s="1"/>
  <c r="V61" i="7" a="1"/>
  <c r="V61" i="7" s="1"/>
  <c r="V93" i="7" a="1"/>
  <c r="V93" i="7" s="1"/>
  <c r="V101" i="7" a="1"/>
  <c r="V101" i="7" s="1"/>
  <c r="V56" i="7" a="1"/>
  <c r="V56" i="7" s="1"/>
  <c r="V46" i="7" a="1"/>
  <c r="V46" i="7" s="1"/>
  <c r="V74" i="7" a="1"/>
  <c r="V74" i="7" s="1"/>
  <c r="V72" i="7" a="1"/>
  <c r="V72" i="7" s="1"/>
  <c r="V102" i="7" a="1"/>
  <c r="V102" i="7" s="1"/>
  <c r="V98" i="7" a="1"/>
  <c r="V98" i="7" s="1"/>
  <c r="V36" i="7" a="1"/>
  <c r="V36" i="7" s="1"/>
  <c r="V44" i="7" a="1"/>
  <c r="V44" i="7" s="1"/>
  <c r="V50" i="7" a="1"/>
  <c r="V50" i="7" s="1"/>
  <c r="V88" i="7" a="1"/>
  <c r="V88" i="7" s="1"/>
  <c r="V76" i="7" a="1"/>
  <c r="V76" i="7" s="1"/>
  <c r="V38" i="7" a="1"/>
  <c r="V38" i="7" s="1"/>
  <c r="V34" i="7" a="1"/>
  <c r="V34" i="7" s="1"/>
  <c r="V48" i="7" a="1"/>
  <c r="V48" i="7" s="1"/>
  <c r="V100" i="7" a="1"/>
  <c r="V100" i="7" s="1"/>
  <c r="V66" i="7" a="1"/>
  <c r="V66" i="7" s="1"/>
  <c r="V86" i="7" a="1"/>
  <c r="V86" i="7" s="1"/>
  <c r="V62" i="7" a="1"/>
  <c r="V62" i="7" s="1"/>
  <c r="V40" i="7" a="1"/>
  <c r="V40" i="7" s="1"/>
  <c r="V80" i="7" a="1"/>
  <c r="V80" i="7" s="1"/>
  <c r="V58" i="7" a="1"/>
  <c r="V58" i="7" s="1"/>
  <c r="V60" i="7" a="1"/>
  <c r="V60" i="7" s="1"/>
  <c r="V82" i="7" a="1"/>
  <c r="V82" i="7" s="1"/>
  <c r="V92" i="7" a="1"/>
  <c r="V92" i="7" s="1"/>
  <c r="V84" i="7" a="1"/>
  <c r="V84" i="7" s="1"/>
  <c r="V96" i="7" a="1"/>
  <c r="V96" i="7" s="1"/>
  <c r="V68" i="7" a="1"/>
  <c r="V68" i="7" s="1"/>
  <c r="V94" i="7" a="1"/>
  <c r="V94" i="7" s="1"/>
  <c r="V78" i="7" a="1"/>
  <c r="V78" i="7" s="1"/>
  <c r="V64" i="7" a="1"/>
  <c r="V64" i="7" s="1"/>
  <c r="V90" i="7" a="1"/>
  <c r="V90" i="7" s="1"/>
  <c r="V42" i="7" a="1"/>
  <c r="V42" i="7" s="1"/>
  <c r="V70" i="7" a="1"/>
  <c r="V70" i="7" s="1"/>
  <c r="W4" i="7"/>
  <c r="W7" i="7" l="1" a="1"/>
  <c r="W7" i="7" s="1"/>
  <c r="W17" i="7" a="1"/>
  <c r="W17" i="7" s="1"/>
  <c r="W51" i="7" a="1"/>
  <c r="W51" i="7" s="1"/>
  <c r="W99" i="7" a="1"/>
  <c r="W99" i="7" s="1"/>
  <c r="W21" i="7" a="1"/>
  <c r="W21" i="7" s="1"/>
  <c r="W85" i="7" a="1"/>
  <c r="W85" i="7" s="1"/>
  <c r="W37" i="7" a="1"/>
  <c r="W37" i="7" s="1"/>
  <c r="W101" i="7" a="1"/>
  <c r="W101" i="7" s="1"/>
  <c r="W35" i="7" a="1"/>
  <c r="W35" i="7" s="1"/>
  <c r="W53" i="7" a="1"/>
  <c r="W53" i="7" s="1"/>
  <c r="W97" i="7" a="1"/>
  <c r="W97" i="7" s="1"/>
  <c r="W63" i="7" a="1"/>
  <c r="W63" i="7" s="1"/>
  <c r="W49" i="7" a="1"/>
  <c r="W49" i="7" s="1"/>
  <c r="W18" i="7" a="1"/>
  <c r="W18" i="7" s="1"/>
  <c r="W69" i="7" a="1"/>
  <c r="W69" i="7" s="1"/>
  <c r="W15" i="7" a="1"/>
  <c r="W15" i="7" s="1"/>
  <c r="W6" i="7" a="1"/>
  <c r="W6" i="7" s="1"/>
  <c r="W31" i="7" a="1"/>
  <c r="W31" i="7" s="1"/>
  <c r="W26" i="7" a="1"/>
  <c r="W26" i="7" s="1"/>
  <c r="W41" i="7" a="1"/>
  <c r="W41" i="7" s="1"/>
  <c r="W83" i="7" a="1"/>
  <c r="W83" i="7" s="1"/>
  <c r="W81" i="7" a="1"/>
  <c r="W81" i="7" s="1"/>
  <c r="W20" i="7" a="1"/>
  <c r="W20" i="7" s="1"/>
  <c r="W33" i="7" a="1"/>
  <c r="W33" i="7" s="1"/>
  <c r="W87" i="7" a="1"/>
  <c r="W87" i="7" s="1"/>
  <c r="W8" i="7" a="1"/>
  <c r="W8" i="7" s="1"/>
  <c r="W67" i="7" a="1"/>
  <c r="W67" i="7" s="1"/>
  <c r="W22" i="7" a="1"/>
  <c r="W22" i="7" s="1"/>
  <c r="W23" i="7" a="1"/>
  <c r="W23" i="7" s="1"/>
  <c r="W32" i="7" a="1"/>
  <c r="W32" i="7" s="1"/>
  <c r="W55" i="7" a="1"/>
  <c r="W55" i="7" s="1"/>
  <c r="W12" i="7" a="1"/>
  <c r="W12" i="7" s="1"/>
  <c r="W59" i="7" a="1"/>
  <c r="W59" i="7" s="1"/>
  <c r="W39" i="7" a="1"/>
  <c r="W39" i="7" s="1"/>
  <c r="W79" i="7" a="1"/>
  <c r="W79" i="7" s="1"/>
  <c r="W5" i="7" a="1"/>
  <c r="W5" i="7" s="1"/>
  <c r="W24" i="7" a="1"/>
  <c r="W24" i="7" s="1"/>
  <c r="W89" i="7" a="1"/>
  <c r="W89" i="7" s="1"/>
  <c r="W28" i="7" a="1"/>
  <c r="W28" i="7" s="1"/>
  <c r="W14" i="7" a="1"/>
  <c r="W14" i="7" s="1"/>
  <c r="W71" i="7" a="1"/>
  <c r="W71" i="7" s="1"/>
  <c r="W25" i="7" a="1"/>
  <c r="W25" i="7" s="1"/>
  <c r="W95" i="7" a="1"/>
  <c r="W95" i="7" s="1"/>
  <c r="W43" i="7" a="1"/>
  <c r="W43" i="7" s="1"/>
  <c r="W27" i="7" a="1"/>
  <c r="W27" i="7" s="1"/>
  <c r="W57" i="7" a="1"/>
  <c r="W57" i="7" s="1"/>
  <c r="W91" i="7" a="1"/>
  <c r="W91" i="7" s="1"/>
  <c r="W19" i="7" a="1"/>
  <c r="W19" i="7" s="1"/>
  <c r="W13" i="7" a="1"/>
  <c r="W13" i="7" s="1"/>
  <c r="W29" i="7" a="1"/>
  <c r="W29" i="7" s="1"/>
  <c r="W30" i="7" a="1"/>
  <c r="W30" i="7" s="1"/>
  <c r="W45" i="7" a="1"/>
  <c r="W45" i="7" s="1"/>
  <c r="W52" i="7" a="1"/>
  <c r="W52" i="7" s="1"/>
  <c r="W47" i="7" a="1"/>
  <c r="W47" i="7" s="1"/>
  <c r="W77" i="7" a="1"/>
  <c r="W77" i="7" s="1"/>
  <c r="W54" i="7" a="1"/>
  <c r="W54" i="7" s="1"/>
  <c r="W16" i="7" a="1"/>
  <c r="W16" i="7" s="1"/>
  <c r="W61" i="7" a="1"/>
  <c r="W61" i="7" s="1"/>
  <c r="W11" i="7" a="1"/>
  <c r="W11" i="7" s="1"/>
  <c r="W93" i="7" a="1"/>
  <c r="W93" i="7" s="1"/>
  <c r="W9" i="7" a="1"/>
  <c r="W9" i="7" s="1"/>
  <c r="W10" i="7" a="1"/>
  <c r="W10" i="7" s="1"/>
  <c r="W75" i="7" a="1"/>
  <c r="W75" i="7" s="1"/>
  <c r="W65" i="7" a="1"/>
  <c r="W65" i="7" s="1"/>
  <c r="W73" i="7" a="1"/>
  <c r="W73" i="7" s="1"/>
  <c r="W88" i="7" a="1"/>
  <c r="W88" i="7" s="1"/>
  <c r="W38" i="7" a="1"/>
  <c r="W38" i="7" s="1"/>
  <c r="W50" i="7" a="1"/>
  <c r="W50" i="7" s="1"/>
  <c r="W48" i="7" a="1"/>
  <c r="W48" i="7" s="1"/>
  <c r="W100" i="7" a="1"/>
  <c r="W100" i="7" s="1"/>
  <c r="W60" i="7" a="1"/>
  <c r="W60" i="7" s="1"/>
  <c r="W92" i="7" a="1"/>
  <c r="W92" i="7" s="1"/>
  <c r="W56" i="7" a="1"/>
  <c r="W56" i="7" s="1"/>
  <c r="W34" i="7" a="1"/>
  <c r="W34" i="7" s="1"/>
  <c r="W62" i="7" a="1"/>
  <c r="W62" i="7" s="1"/>
  <c r="W40" i="7" a="1"/>
  <c r="W40" i="7" s="1"/>
  <c r="W82" i="7" a="1"/>
  <c r="W82" i="7" s="1"/>
  <c r="W90" i="7" a="1"/>
  <c r="W90" i="7" s="1"/>
  <c r="W74" i="7" a="1"/>
  <c r="W74" i="7" s="1"/>
  <c r="W80" i="7" a="1"/>
  <c r="W80" i="7" s="1"/>
  <c r="W66" i="7" a="1"/>
  <c r="W66" i="7" s="1"/>
  <c r="W64" i="7" a="1"/>
  <c r="W64" i="7" s="1"/>
  <c r="W96" i="7" a="1"/>
  <c r="W96" i="7" s="1"/>
  <c r="W84" i="7" a="1"/>
  <c r="W84" i="7" s="1"/>
  <c r="W44" i="7" a="1"/>
  <c r="W44" i="7" s="1"/>
  <c r="W58" i="7" a="1"/>
  <c r="W58" i="7" s="1"/>
  <c r="W76" i="7" a="1"/>
  <c r="W76" i="7" s="1"/>
  <c r="W102" i="7" a="1"/>
  <c r="W102" i="7" s="1"/>
  <c r="W46" i="7" a="1"/>
  <c r="W46" i="7" s="1"/>
  <c r="W72" i="7" a="1"/>
  <c r="W72" i="7" s="1"/>
  <c r="W78" i="7" a="1"/>
  <c r="W78" i="7" s="1"/>
  <c r="W42" i="7" a="1"/>
  <c r="W42" i="7" s="1"/>
  <c r="W36" i="7" a="1"/>
  <c r="W36" i="7" s="1"/>
  <c r="W98" i="7" a="1"/>
  <c r="W98" i="7" s="1"/>
  <c r="W94" i="7" a="1"/>
  <c r="W94" i="7" s="1"/>
  <c r="W86" i="7" a="1"/>
  <c r="W86" i="7" s="1"/>
  <c r="W70" i="7" a="1"/>
  <c r="W70" i="7" s="1"/>
  <c r="W68" i="7" a="1"/>
  <c r="W68" i="7" s="1"/>
  <c r="X4" i="7"/>
  <c r="X7" i="7" l="1" a="1"/>
  <c r="X7" i="7" s="1"/>
  <c r="X16" i="7" a="1"/>
  <c r="X16" i="7" s="1"/>
  <c r="X18" i="7" a="1"/>
  <c r="X18" i="7" s="1"/>
  <c r="X15" i="7" a="1"/>
  <c r="X15" i="7" s="1"/>
  <c r="X37" i="7" a="1"/>
  <c r="X37" i="7" s="1"/>
  <c r="X69" i="7" a="1"/>
  <c r="X69" i="7" s="1"/>
  <c r="X23" i="7" a="1"/>
  <c r="X23" i="7" s="1"/>
  <c r="X33" i="7" a="1"/>
  <c r="X33" i="7" s="1"/>
  <c r="X21" i="7" a="1"/>
  <c r="X21" i="7" s="1"/>
  <c r="X17" i="7" a="1"/>
  <c r="X17" i="7" s="1"/>
  <c r="X20" i="7" a="1"/>
  <c r="X20" i="7" s="1"/>
  <c r="X79" i="7" a="1"/>
  <c r="X79" i="7" s="1"/>
  <c r="X19" i="7" a="1"/>
  <c r="X19" i="7" s="1"/>
  <c r="X81" i="7" a="1"/>
  <c r="X81" i="7" s="1"/>
  <c r="X87" i="7" a="1"/>
  <c r="X87" i="7" s="1"/>
  <c r="X51" i="7" a="1"/>
  <c r="X51" i="7" s="1"/>
  <c r="X24" i="7" a="1"/>
  <c r="X24" i="7" s="1"/>
  <c r="X65" i="7" a="1"/>
  <c r="X65" i="7" s="1"/>
  <c r="X31" i="7" a="1"/>
  <c r="X31" i="7" s="1"/>
  <c r="X22" i="7" a="1"/>
  <c r="X22" i="7" s="1"/>
  <c r="X67" i="7" a="1"/>
  <c r="X67" i="7" s="1"/>
  <c r="X99" i="7" a="1"/>
  <c r="X99" i="7" s="1"/>
  <c r="X8" i="7" a="1"/>
  <c r="X8" i="7" s="1"/>
  <c r="X49" i="7" a="1"/>
  <c r="X49" i="7" s="1"/>
  <c r="X5" i="7" a="1"/>
  <c r="X5" i="7" s="1"/>
  <c r="X6" i="7" a="1"/>
  <c r="X6" i="7" s="1"/>
  <c r="X55" i="7" a="1"/>
  <c r="X55" i="7" s="1"/>
  <c r="X73" i="7" a="1"/>
  <c r="X73" i="7" s="1"/>
  <c r="X75" i="7" a="1"/>
  <c r="X75" i="7" s="1"/>
  <c r="X83" i="7" a="1"/>
  <c r="X83" i="7" s="1"/>
  <c r="X97" i="7" a="1"/>
  <c r="X97" i="7" s="1"/>
  <c r="X32" i="7" a="1"/>
  <c r="X32" i="7" s="1"/>
  <c r="X101" i="7" a="1"/>
  <c r="X101" i="7" s="1"/>
  <c r="X71" i="7" a="1"/>
  <c r="X71" i="7" s="1"/>
  <c r="X63" i="7" a="1"/>
  <c r="X63" i="7" s="1"/>
  <c r="X12" i="7" a="1"/>
  <c r="X12" i="7" s="1"/>
  <c r="X9" i="7" a="1"/>
  <c r="X9" i="7" s="1"/>
  <c r="X95" i="7" a="1"/>
  <c r="X95" i="7" s="1"/>
  <c r="X43" i="7" a="1"/>
  <c r="X43" i="7" s="1"/>
  <c r="X85" i="7" a="1"/>
  <c r="X85" i="7" s="1"/>
  <c r="X39" i="7" a="1"/>
  <c r="X39" i="7" s="1"/>
  <c r="X57" i="7" a="1"/>
  <c r="X57" i="7" s="1"/>
  <c r="X29" i="7" a="1"/>
  <c r="X29" i="7" s="1"/>
  <c r="X89" i="7" a="1"/>
  <c r="X89" i="7" s="1"/>
  <c r="X41" i="7" a="1"/>
  <c r="X41" i="7" s="1"/>
  <c r="X47" i="7" a="1"/>
  <c r="X47" i="7" s="1"/>
  <c r="X27" i="7" a="1"/>
  <c r="X27" i="7" s="1"/>
  <c r="X25" i="7" a="1"/>
  <c r="X25" i="7" s="1"/>
  <c r="X53" i="7" a="1"/>
  <c r="X53" i="7" s="1"/>
  <c r="X35" i="7" a="1"/>
  <c r="X35" i="7" s="1"/>
  <c r="X61" i="7" a="1"/>
  <c r="X61" i="7" s="1"/>
  <c r="X11" i="7" a="1"/>
  <c r="X11" i="7" s="1"/>
  <c r="X30" i="7" a="1"/>
  <c r="X30" i="7" s="1"/>
  <c r="X10" i="7" a="1"/>
  <c r="X10" i="7" s="1"/>
  <c r="X26" i="7" a="1"/>
  <c r="X26" i="7" s="1"/>
  <c r="X28" i="7" a="1"/>
  <c r="X28" i="7" s="1"/>
  <c r="X54" i="7" a="1"/>
  <c r="X54" i="7" s="1"/>
  <c r="X45" i="7" a="1"/>
  <c r="X45" i="7" s="1"/>
  <c r="X93" i="7" a="1"/>
  <c r="X93" i="7" s="1"/>
  <c r="X52" i="7" a="1"/>
  <c r="X52" i="7" s="1"/>
  <c r="X59" i="7" a="1"/>
  <c r="X59" i="7" s="1"/>
  <c r="X91" i="7" a="1"/>
  <c r="X91" i="7" s="1"/>
  <c r="X77" i="7" a="1"/>
  <c r="X77" i="7" s="1"/>
  <c r="X14" i="7" a="1"/>
  <c r="X14" i="7" s="1"/>
  <c r="X13" i="7" a="1"/>
  <c r="X13" i="7" s="1"/>
  <c r="X90" i="7" a="1"/>
  <c r="X90" i="7" s="1"/>
  <c r="X64" i="7" a="1"/>
  <c r="X64" i="7" s="1"/>
  <c r="X96" i="7" a="1"/>
  <c r="X96" i="7" s="1"/>
  <c r="X60" i="7" a="1"/>
  <c r="X60" i="7" s="1"/>
  <c r="X66" i="7" a="1"/>
  <c r="X66" i="7" s="1"/>
  <c r="X58" i="7" a="1"/>
  <c r="X58" i="7" s="1"/>
  <c r="X50" i="7" a="1"/>
  <c r="X50" i="7" s="1"/>
  <c r="X76" i="7" a="1"/>
  <c r="X76" i="7" s="1"/>
  <c r="X70" i="7" a="1"/>
  <c r="X70" i="7" s="1"/>
  <c r="X34" i="7" a="1"/>
  <c r="X34" i="7" s="1"/>
  <c r="X46" i="7" a="1"/>
  <c r="X46" i="7" s="1"/>
  <c r="X72" i="7" a="1"/>
  <c r="X72" i="7" s="1"/>
  <c r="X86" i="7" a="1"/>
  <c r="X86" i="7" s="1"/>
  <c r="X84" i="7" a="1"/>
  <c r="X84" i="7" s="1"/>
  <c r="X44" i="7" a="1"/>
  <c r="X44" i="7" s="1"/>
  <c r="X98" i="7" a="1"/>
  <c r="X98" i="7" s="1"/>
  <c r="X88" i="7" a="1"/>
  <c r="X88" i="7" s="1"/>
  <c r="X38" i="7" a="1"/>
  <c r="X38" i="7" s="1"/>
  <c r="X48" i="7" a="1"/>
  <c r="X48" i="7" s="1"/>
  <c r="X100" i="7" a="1"/>
  <c r="X100" i="7" s="1"/>
  <c r="X36" i="7" a="1"/>
  <c r="X36" i="7" s="1"/>
  <c r="X74" i="7" a="1"/>
  <c r="X74" i="7" s="1"/>
  <c r="X62" i="7" a="1"/>
  <c r="X62" i="7" s="1"/>
  <c r="X40" i="7" a="1"/>
  <c r="X40" i="7" s="1"/>
  <c r="X56" i="7" a="1"/>
  <c r="X56" i="7" s="1"/>
  <c r="X80" i="7" a="1"/>
  <c r="X80" i="7" s="1"/>
  <c r="X94" i="7" a="1"/>
  <c r="X94" i="7" s="1"/>
  <c r="X68" i="7" a="1"/>
  <c r="X68" i="7" s="1"/>
  <c r="X92" i="7" a="1"/>
  <c r="X92" i="7" s="1"/>
  <c r="X82" i="7" a="1"/>
  <c r="X82" i="7" s="1"/>
  <c r="X42" i="7" a="1"/>
  <c r="X42" i="7" s="1"/>
  <c r="X102" i="7" a="1"/>
  <c r="X102" i="7" s="1"/>
  <c r="X78" i="7" a="1"/>
  <c r="X78" i="7" s="1"/>
  <c r="Y4" i="7"/>
  <c r="Y7" i="7" l="1" a="1"/>
  <c r="Y7" i="7" s="1"/>
  <c r="Y79" i="7" a="1"/>
  <c r="Y79" i="7" s="1"/>
  <c r="Y37" i="7" a="1"/>
  <c r="Y37" i="7" s="1"/>
  <c r="Y18" i="7" a="1"/>
  <c r="Y18" i="7" s="1"/>
  <c r="Y16" i="7" a="1"/>
  <c r="Y16" i="7" s="1"/>
  <c r="Y51" i="7" a="1"/>
  <c r="Y51" i="7" s="1"/>
  <c r="Y83" i="7" a="1"/>
  <c r="Y83" i="7" s="1"/>
  <c r="Y99" i="7" a="1"/>
  <c r="Y99" i="7" s="1"/>
  <c r="Y22" i="7" a="1"/>
  <c r="Y22" i="7" s="1"/>
  <c r="Y85" i="7" a="1"/>
  <c r="Y85" i="7" s="1"/>
  <c r="Y5" i="7" a="1"/>
  <c r="Y5" i="7" s="1"/>
  <c r="Y19" i="7" a="1"/>
  <c r="Y19" i="7" s="1"/>
  <c r="Y67" i="7" a="1"/>
  <c r="Y67" i="7" s="1"/>
  <c r="Y101" i="7" a="1"/>
  <c r="Y101" i="7" s="1"/>
  <c r="Y63" i="7" a="1"/>
  <c r="Y63" i="7" s="1"/>
  <c r="Y65" i="7" a="1"/>
  <c r="Y65" i="7" s="1"/>
  <c r="Y53" i="7" a="1"/>
  <c r="Y53" i="7" s="1"/>
  <c r="Y49" i="7" a="1"/>
  <c r="Y49" i="7" s="1"/>
  <c r="Y97" i="7" a="1"/>
  <c r="Y97" i="7" s="1"/>
  <c r="Y35" i="7" a="1"/>
  <c r="Y35" i="7" s="1"/>
  <c r="Y81" i="7" a="1"/>
  <c r="Y81" i="7" s="1"/>
  <c r="Y9" i="7" a="1"/>
  <c r="Y9" i="7" s="1"/>
  <c r="Y57" i="7" a="1"/>
  <c r="Y57" i="7" s="1"/>
  <c r="Y31" i="7" a="1"/>
  <c r="Y31" i="7" s="1"/>
  <c r="Y33" i="7" a="1"/>
  <c r="Y33" i="7" s="1"/>
  <c r="Y24" i="7" a="1"/>
  <c r="Y24" i="7" s="1"/>
  <c r="Y39" i="7" a="1"/>
  <c r="Y39" i="7" s="1"/>
  <c r="Y17" i="7" a="1"/>
  <c r="Y17" i="7" s="1"/>
  <c r="Y69" i="7" a="1"/>
  <c r="Y69" i="7" s="1"/>
  <c r="Y6" i="7" a="1"/>
  <c r="Y6" i="7" s="1"/>
  <c r="Y23" i="7" a="1"/>
  <c r="Y23" i="7" s="1"/>
  <c r="Y15" i="7" a="1"/>
  <c r="Y15" i="7" s="1"/>
  <c r="Y8" i="7" a="1"/>
  <c r="Y8" i="7" s="1"/>
  <c r="Y89" i="7" a="1"/>
  <c r="Y89" i="7" s="1"/>
  <c r="Y55" i="7" a="1"/>
  <c r="Y55" i="7" s="1"/>
  <c r="Y20" i="7" a="1"/>
  <c r="Y20" i="7" s="1"/>
  <c r="Y87" i="7" a="1"/>
  <c r="Y87" i="7" s="1"/>
  <c r="Y59" i="7" a="1"/>
  <c r="Y59" i="7" s="1"/>
  <c r="Y29" i="7" a="1"/>
  <c r="Y29" i="7" s="1"/>
  <c r="Y93" i="7" a="1"/>
  <c r="Y93" i="7" s="1"/>
  <c r="Y41" i="7" a="1"/>
  <c r="Y41" i="7" s="1"/>
  <c r="Y11" i="7" a="1"/>
  <c r="Y11" i="7" s="1"/>
  <c r="Y12" i="7" a="1"/>
  <c r="Y12" i="7" s="1"/>
  <c r="Y32" i="7" a="1"/>
  <c r="Y32" i="7" s="1"/>
  <c r="Y25" i="7" a="1"/>
  <c r="Y25" i="7" s="1"/>
  <c r="Y73" i="7" a="1"/>
  <c r="Y73" i="7" s="1"/>
  <c r="Y43" i="7" a="1"/>
  <c r="Y43" i="7" s="1"/>
  <c r="Y75" i="7" a="1"/>
  <c r="Y75" i="7" s="1"/>
  <c r="Y47" i="7" a="1"/>
  <c r="Y47" i="7" s="1"/>
  <c r="Y28" i="7" a="1"/>
  <c r="Y28" i="7" s="1"/>
  <c r="Y14" i="7" a="1"/>
  <c r="Y14" i="7" s="1"/>
  <c r="Y91" i="7" a="1"/>
  <c r="Y91" i="7" s="1"/>
  <c r="Y21" i="7" a="1"/>
  <c r="Y21" i="7" s="1"/>
  <c r="Y10" i="7" a="1"/>
  <c r="Y10" i="7" s="1"/>
  <c r="Y26" i="7" a="1"/>
  <c r="Y26" i="7" s="1"/>
  <c r="Y52" i="7" a="1"/>
  <c r="Y52" i="7" s="1"/>
  <c r="Y95" i="7" a="1"/>
  <c r="Y95" i="7" s="1"/>
  <c r="Y13" i="7" a="1"/>
  <c r="Y13" i="7" s="1"/>
  <c r="Y27" i="7" a="1"/>
  <c r="Y27" i="7" s="1"/>
  <c r="Y45" i="7" a="1"/>
  <c r="Y45" i="7" s="1"/>
  <c r="Y61" i="7" a="1"/>
  <c r="Y61" i="7" s="1"/>
  <c r="Y71" i="7" a="1"/>
  <c r="Y71" i="7" s="1"/>
  <c r="Y30" i="7" a="1"/>
  <c r="Y30" i="7" s="1"/>
  <c r="Y77" i="7" a="1"/>
  <c r="Y77" i="7" s="1"/>
  <c r="Y54" i="7" a="1"/>
  <c r="Y54" i="7" s="1"/>
  <c r="Y44" i="7" a="1"/>
  <c r="Y44" i="7" s="1"/>
  <c r="Y98" i="7" a="1"/>
  <c r="Y98" i="7" s="1"/>
  <c r="Y84" i="7" a="1"/>
  <c r="Y84" i="7" s="1"/>
  <c r="Y80" i="7" a="1"/>
  <c r="Y80" i="7" s="1"/>
  <c r="Y88" i="7" a="1"/>
  <c r="Y88" i="7" s="1"/>
  <c r="Y64" i="7" a="1"/>
  <c r="Y64" i="7" s="1"/>
  <c r="Y100" i="7" a="1"/>
  <c r="Y100" i="7" s="1"/>
  <c r="Y74" i="7" a="1"/>
  <c r="Y74" i="7" s="1"/>
  <c r="Y92" i="7" a="1"/>
  <c r="Y92" i="7" s="1"/>
  <c r="Y56" i="7" a="1"/>
  <c r="Y56" i="7" s="1"/>
  <c r="Y90" i="7" a="1"/>
  <c r="Y90" i="7" s="1"/>
  <c r="Y62" i="7" a="1"/>
  <c r="Y62" i="7" s="1"/>
  <c r="Y60" i="7" a="1"/>
  <c r="Y60" i="7" s="1"/>
  <c r="Y40" i="7" a="1"/>
  <c r="Y40" i="7" s="1"/>
  <c r="Y96" i="7" a="1"/>
  <c r="Y96" i="7" s="1"/>
  <c r="Y38" i="7" a="1"/>
  <c r="Y38" i="7" s="1"/>
  <c r="Y82" i="7" a="1"/>
  <c r="Y82" i="7" s="1"/>
  <c r="Y58" i="7" a="1"/>
  <c r="Y58" i="7" s="1"/>
  <c r="Y34" i="7" a="1"/>
  <c r="Y34" i="7" s="1"/>
  <c r="Y50" i="7" a="1"/>
  <c r="Y50" i="7" s="1"/>
  <c r="Y66" i="7" a="1"/>
  <c r="Y66" i="7" s="1"/>
  <c r="Y36" i="7" a="1"/>
  <c r="Y36" i="7" s="1"/>
  <c r="Y72" i="7" a="1"/>
  <c r="Y72" i="7" s="1"/>
  <c r="Y86" i="7" a="1"/>
  <c r="Y86" i="7" s="1"/>
  <c r="Y70" i="7" a="1"/>
  <c r="Y70" i="7" s="1"/>
  <c r="Y48" i="7" a="1"/>
  <c r="Y48" i="7" s="1"/>
  <c r="Y68" i="7" a="1"/>
  <c r="Y68" i="7" s="1"/>
  <c r="Y42" i="7" a="1"/>
  <c r="Y42" i="7" s="1"/>
  <c r="Y78" i="7" a="1"/>
  <c r="Y78" i="7" s="1"/>
  <c r="Y46" i="7" a="1"/>
  <c r="Y46" i="7" s="1"/>
  <c r="Y102" i="7" a="1"/>
  <c r="Y102" i="7" s="1"/>
  <c r="Y76" i="7" a="1"/>
  <c r="Y76" i="7" s="1"/>
  <c r="Y94" i="7" a="1"/>
  <c r="Y94" i="7" s="1"/>
  <c r="Z4" i="7"/>
  <c r="Z7" i="7" l="1" a="1"/>
  <c r="Z7" i="7" s="1"/>
  <c r="Z16" i="7" a="1"/>
  <c r="Z16" i="7" s="1"/>
  <c r="Z17" i="7" a="1"/>
  <c r="Z17" i="7" s="1"/>
  <c r="Z63" i="7" a="1"/>
  <c r="Z63" i="7" s="1"/>
  <c r="Z49" i="7" a="1"/>
  <c r="Z49" i="7" s="1"/>
  <c r="Z97" i="7" a="1"/>
  <c r="Z97" i="7" s="1"/>
  <c r="Z35" i="7" a="1"/>
  <c r="Z35" i="7" s="1"/>
  <c r="Z65" i="7" a="1"/>
  <c r="Z65" i="7" s="1"/>
  <c r="Z5" i="7" a="1"/>
  <c r="Z5" i="7" s="1"/>
  <c r="Z15" i="7" a="1"/>
  <c r="Z15" i="7" s="1"/>
  <c r="Z20" i="7" a="1"/>
  <c r="Z20" i="7" s="1"/>
  <c r="Z69" i="7" a="1"/>
  <c r="Z69" i="7" s="1"/>
  <c r="Z79" i="7" a="1"/>
  <c r="Z79" i="7" s="1"/>
  <c r="Z21" i="7" a="1"/>
  <c r="Z21" i="7" s="1"/>
  <c r="Z67" i="7" a="1"/>
  <c r="Z67" i="7" s="1"/>
  <c r="Z33" i="7" a="1"/>
  <c r="Z33" i="7" s="1"/>
  <c r="Z51" i="7" a="1"/>
  <c r="Z51" i="7" s="1"/>
  <c r="Z6" i="7" a="1"/>
  <c r="Z6" i="7" s="1"/>
  <c r="Z39" i="7" a="1"/>
  <c r="Z39" i="7" s="1"/>
  <c r="Z83" i="7" a="1"/>
  <c r="Z83" i="7" s="1"/>
  <c r="Z19" i="7" a="1"/>
  <c r="Z19" i="7" s="1"/>
  <c r="Z53" i="7" a="1"/>
  <c r="Z53" i="7" s="1"/>
  <c r="Z23" i="7" a="1"/>
  <c r="Z23" i="7" s="1"/>
  <c r="Z99" i="7" a="1"/>
  <c r="Z99" i="7" s="1"/>
  <c r="Z101" i="7" a="1"/>
  <c r="Z101" i="7" s="1"/>
  <c r="Z81" i="7" a="1"/>
  <c r="Z81" i="7" s="1"/>
  <c r="Z24" i="7" a="1"/>
  <c r="Z24" i="7" s="1"/>
  <c r="Z55" i="7" a="1"/>
  <c r="Z55" i="7" s="1"/>
  <c r="Z18" i="7" a="1"/>
  <c r="Z18" i="7" s="1"/>
  <c r="Z71" i="7" a="1"/>
  <c r="Z71" i="7" s="1"/>
  <c r="Z26" i="7" a="1"/>
  <c r="Z26" i="7" s="1"/>
  <c r="Z47" i="7" a="1"/>
  <c r="Z47" i="7" s="1"/>
  <c r="Z13" i="7" a="1"/>
  <c r="Z13" i="7" s="1"/>
  <c r="Z57" i="7" a="1"/>
  <c r="Z57" i="7" s="1"/>
  <c r="Z89" i="7" a="1"/>
  <c r="Z89" i="7" s="1"/>
  <c r="Z12" i="7" a="1"/>
  <c r="Z12" i="7" s="1"/>
  <c r="Z75" i="7" a="1"/>
  <c r="Z75" i="7" s="1"/>
  <c r="Z29" i="7" a="1"/>
  <c r="Z29" i="7" s="1"/>
  <c r="Z25" i="7" a="1"/>
  <c r="Z25" i="7" s="1"/>
  <c r="Z61" i="7" a="1"/>
  <c r="Z61" i="7" s="1"/>
  <c r="Z95" i="7" a="1"/>
  <c r="Z95" i="7" s="1"/>
  <c r="Z91" i="7" a="1"/>
  <c r="Z91" i="7" s="1"/>
  <c r="Z22" i="7" a="1"/>
  <c r="Z22" i="7" s="1"/>
  <c r="Z37" i="7" a="1"/>
  <c r="Z37" i="7" s="1"/>
  <c r="Z32" i="7" a="1"/>
  <c r="Z32" i="7" s="1"/>
  <c r="Z31" i="7" a="1"/>
  <c r="Z31" i="7" s="1"/>
  <c r="Z11" i="7" a="1"/>
  <c r="Z11" i="7" s="1"/>
  <c r="Z10" i="7" a="1"/>
  <c r="Z10" i="7" s="1"/>
  <c r="Z45" i="7" a="1"/>
  <c r="Z45" i="7" s="1"/>
  <c r="Z87" i="7" a="1"/>
  <c r="Z87" i="7" s="1"/>
  <c r="Z43" i="7" a="1"/>
  <c r="Z43" i="7" s="1"/>
  <c r="Z85" i="7" a="1"/>
  <c r="Z85" i="7" s="1"/>
  <c r="Z9" i="7" a="1"/>
  <c r="Z9" i="7" s="1"/>
  <c r="Z73" i="7" a="1"/>
  <c r="Z73" i="7" s="1"/>
  <c r="Z59" i="7" a="1"/>
  <c r="Z59" i="7" s="1"/>
  <c r="Z14" i="7" a="1"/>
  <c r="Z14" i="7" s="1"/>
  <c r="Z8" i="7" a="1"/>
  <c r="Z8" i="7" s="1"/>
  <c r="Z52" i="7" a="1"/>
  <c r="Z52" i="7" s="1"/>
  <c r="Z77" i="7" a="1"/>
  <c r="Z77" i="7" s="1"/>
  <c r="Z27" i="7" a="1"/>
  <c r="Z27" i="7" s="1"/>
  <c r="Z41" i="7" a="1"/>
  <c r="Z41" i="7" s="1"/>
  <c r="Z28" i="7" a="1"/>
  <c r="Z28" i="7" s="1"/>
  <c r="Z54" i="7" a="1"/>
  <c r="Z54" i="7" s="1"/>
  <c r="Z30" i="7" a="1"/>
  <c r="Z30" i="7" s="1"/>
  <c r="Z93" i="7" a="1"/>
  <c r="Z93" i="7" s="1"/>
  <c r="Z36" i="7" a="1"/>
  <c r="Z36" i="7" s="1"/>
  <c r="Z92" i="7" a="1"/>
  <c r="Z92" i="7" s="1"/>
  <c r="Z88" i="7" a="1"/>
  <c r="Z88" i="7" s="1"/>
  <c r="Z56" i="7" a="1"/>
  <c r="Z56" i="7" s="1"/>
  <c r="Z90" i="7" a="1"/>
  <c r="Z90" i="7" s="1"/>
  <c r="Z62" i="7" a="1"/>
  <c r="Z62" i="7" s="1"/>
  <c r="Z60" i="7" a="1"/>
  <c r="Z60" i="7" s="1"/>
  <c r="Z40" i="7" a="1"/>
  <c r="Z40" i="7" s="1"/>
  <c r="Z64" i="7" a="1"/>
  <c r="Z64" i="7" s="1"/>
  <c r="Z58" i="7" a="1"/>
  <c r="Z58" i="7" s="1"/>
  <c r="Z96" i="7" a="1"/>
  <c r="Z96" i="7" s="1"/>
  <c r="Z82" i="7" a="1"/>
  <c r="Z82" i="7" s="1"/>
  <c r="Z72" i="7" a="1"/>
  <c r="Z72" i="7" s="1"/>
  <c r="Z48" i="7" a="1"/>
  <c r="Z48" i="7" s="1"/>
  <c r="Z66" i="7" a="1"/>
  <c r="Z66" i="7" s="1"/>
  <c r="Z50" i="7" a="1"/>
  <c r="Z50" i="7" s="1"/>
  <c r="Z76" i="7" a="1"/>
  <c r="Z76" i="7" s="1"/>
  <c r="Z74" i="7" a="1"/>
  <c r="Z74" i="7" s="1"/>
  <c r="Z46" i="7" a="1"/>
  <c r="Z46" i="7" s="1"/>
  <c r="Z102" i="7" a="1"/>
  <c r="Z102" i="7" s="1"/>
  <c r="Z70" i="7" a="1"/>
  <c r="Z70" i="7" s="1"/>
  <c r="Z86" i="7" a="1"/>
  <c r="Z86" i="7" s="1"/>
  <c r="Z44" i="7" a="1"/>
  <c r="Z44" i="7" s="1"/>
  <c r="Z98" i="7" a="1"/>
  <c r="Z98" i="7" s="1"/>
  <c r="Z80" i="7" a="1"/>
  <c r="Z80" i="7" s="1"/>
  <c r="Z34" i="7" a="1"/>
  <c r="Z34" i="7" s="1"/>
  <c r="Z100" i="7" a="1"/>
  <c r="Z100" i="7" s="1"/>
  <c r="Z94" i="7" a="1"/>
  <c r="Z94" i="7" s="1"/>
  <c r="Z78" i="7" a="1"/>
  <c r="Z78" i="7" s="1"/>
  <c r="Z84" i="7" a="1"/>
  <c r="Z84" i="7" s="1"/>
  <c r="Z68" i="7" a="1"/>
  <c r="Z68" i="7" s="1"/>
  <c r="Z38" i="7" a="1"/>
  <c r="Z38" i="7" s="1"/>
  <c r="Z42" i="7" a="1"/>
  <c r="Z42" i="7" s="1"/>
  <c r="AA4" i="7"/>
  <c r="AA7" i="7" l="1" a="1"/>
  <c r="AA7" i="7" s="1"/>
  <c r="AA35" i="7" a="1"/>
  <c r="AA35" i="7" s="1"/>
  <c r="AA16" i="7" a="1"/>
  <c r="AA16" i="7" s="1"/>
  <c r="AA17" i="7" a="1"/>
  <c r="AA17" i="7" s="1"/>
  <c r="AA67" i="7" a="1"/>
  <c r="AA67" i="7" s="1"/>
  <c r="AA22" i="7" a="1"/>
  <c r="AA22" i="7" s="1"/>
  <c r="AA81" i="7" a="1"/>
  <c r="AA81" i="7" s="1"/>
  <c r="AA18" i="7" a="1"/>
  <c r="AA18" i="7" s="1"/>
  <c r="AA37" i="7" a="1"/>
  <c r="AA37" i="7" s="1"/>
  <c r="AA79" i="7" a="1"/>
  <c r="AA79" i="7" s="1"/>
  <c r="AA21" i="7" a="1"/>
  <c r="AA21" i="7" s="1"/>
  <c r="AA85" i="7" a="1"/>
  <c r="AA85" i="7" s="1"/>
  <c r="AA101" i="7" a="1"/>
  <c r="AA101" i="7" s="1"/>
  <c r="AA55" i="7" a="1"/>
  <c r="AA55" i="7" s="1"/>
  <c r="AA87" i="7" a="1"/>
  <c r="AA87" i="7" s="1"/>
  <c r="AA83" i="7" a="1"/>
  <c r="AA83" i="7" s="1"/>
  <c r="AA31" i="7" a="1"/>
  <c r="AA31" i="7" s="1"/>
  <c r="AA15" i="7" a="1"/>
  <c r="AA15" i="7" s="1"/>
  <c r="AA19" i="7" a="1"/>
  <c r="AA19" i="7" s="1"/>
  <c r="AA25" i="7" a="1"/>
  <c r="AA25" i="7" s="1"/>
  <c r="AA63" i="7" a="1"/>
  <c r="AA63" i="7" s="1"/>
  <c r="AA97" i="7" a="1"/>
  <c r="AA97" i="7" s="1"/>
  <c r="AA71" i="7" a="1"/>
  <c r="AA71" i="7" s="1"/>
  <c r="AA5" i="7" a="1"/>
  <c r="AA5" i="7" s="1"/>
  <c r="AA65" i="7" a="1"/>
  <c r="AA65" i="7" s="1"/>
  <c r="AA33" i="7" a="1"/>
  <c r="AA33" i="7" s="1"/>
  <c r="AA24" i="7" a="1"/>
  <c r="AA24" i="7" s="1"/>
  <c r="AA51" i="7" a="1"/>
  <c r="AA51" i="7" s="1"/>
  <c r="AA23" i="7" a="1"/>
  <c r="AA23" i="7" s="1"/>
  <c r="AA10" i="7" a="1"/>
  <c r="AA10" i="7" s="1"/>
  <c r="AA57" i="7" a="1"/>
  <c r="AA57" i="7" s="1"/>
  <c r="AA99" i="7" a="1"/>
  <c r="AA99" i="7" s="1"/>
  <c r="AA53" i="7" a="1"/>
  <c r="AA53" i="7" s="1"/>
  <c r="AA39" i="7" a="1"/>
  <c r="AA39" i="7" s="1"/>
  <c r="AA32" i="7" a="1"/>
  <c r="AA32" i="7" s="1"/>
  <c r="AA95" i="7" a="1"/>
  <c r="AA95" i="7" s="1"/>
  <c r="AA41" i="7" a="1"/>
  <c r="AA41" i="7" s="1"/>
  <c r="AA43" i="7" a="1"/>
  <c r="AA43" i="7" s="1"/>
  <c r="AA13" i="7" a="1"/>
  <c r="AA13" i="7" s="1"/>
  <c r="AA29" i="7" a="1"/>
  <c r="AA29" i="7" s="1"/>
  <c r="AA45" i="7" a="1"/>
  <c r="AA45" i="7" s="1"/>
  <c r="AA27" i="7" a="1"/>
  <c r="AA27" i="7" s="1"/>
  <c r="AA20" i="7" a="1"/>
  <c r="AA20" i="7" s="1"/>
  <c r="AA49" i="7" a="1"/>
  <c r="AA49" i="7" s="1"/>
  <c r="AA9" i="7" a="1"/>
  <c r="AA9" i="7" s="1"/>
  <c r="AA89" i="7" a="1"/>
  <c r="AA89" i="7" s="1"/>
  <c r="AA59" i="7" a="1"/>
  <c r="AA59" i="7" s="1"/>
  <c r="AA77" i="7" a="1"/>
  <c r="AA77" i="7" s="1"/>
  <c r="AA6" i="7" a="1"/>
  <c r="AA6" i="7" s="1"/>
  <c r="AA14" i="7" a="1"/>
  <c r="AA14" i="7" s="1"/>
  <c r="AA61" i="7" a="1"/>
  <c r="AA61" i="7" s="1"/>
  <c r="AA73" i="7" a="1"/>
  <c r="AA73" i="7" s="1"/>
  <c r="AA8" i="7" a="1"/>
  <c r="AA8" i="7" s="1"/>
  <c r="AA28" i="7" a="1"/>
  <c r="AA28" i="7" s="1"/>
  <c r="AA75" i="7" a="1"/>
  <c r="AA75" i="7" s="1"/>
  <c r="AA54" i="7" a="1"/>
  <c r="AA54" i="7" s="1"/>
  <c r="AA26" i="7" a="1"/>
  <c r="AA26" i="7" s="1"/>
  <c r="AA91" i="7" a="1"/>
  <c r="AA91" i="7" s="1"/>
  <c r="AA30" i="7" a="1"/>
  <c r="AA30" i="7" s="1"/>
  <c r="AA93" i="7" a="1"/>
  <c r="AA93" i="7" s="1"/>
  <c r="AA52" i="7" a="1"/>
  <c r="AA52" i="7" s="1"/>
  <c r="AA47" i="7" a="1"/>
  <c r="AA47" i="7" s="1"/>
  <c r="AA11" i="7" a="1"/>
  <c r="AA11" i="7" s="1"/>
  <c r="AA12" i="7" a="1"/>
  <c r="AA12" i="7" s="1"/>
  <c r="AA69" i="7" a="1"/>
  <c r="AA69" i="7" s="1"/>
  <c r="AA34" i="7" a="1"/>
  <c r="AA34" i="7" s="1"/>
  <c r="AA50" i="7" a="1"/>
  <c r="AA50" i="7" s="1"/>
  <c r="AA76" i="7" a="1"/>
  <c r="AA76" i="7" s="1"/>
  <c r="AA58" i="7" a="1"/>
  <c r="AA58" i="7" s="1"/>
  <c r="AA74" i="7" a="1"/>
  <c r="AA74" i="7" s="1"/>
  <c r="AA46" i="7" a="1"/>
  <c r="AA46" i="7" s="1"/>
  <c r="AA102" i="7" a="1"/>
  <c r="AA102" i="7" s="1"/>
  <c r="AA86" i="7" a="1"/>
  <c r="AA86" i="7" s="1"/>
  <c r="AA44" i="7" a="1"/>
  <c r="AA44" i="7" s="1"/>
  <c r="AA98" i="7" a="1"/>
  <c r="AA98" i="7" s="1"/>
  <c r="AA82" i="7" a="1"/>
  <c r="AA82" i="7" s="1"/>
  <c r="AA80" i="7" a="1"/>
  <c r="AA80" i="7" s="1"/>
  <c r="AA66" i="7" a="1"/>
  <c r="AA66" i="7" s="1"/>
  <c r="AA38" i="7" a="1"/>
  <c r="AA38" i="7" s="1"/>
  <c r="AA36" i="7" a="1"/>
  <c r="AA36" i="7" s="1"/>
  <c r="AA48" i="7" a="1"/>
  <c r="AA48" i="7" s="1"/>
  <c r="AA100" i="7" a="1"/>
  <c r="AA100" i="7" s="1"/>
  <c r="AA72" i="7" a="1"/>
  <c r="AA72" i="7" s="1"/>
  <c r="AA92" i="7" a="1"/>
  <c r="AA92" i="7" s="1"/>
  <c r="AA88" i="7" a="1"/>
  <c r="AA88" i="7" s="1"/>
  <c r="AA40" i="7" a="1"/>
  <c r="AA40" i="7" s="1"/>
  <c r="AA60" i="7" a="1"/>
  <c r="AA60" i="7" s="1"/>
  <c r="AA68" i="7" a="1"/>
  <c r="AA68" i="7" s="1"/>
  <c r="AA96" i="7" a="1"/>
  <c r="AA96" i="7" s="1"/>
  <c r="AA84" i="7" a="1"/>
  <c r="AA84" i="7" s="1"/>
  <c r="AA70" i="7" a="1"/>
  <c r="AA70" i="7" s="1"/>
  <c r="AA78" i="7" a="1"/>
  <c r="AA78" i="7" s="1"/>
  <c r="AA56" i="7" a="1"/>
  <c r="AA56" i="7" s="1"/>
  <c r="AA42" i="7" a="1"/>
  <c r="AA42" i="7" s="1"/>
  <c r="AA94" i="7" a="1"/>
  <c r="AA94" i="7" s="1"/>
  <c r="AA90" i="7" a="1"/>
  <c r="AA90" i="7" s="1"/>
  <c r="AA64" i="7" a="1"/>
  <c r="AA64" i="7" s="1"/>
  <c r="AA62" i="7" a="1"/>
  <c r="AA62" i="7" s="1"/>
  <c r="AB4" i="7"/>
  <c r="AB7" i="7" l="1" a="1"/>
  <c r="AB7" i="7" s="1"/>
  <c r="AB15" i="7" a="1"/>
  <c r="AB15" i="7" s="1"/>
  <c r="AB16" i="7" a="1"/>
  <c r="AB16" i="7" s="1"/>
  <c r="AB37" i="7" a="1"/>
  <c r="AB37" i="7" s="1"/>
  <c r="AB19" i="7" a="1"/>
  <c r="AB19" i="7" s="1"/>
  <c r="AB20" i="7" a="1"/>
  <c r="AB20" i="7" s="1"/>
  <c r="AB51" i="7" a="1"/>
  <c r="AB51" i="7" s="1"/>
  <c r="AB99" i="7" a="1"/>
  <c r="AB99" i="7" s="1"/>
  <c r="AB101" i="7" a="1"/>
  <c r="AB101" i="7" s="1"/>
  <c r="AB33" i="7" a="1"/>
  <c r="AB33" i="7" s="1"/>
  <c r="AB6" i="7" a="1"/>
  <c r="AB6" i="7" s="1"/>
  <c r="AB53" i="7" a="1"/>
  <c r="AB53" i="7" s="1"/>
  <c r="AB69" i="7" a="1"/>
  <c r="AB69" i="7" s="1"/>
  <c r="AB63" i="7" a="1"/>
  <c r="AB63" i="7" s="1"/>
  <c r="AB22" i="7" a="1"/>
  <c r="AB22" i="7" s="1"/>
  <c r="AB18" i="7" a="1"/>
  <c r="AB18" i="7" s="1"/>
  <c r="AB67" i="7" a="1"/>
  <c r="AB67" i="7" s="1"/>
  <c r="AB5" i="7" a="1"/>
  <c r="AB5" i="7" s="1"/>
  <c r="AB39" i="7" a="1"/>
  <c r="AB39" i="7" s="1"/>
  <c r="AB85" i="7" a="1"/>
  <c r="AB85" i="7" s="1"/>
  <c r="AB49" i="7" a="1"/>
  <c r="AB49" i="7" s="1"/>
  <c r="AB23" i="7" a="1"/>
  <c r="AB23" i="7" s="1"/>
  <c r="AB25" i="7" a="1"/>
  <c r="AB25" i="7" s="1"/>
  <c r="AB35" i="7" a="1"/>
  <c r="AB35" i="7" s="1"/>
  <c r="AB79" i="7" a="1"/>
  <c r="AB79" i="7" s="1"/>
  <c r="AB21" i="7" a="1"/>
  <c r="AB21" i="7" s="1"/>
  <c r="AB65" i="7" a="1"/>
  <c r="AB65" i="7" s="1"/>
  <c r="AB83" i="7" a="1"/>
  <c r="AB83" i="7" s="1"/>
  <c r="AB97" i="7" a="1"/>
  <c r="AB97" i="7" s="1"/>
  <c r="AB89" i="7" a="1"/>
  <c r="AB89" i="7" s="1"/>
  <c r="AB47" i="7" a="1"/>
  <c r="AB47" i="7" s="1"/>
  <c r="AB87" i="7" a="1"/>
  <c r="AB87" i="7" s="1"/>
  <c r="AB12" i="7" a="1"/>
  <c r="AB12" i="7" s="1"/>
  <c r="AB27" i="7" a="1"/>
  <c r="AB27" i="7" s="1"/>
  <c r="AB81" i="7" a="1"/>
  <c r="AB81" i="7" s="1"/>
  <c r="AB24" i="7" a="1"/>
  <c r="AB24" i="7" s="1"/>
  <c r="AB71" i="7" a="1"/>
  <c r="AB71" i="7" s="1"/>
  <c r="AB31" i="7" a="1"/>
  <c r="AB31" i="7" s="1"/>
  <c r="AB9" i="7" a="1"/>
  <c r="AB9" i="7" s="1"/>
  <c r="AB57" i="7" a="1"/>
  <c r="AB57" i="7" s="1"/>
  <c r="AB13" i="7" a="1"/>
  <c r="AB13" i="7" s="1"/>
  <c r="AB93" i="7" a="1"/>
  <c r="AB93" i="7" s="1"/>
  <c r="AB59" i="7" a="1"/>
  <c r="AB59" i="7" s="1"/>
  <c r="AB29" i="7" a="1"/>
  <c r="AB29" i="7" s="1"/>
  <c r="AB41" i="7" a="1"/>
  <c r="AB41" i="7" s="1"/>
  <c r="AB11" i="7" a="1"/>
  <c r="AB11" i="7" s="1"/>
  <c r="AB17" i="7" a="1"/>
  <c r="AB17" i="7" s="1"/>
  <c r="AB95" i="7" a="1"/>
  <c r="AB95" i="7" s="1"/>
  <c r="AB32" i="7" a="1"/>
  <c r="AB32" i="7" s="1"/>
  <c r="AB73" i="7" a="1"/>
  <c r="AB73" i="7" s="1"/>
  <c r="AB43" i="7" a="1"/>
  <c r="AB43" i="7" s="1"/>
  <c r="AB30" i="7" a="1"/>
  <c r="AB30" i="7" s="1"/>
  <c r="AB61" i="7" a="1"/>
  <c r="AB61" i="7" s="1"/>
  <c r="AB54" i="7" a="1"/>
  <c r="AB54" i="7" s="1"/>
  <c r="AB75" i="7" a="1"/>
  <c r="AB75" i="7" s="1"/>
  <c r="AB8" i="7" a="1"/>
  <c r="AB8" i="7" s="1"/>
  <c r="AB52" i="7" a="1"/>
  <c r="AB52" i="7" s="1"/>
  <c r="AB28" i="7" a="1"/>
  <c r="AB28" i="7" s="1"/>
  <c r="AB14" i="7" a="1"/>
  <c r="AB14" i="7" s="1"/>
  <c r="AB26" i="7" a="1"/>
  <c r="AB26" i="7" s="1"/>
  <c r="AB91" i="7" a="1"/>
  <c r="AB91" i="7" s="1"/>
  <c r="AB45" i="7" a="1"/>
  <c r="AB45" i="7" s="1"/>
  <c r="AB10" i="7" a="1"/>
  <c r="AB10" i="7" s="1"/>
  <c r="AB77" i="7" a="1"/>
  <c r="AB77" i="7" s="1"/>
  <c r="AB55" i="7" a="1"/>
  <c r="AB55" i="7" s="1"/>
  <c r="AB36" i="7" a="1"/>
  <c r="AB36" i="7" s="1"/>
  <c r="AB44" i="7" a="1"/>
  <c r="AB44" i="7" s="1"/>
  <c r="AB98" i="7" a="1"/>
  <c r="AB98" i="7" s="1"/>
  <c r="AB88" i="7" a="1"/>
  <c r="AB88" i="7" s="1"/>
  <c r="AB80" i="7" a="1"/>
  <c r="AB80" i="7" s="1"/>
  <c r="AB38" i="7" a="1"/>
  <c r="AB38" i="7" s="1"/>
  <c r="AB62" i="7" a="1"/>
  <c r="AB62" i="7" s="1"/>
  <c r="AB66" i="7" a="1"/>
  <c r="AB66" i="7" s="1"/>
  <c r="AB48" i="7" a="1"/>
  <c r="AB48" i="7" s="1"/>
  <c r="AB100" i="7" a="1"/>
  <c r="AB100" i="7" s="1"/>
  <c r="AB70" i="7" a="1"/>
  <c r="AB70" i="7" s="1"/>
  <c r="AB72" i="7" a="1"/>
  <c r="AB72" i="7" s="1"/>
  <c r="AB76" i="7" a="1"/>
  <c r="AB76" i="7" s="1"/>
  <c r="AB46" i="7" a="1"/>
  <c r="AB46" i="7" s="1"/>
  <c r="AB92" i="7" a="1"/>
  <c r="AB92" i="7" s="1"/>
  <c r="AB56" i="7" a="1"/>
  <c r="AB56" i="7" s="1"/>
  <c r="AB90" i="7" a="1"/>
  <c r="AB90" i="7" s="1"/>
  <c r="AB60" i="7" a="1"/>
  <c r="AB60" i="7" s="1"/>
  <c r="AB40" i="7" a="1"/>
  <c r="AB40" i="7" s="1"/>
  <c r="AB64" i="7" a="1"/>
  <c r="AB64" i="7" s="1"/>
  <c r="AB96" i="7" a="1"/>
  <c r="AB96" i="7" s="1"/>
  <c r="AB84" i="7" a="1"/>
  <c r="AB84" i="7" s="1"/>
  <c r="AB58" i="7" a="1"/>
  <c r="AB58" i="7" s="1"/>
  <c r="AB34" i="7" a="1"/>
  <c r="AB34" i="7" s="1"/>
  <c r="AB50" i="7" a="1"/>
  <c r="AB50" i="7" s="1"/>
  <c r="AB86" i="7" a="1"/>
  <c r="AB86" i="7" s="1"/>
  <c r="AB102" i="7" a="1"/>
  <c r="AB102" i="7" s="1"/>
  <c r="AB82" i="7" a="1"/>
  <c r="AB82" i="7" s="1"/>
  <c r="AB68" i="7" a="1"/>
  <c r="AB68" i="7" s="1"/>
  <c r="AB78" i="7" a="1"/>
  <c r="AB78" i="7" s="1"/>
  <c r="AB42" i="7" a="1"/>
  <c r="AB42" i="7" s="1"/>
  <c r="AB94" i="7" a="1"/>
  <c r="AB94" i="7" s="1"/>
  <c r="AB74" i="7" a="1"/>
  <c r="AB74" i="7" s="1"/>
  <c r="AC4" i="7"/>
  <c r="AC7" i="7" l="1" a="1"/>
  <c r="AC7" i="7" s="1"/>
  <c r="AC63" i="7" a="1"/>
  <c r="AC63" i="7" s="1"/>
  <c r="AC65" i="7" a="1"/>
  <c r="AC65" i="7" s="1"/>
  <c r="AC49" i="7" a="1"/>
  <c r="AC49" i="7" s="1"/>
  <c r="AC51" i="7" a="1"/>
  <c r="AC51" i="7" s="1"/>
  <c r="AC79" i="7" a="1"/>
  <c r="AC79" i="7" s="1"/>
  <c r="AC15" i="7" a="1"/>
  <c r="AC15" i="7" s="1"/>
  <c r="AC83" i="7" a="1"/>
  <c r="AC83" i="7" s="1"/>
  <c r="AC18" i="7" a="1"/>
  <c r="AC18" i="7" s="1"/>
  <c r="AC19" i="7" a="1"/>
  <c r="AC19" i="7" s="1"/>
  <c r="AC69" i="7" a="1"/>
  <c r="AC69" i="7" s="1"/>
  <c r="AC5" i="7" a="1"/>
  <c r="AC5" i="7" s="1"/>
  <c r="AC9" i="7" a="1"/>
  <c r="AC9" i="7" s="1"/>
  <c r="AC25" i="7" a="1"/>
  <c r="AC25" i="7" s="1"/>
  <c r="AC67" i="7" a="1"/>
  <c r="AC67" i="7" s="1"/>
  <c r="AC21" i="7" a="1"/>
  <c r="AC21" i="7" s="1"/>
  <c r="AC53" i="7" a="1"/>
  <c r="AC53" i="7" s="1"/>
  <c r="AC81" i="7" a="1"/>
  <c r="AC81" i="7" s="1"/>
  <c r="AC31" i="7" a="1"/>
  <c r="AC31" i="7" s="1"/>
  <c r="AC16" i="7" a="1"/>
  <c r="AC16" i="7" s="1"/>
  <c r="AC37" i="7" a="1"/>
  <c r="AC37" i="7" s="1"/>
  <c r="AC57" i="7" a="1"/>
  <c r="AC57" i="7" s="1"/>
  <c r="AC33" i="7" a="1"/>
  <c r="AC33" i="7" s="1"/>
  <c r="AC10" i="7" a="1"/>
  <c r="AC10" i="7" s="1"/>
  <c r="AC17" i="7" a="1"/>
  <c r="AC17" i="7" s="1"/>
  <c r="AC20" i="7" a="1"/>
  <c r="AC20" i="7" s="1"/>
  <c r="AC22" i="7" a="1"/>
  <c r="AC22" i="7" s="1"/>
  <c r="AC23" i="7" a="1"/>
  <c r="AC23" i="7" s="1"/>
  <c r="AC97" i="7" a="1"/>
  <c r="AC97" i="7" s="1"/>
  <c r="AC55" i="7" a="1"/>
  <c r="AC55" i="7" s="1"/>
  <c r="AC35" i="7" a="1"/>
  <c r="AC35" i="7" s="1"/>
  <c r="AC71" i="7" a="1"/>
  <c r="AC71" i="7" s="1"/>
  <c r="AC24" i="7" a="1"/>
  <c r="AC24" i="7" s="1"/>
  <c r="AC87" i="7" a="1"/>
  <c r="AC87" i="7" s="1"/>
  <c r="AC41" i="7" a="1"/>
  <c r="AC41" i="7" s="1"/>
  <c r="AC28" i="7" a="1"/>
  <c r="AC28" i="7" s="1"/>
  <c r="AC99" i="7" a="1"/>
  <c r="AC99" i="7" s="1"/>
  <c r="AC8" i="7" a="1"/>
  <c r="AC8" i="7" s="1"/>
  <c r="AC47" i="7" a="1"/>
  <c r="AC47" i="7" s="1"/>
  <c r="AC95" i="7" a="1"/>
  <c r="AC95" i="7" s="1"/>
  <c r="AC13" i="7" a="1"/>
  <c r="AC13" i="7" s="1"/>
  <c r="AC101" i="7" a="1"/>
  <c r="AC101" i="7" s="1"/>
  <c r="AC26" i="7" a="1"/>
  <c r="AC26" i="7" s="1"/>
  <c r="AC91" i="7" a="1"/>
  <c r="AC91" i="7" s="1"/>
  <c r="AC85" i="7" a="1"/>
  <c r="AC85" i="7" s="1"/>
  <c r="AC32" i="7" a="1"/>
  <c r="AC32" i="7" s="1"/>
  <c r="AC12" i="7" a="1"/>
  <c r="AC12" i="7" s="1"/>
  <c r="AC29" i="7" a="1"/>
  <c r="AC29" i="7" s="1"/>
  <c r="AC54" i="7" a="1"/>
  <c r="AC54" i="7" s="1"/>
  <c r="AC27" i="7" a="1"/>
  <c r="AC27" i="7" s="1"/>
  <c r="AC43" i="7" a="1"/>
  <c r="AC43" i="7" s="1"/>
  <c r="AC75" i="7" a="1"/>
  <c r="AC75" i="7" s="1"/>
  <c r="AC61" i="7" a="1"/>
  <c r="AC61" i="7" s="1"/>
  <c r="AC93" i="7" a="1"/>
  <c r="AC93" i="7" s="1"/>
  <c r="AC73" i="7" a="1"/>
  <c r="AC73" i="7" s="1"/>
  <c r="AC39" i="7" a="1"/>
  <c r="AC39" i="7" s="1"/>
  <c r="AC89" i="7" a="1"/>
  <c r="AC89" i="7" s="1"/>
  <c r="AC14" i="7" a="1"/>
  <c r="AC14" i="7" s="1"/>
  <c r="AC30" i="7" a="1"/>
  <c r="AC30" i="7" s="1"/>
  <c r="AC6" i="7" a="1"/>
  <c r="AC6" i="7" s="1"/>
  <c r="AC45" i="7" a="1"/>
  <c r="AC45" i="7" s="1"/>
  <c r="AC59" i="7" a="1"/>
  <c r="AC59" i="7" s="1"/>
  <c r="AC11" i="7" a="1"/>
  <c r="AC11" i="7" s="1"/>
  <c r="AC77" i="7" a="1"/>
  <c r="AC77" i="7" s="1"/>
  <c r="AC52" i="7" a="1"/>
  <c r="AC52" i="7" s="1"/>
  <c r="AC62" i="7" a="1"/>
  <c r="AC62" i="7" s="1"/>
  <c r="AC92" i="7" a="1"/>
  <c r="AC92" i="7" s="1"/>
  <c r="AC36" i="7" a="1"/>
  <c r="AC36" i="7" s="1"/>
  <c r="AC90" i="7" a="1"/>
  <c r="AC90" i="7" s="1"/>
  <c r="AC60" i="7" a="1"/>
  <c r="AC60" i="7" s="1"/>
  <c r="AC66" i="7" a="1"/>
  <c r="AC66" i="7" s="1"/>
  <c r="AC64" i="7" a="1"/>
  <c r="AC64" i="7" s="1"/>
  <c r="AC96" i="7" a="1"/>
  <c r="AC96" i="7" s="1"/>
  <c r="AC84" i="7" a="1"/>
  <c r="AC84" i="7" s="1"/>
  <c r="AC82" i="7" a="1"/>
  <c r="AC82" i="7" s="1"/>
  <c r="AC58" i="7" a="1"/>
  <c r="AC58" i="7" s="1"/>
  <c r="AC50" i="7" a="1"/>
  <c r="AC50" i="7" s="1"/>
  <c r="AC70" i="7" a="1"/>
  <c r="AC70" i="7" s="1"/>
  <c r="AC74" i="7" a="1"/>
  <c r="AC74" i="7" s="1"/>
  <c r="AC72" i="7" a="1"/>
  <c r="AC72" i="7" s="1"/>
  <c r="AC102" i="7" a="1"/>
  <c r="AC102" i="7" s="1"/>
  <c r="AC98" i="7" a="1"/>
  <c r="AC98" i="7" s="1"/>
  <c r="AC44" i="7" a="1"/>
  <c r="AC44" i="7" s="1"/>
  <c r="AC40" i="7" a="1"/>
  <c r="AC40" i="7" s="1"/>
  <c r="AC80" i="7" a="1"/>
  <c r="AC80" i="7" s="1"/>
  <c r="AC34" i="7" a="1"/>
  <c r="AC34" i="7" s="1"/>
  <c r="AC56" i="7" a="1"/>
  <c r="AC56" i="7" s="1"/>
  <c r="AC48" i="7" a="1"/>
  <c r="AC48" i="7" s="1"/>
  <c r="AC46" i="7" a="1"/>
  <c r="AC46" i="7" s="1"/>
  <c r="AC88" i="7" a="1"/>
  <c r="AC88" i="7" s="1"/>
  <c r="AC42" i="7" a="1"/>
  <c r="AC42" i="7" s="1"/>
  <c r="AC100" i="7" a="1"/>
  <c r="AC100" i="7" s="1"/>
  <c r="AC94" i="7" a="1"/>
  <c r="AC94" i="7" s="1"/>
  <c r="AC38" i="7" a="1"/>
  <c r="AC38" i="7" s="1"/>
  <c r="AC76" i="7" a="1"/>
  <c r="AC76" i="7" s="1"/>
  <c r="AC86" i="7" a="1"/>
  <c r="AC86" i="7" s="1"/>
  <c r="AC78" i="7" a="1"/>
  <c r="AC78" i="7" s="1"/>
  <c r="AC68" i="7" a="1"/>
  <c r="AC68" i="7" s="1"/>
  <c r="AD4" i="7"/>
  <c r="AD7" i="7" l="1" a="1"/>
  <c r="AD7" i="7" s="1"/>
  <c r="AD15" i="7" a="1"/>
  <c r="AD15" i="7" s="1"/>
  <c r="AD16" i="7" a="1"/>
  <c r="AD16" i="7" s="1"/>
  <c r="AD67" i="7" a="1"/>
  <c r="AD67" i="7" s="1"/>
  <c r="AD17" i="7" a="1"/>
  <c r="AD17" i="7" s="1"/>
  <c r="AD20" i="7" a="1"/>
  <c r="AD20" i="7" s="1"/>
  <c r="AD69" i="7" a="1"/>
  <c r="AD69" i="7" s="1"/>
  <c r="AD6" i="7" a="1"/>
  <c r="AD6" i="7" s="1"/>
  <c r="AD33" i="7" a="1"/>
  <c r="AD33" i="7" s="1"/>
  <c r="AD65" i="7" a="1"/>
  <c r="AD65" i="7" s="1"/>
  <c r="AD21" i="7" a="1"/>
  <c r="AD21" i="7" s="1"/>
  <c r="AD37" i="7" a="1"/>
  <c r="AD37" i="7" s="1"/>
  <c r="AD85" i="7" a="1"/>
  <c r="AD85" i="7" s="1"/>
  <c r="AD51" i="7" a="1"/>
  <c r="AD51" i="7" s="1"/>
  <c r="AD101" i="7" a="1"/>
  <c r="AD101" i="7" s="1"/>
  <c r="AD79" i="7" a="1"/>
  <c r="AD79" i="7" s="1"/>
  <c r="AD35" i="7" a="1"/>
  <c r="AD35" i="7" s="1"/>
  <c r="AD9" i="7" a="1"/>
  <c r="AD9" i="7" s="1"/>
  <c r="AD53" i="7" a="1"/>
  <c r="AD53" i="7" s="1"/>
  <c r="AD24" i="7" a="1"/>
  <c r="AD24" i="7" s="1"/>
  <c r="AD31" i="7" a="1"/>
  <c r="AD31" i="7" s="1"/>
  <c r="AD5" i="7" a="1"/>
  <c r="AD5" i="7" s="1"/>
  <c r="AD57" i="7" a="1"/>
  <c r="AD57" i="7" s="1"/>
  <c r="AD73" i="7" a="1"/>
  <c r="AD73" i="7" s="1"/>
  <c r="AD95" i="7" a="1"/>
  <c r="AD95" i="7" s="1"/>
  <c r="AD55" i="7" a="1"/>
  <c r="AD55" i="7" s="1"/>
  <c r="AD19" i="7" a="1"/>
  <c r="AD19" i="7" s="1"/>
  <c r="AD49" i="7" a="1"/>
  <c r="AD49" i="7" s="1"/>
  <c r="AD97" i="7" a="1"/>
  <c r="AD97" i="7" s="1"/>
  <c r="AD32" i="7" a="1"/>
  <c r="AD32" i="7" s="1"/>
  <c r="AD10" i="7" a="1"/>
  <c r="AD10" i="7" s="1"/>
  <c r="AD8" i="7" a="1"/>
  <c r="AD8" i="7" s="1"/>
  <c r="AD12" i="7" a="1"/>
  <c r="AD12" i="7" s="1"/>
  <c r="AD61" i="7" a="1"/>
  <c r="AD61" i="7" s="1"/>
  <c r="AD91" i="7" a="1"/>
  <c r="AD91" i="7" s="1"/>
  <c r="AD89" i="7" a="1"/>
  <c r="AD89" i="7" s="1"/>
  <c r="AD13" i="7" a="1"/>
  <c r="AD13" i="7" s="1"/>
  <c r="AD45" i="7" a="1"/>
  <c r="AD45" i="7" s="1"/>
  <c r="AD18" i="7" a="1"/>
  <c r="AD18" i="7" s="1"/>
  <c r="AD23" i="7" a="1"/>
  <c r="AD23" i="7" s="1"/>
  <c r="AD39" i="7" a="1"/>
  <c r="AD39" i="7" s="1"/>
  <c r="AD27" i="7" a="1"/>
  <c r="AD27" i="7" s="1"/>
  <c r="AD77" i="7" a="1"/>
  <c r="AD77" i="7" s="1"/>
  <c r="AD63" i="7" a="1"/>
  <c r="AD63" i="7" s="1"/>
  <c r="AD43" i="7" a="1"/>
  <c r="AD43" i="7" s="1"/>
  <c r="AD81" i="7" a="1"/>
  <c r="AD81" i="7" s="1"/>
  <c r="AD87" i="7" a="1"/>
  <c r="AD87" i="7" s="1"/>
  <c r="AD14" i="7" a="1"/>
  <c r="AD14" i="7" s="1"/>
  <c r="AD41" i="7" a="1"/>
  <c r="AD41" i="7" s="1"/>
  <c r="AD29" i="7" a="1"/>
  <c r="AD29" i="7" s="1"/>
  <c r="AD30" i="7" a="1"/>
  <c r="AD30" i="7" s="1"/>
  <c r="AD71" i="7" a="1"/>
  <c r="AD71" i="7" s="1"/>
  <c r="AD83" i="7" a="1"/>
  <c r="AD83" i="7" s="1"/>
  <c r="AD25" i="7" a="1"/>
  <c r="AD25" i="7" s="1"/>
  <c r="AD47" i="7" a="1"/>
  <c r="AD47" i="7" s="1"/>
  <c r="AD75" i="7" a="1"/>
  <c r="AD75" i="7" s="1"/>
  <c r="AD52" i="7" a="1"/>
  <c r="AD52" i="7" s="1"/>
  <c r="AD22" i="7" a="1"/>
  <c r="AD22" i="7" s="1"/>
  <c r="AD11" i="7" a="1"/>
  <c r="AD11" i="7" s="1"/>
  <c r="AD54" i="7" a="1"/>
  <c r="AD54" i="7" s="1"/>
  <c r="AD59" i="7" a="1"/>
  <c r="AD59" i="7" s="1"/>
  <c r="AD93" i="7" a="1"/>
  <c r="AD93" i="7" s="1"/>
  <c r="AD26" i="7" a="1"/>
  <c r="AD26" i="7" s="1"/>
  <c r="AD28" i="7" a="1"/>
  <c r="AD28" i="7" s="1"/>
  <c r="AD99" i="7" a="1"/>
  <c r="AD99" i="7" s="1"/>
  <c r="AD46" i="7" a="1"/>
  <c r="AD46" i="7" s="1"/>
  <c r="AD74" i="7" a="1"/>
  <c r="AD74" i="7" s="1"/>
  <c r="AD72" i="7" a="1"/>
  <c r="AD72" i="7" s="1"/>
  <c r="AD102" i="7" a="1"/>
  <c r="AD102" i="7" s="1"/>
  <c r="AD98" i="7" a="1"/>
  <c r="AD98" i="7" s="1"/>
  <c r="AD44" i="7" a="1"/>
  <c r="AD44" i="7" s="1"/>
  <c r="AD76" i="7" a="1"/>
  <c r="AD76" i="7" s="1"/>
  <c r="AD88" i="7" a="1"/>
  <c r="AD88" i="7" s="1"/>
  <c r="AD38" i="7" a="1"/>
  <c r="AD38" i="7" s="1"/>
  <c r="AD48" i="7" a="1"/>
  <c r="AD48" i="7" s="1"/>
  <c r="AD100" i="7" a="1"/>
  <c r="AD100" i="7" s="1"/>
  <c r="AD86" i="7" a="1"/>
  <c r="AD86" i="7" s="1"/>
  <c r="AD66" i="7" a="1"/>
  <c r="AD66" i="7" s="1"/>
  <c r="AD62" i="7" a="1"/>
  <c r="AD62" i="7" s="1"/>
  <c r="AD40" i="7" a="1"/>
  <c r="AD40" i="7" s="1"/>
  <c r="AD50" i="7" a="1"/>
  <c r="AD50" i="7" s="1"/>
  <c r="AD92" i="7" a="1"/>
  <c r="AD92" i="7" s="1"/>
  <c r="AD34" i="7" a="1"/>
  <c r="AD34" i="7" s="1"/>
  <c r="AD90" i="7" a="1"/>
  <c r="AD90" i="7" s="1"/>
  <c r="AD60" i="7" a="1"/>
  <c r="AD60" i="7" s="1"/>
  <c r="AD80" i="7" a="1"/>
  <c r="AD80" i="7" s="1"/>
  <c r="AD36" i="7" a="1"/>
  <c r="AD36" i="7" s="1"/>
  <c r="AD68" i="7" a="1"/>
  <c r="AD68" i="7" s="1"/>
  <c r="AD58" i="7" a="1"/>
  <c r="AD58" i="7" s="1"/>
  <c r="AD84" i="7" a="1"/>
  <c r="AD84" i="7" s="1"/>
  <c r="AD82" i="7" a="1"/>
  <c r="AD82" i="7" s="1"/>
  <c r="AD56" i="7" a="1"/>
  <c r="AD56" i="7" s="1"/>
  <c r="AD96" i="7" a="1"/>
  <c r="AD96" i="7" s="1"/>
  <c r="AD78" i="7" a="1"/>
  <c r="AD78" i="7" s="1"/>
  <c r="AD64" i="7" a="1"/>
  <c r="AD64" i="7" s="1"/>
  <c r="AD42" i="7" a="1"/>
  <c r="AD42" i="7" s="1"/>
  <c r="AD70" i="7" a="1"/>
  <c r="AD70" i="7" s="1"/>
  <c r="AD94" i="7" a="1"/>
  <c r="AD94" i="7" s="1"/>
  <c r="AE4" i="7"/>
  <c r="AE7" i="7" l="1" a="1"/>
  <c r="AE7" i="7" s="1"/>
  <c r="AE15" i="7" a="1"/>
  <c r="AE15" i="7" s="1"/>
  <c r="AE101" i="7" a="1"/>
  <c r="AE101" i="7" s="1"/>
  <c r="AE35" i="7" a="1"/>
  <c r="AE35" i="7" s="1"/>
  <c r="AE83" i="7" a="1"/>
  <c r="AE83" i="7" s="1"/>
  <c r="AE21" i="7" a="1"/>
  <c r="AE21" i="7" s="1"/>
  <c r="AE53" i="7" a="1"/>
  <c r="AE53" i="7" s="1"/>
  <c r="AE33" i="7" a="1"/>
  <c r="AE33" i="7" s="1"/>
  <c r="AE97" i="7" a="1"/>
  <c r="AE97" i="7" s="1"/>
  <c r="AE24" i="7" a="1"/>
  <c r="AE24" i="7" s="1"/>
  <c r="AE63" i="7" a="1"/>
  <c r="AE63" i="7" s="1"/>
  <c r="AE49" i="7" a="1"/>
  <c r="AE49" i="7" s="1"/>
  <c r="AE18" i="7" a="1"/>
  <c r="AE18" i="7" s="1"/>
  <c r="AE69" i="7" a="1"/>
  <c r="AE69" i="7" s="1"/>
  <c r="AE16" i="7" a="1"/>
  <c r="AE16" i="7" s="1"/>
  <c r="AE79" i="7" a="1"/>
  <c r="AE79" i="7" s="1"/>
  <c r="AE22" i="7" a="1"/>
  <c r="AE22" i="7" s="1"/>
  <c r="AE85" i="7" a="1"/>
  <c r="AE85" i="7" s="1"/>
  <c r="AE9" i="7" a="1"/>
  <c r="AE9" i="7" s="1"/>
  <c r="AE25" i="7" a="1"/>
  <c r="AE25" i="7" s="1"/>
  <c r="AE17" i="7" a="1"/>
  <c r="AE17" i="7" s="1"/>
  <c r="AE20" i="7" a="1"/>
  <c r="AE20" i="7" s="1"/>
  <c r="AE87" i="7" a="1"/>
  <c r="AE87" i="7" s="1"/>
  <c r="AE71" i="7" a="1"/>
  <c r="AE71" i="7" s="1"/>
  <c r="AE67" i="7" a="1"/>
  <c r="AE67" i="7" s="1"/>
  <c r="AE65" i="7" a="1"/>
  <c r="AE65" i="7" s="1"/>
  <c r="AE55" i="7" a="1"/>
  <c r="AE55" i="7" s="1"/>
  <c r="AE81" i="7" a="1"/>
  <c r="AE81" i="7" s="1"/>
  <c r="AE32" i="7" a="1"/>
  <c r="AE32" i="7" s="1"/>
  <c r="AE31" i="7" a="1"/>
  <c r="AE31" i="7" s="1"/>
  <c r="AE27" i="7" a="1"/>
  <c r="AE27" i="7" s="1"/>
  <c r="AE39" i="7" a="1"/>
  <c r="AE39" i="7" s="1"/>
  <c r="AE37" i="7" a="1"/>
  <c r="AE37" i="7" s="1"/>
  <c r="AE23" i="7" a="1"/>
  <c r="AE23" i="7" s="1"/>
  <c r="AE47" i="7" a="1"/>
  <c r="AE47" i="7" s="1"/>
  <c r="AE41" i="7" a="1"/>
  <c r="AE41" i="7" s="1"/>
  <c r="AE19" i="7" a="1"/>
  <c r="AE19" i="7" s="1"/>
  <c r="AE75" i="7" a="1"/>
  <c r="AE75" i="7" s="1"/>
  <c r="AE13" i="7" a="1"/>
  <c r="AE13" i="7" s="1"/>
  <c r="AE12" i="7" a="1"/>
  <c r="AE12" i="7" s="1"/>
  <c r="AE61" i="7" a="1"/>
  <c r="AE61" i="7" s="1"/>
  <c r="AE99" i="7" a="1"/>
  <c r="AE99" i="7" s="1"/>
  <c r="AE26" i="7" a="1"/>
  <c r="AE26" i="7" s="1"/>
  <c r="AE57" i="7" a="1"/>
  <c r="AE57" i="7" s="1"/>
  <c r="AE51" i="7" a="1"/>
  <c r="AE51" i="7" s="1"/>
  <c r="AE8" i="7" a="1"/>
  <c r="AE8" i="7" s="1"/>
  <c r="AE52" i="7" a="1"/>
  <c r="AE52" i="7" s="1"/>
  <c r="AE89" i="7" a="1"/>
  <c r="AE89" i="7" s="1"/>
  <c r="AE5" i="7" a="1"/>
  <c r="AE5" i="7" s="1"/>
  <c r="AE59" i="7" a="1"/>
  <c r="AE59" i="7" s="1"/>
  <c r="AE54" i="7" a="1"/>
  <c r="AE54" i="7" s="1"/>
  <c r="AE77" i="7" a="1"/>
  <c r="AE77" i="7" s="1"/>
  <c r="AE93" i="7" a="1"/>
  <c r="AE93" i="7" s="1"/>
  <c r="AE11" i="7" a="1"/>
  <c r="AE11" i="7" s="1"/>
  <c r="AE29" i="7" a="1"/>
  <c r="AE29" i="7" s="1"/>
  <c r="AE45" i="7" a="1"/>
  <c r="AE45" i="7" s="1"/>
  <c r="AE10" i="7" a="1"/>
  <c r="AE10" i="7" s="1"/>
  <c r="AE28" i="7" a="1"/>
  <c r="AE28" i="7" s="1"/>
  <c r="AE14" i="7" a="1"/>
  <c r="AE14" i="7" s="1"/>
  <c r="AE30" i="7" a="1"/>
  <c r="AE30" i="7" s="1"/>
  <c r="AE6" i="7" a="1"/>
  <c r="AE6" i="7" s="1"/>
  <c r="AE43" i="7" a="1"/>
  <c r="AE43" i="7" s="1"/>
  <c r="AE73" i="7" a="1"/>
  <c r="AE73" i="7" s="1"/>
  <c r="AE95" i="7" a="1"/>
  <c r="AE95" i="7" s="1"/>
  <c r="AE91" i="7" a="1"/>
  <c r="AE91" i="7" s="1"/>
  <c r="AE60" i="7" a="1"/>
  <c r="AE60" i="7" s="1"/>
  <c r="AE48" i="7" a="1"/>
  <c r="AE48" i="7" s="1"/>
  <c r="AE100" i="7" a="1"/>
  <c r="AE100" i="7" s="1"/>
  <c r="AE50" i="7" a="1"/>
  <c r="AE50" i="7" s="1"/>
  <c r="AE92" i="7" a="1"/>
  <c r="AE92" i="7" s="1"/>
  <c r="AE56" i="7" a="1"/>
  <c r="AE56" i="7" s="1"/>
  <c r="AE62" i="7" a="1"/>
  <c r="AE62" i="7" s="1"/>
  <c r="AE74" i="7" a="1"/>
  <c r="AE74" i="7" s="1"/>
  <c r="AE40" i="7" a="1"/>
  <c r="AE40" i="7" s="1"/>
  <c r="AE44" i="7" a="1"/>
  <c r="AE44" i="7" s="1"/>
  <c r="AE90" i="7" a="1"/>
  <c r="AE90" i="7" s="1"/>
  <c r="AE80" i="7" a="1"/>
  <c r="AE80" i="7" s="1"/>
  <c r="AE64" i="7" a="1"/>
  <c r="AE64" i="7" s="1"/>
  <c r="AE96" i="7" a="1"/>
  <c r="AE96" i="7" s="1"/>
  <c r="AE84" i="7" a="1"/>
  <c r="AE84" i="7" s="1"/>
  <c r="AE58" i="7" a="1"/>
  <c r="AE58" i="7" s="1"/>
  <c r="AE76" i="7" a="1"/>
  <c r="AE76" i="7" s="1"/>
  <c r="AE102" i="7" a="1"/>
  <c r="AE102" i="7" s="1"/>
  <c r="AE86" i="7" a="1"/>
  <c r="AE86" i="7" s="1"/>
  <c r="AE46" i="7" a="1"/>
  <c r="AE46" i="7" s="1"/>
  <c r="AE72" i="7" a="1"/>
  <c r="AE72" i="7" s="1"/>
  <c r="AE98" i="7" a="1"/>
  <c r="AE98" i="7" s="1"/>
  <c r="AE34" i="7" a="1"/>
  <c r="AE34" i="7" s="1"/>
  <c r="AE66" i="7" a="1"/>
  <c r="AE66" i="7" s="1"/>
  <c r="AE88" i="7" a="1"/>
  <c r="AE88" i="7" s="1"/>
  <c r="AE82" i="7" a="1"/>
  <c r="AE82" i="7" s="1"/>
  <c r="AE78" i="7" a="1"/>
  <c r="AE78" i="7" s="1"/>
  <c r="AE38" i="7" a="1"/>
  <c r="AE38" i="7" s="1"/>
  <c r="AE70" i="7" a="1"/>
  <c r="AE70" i="7" s="1"/>
  <c r="AE36" i="7" a="1"/>
  <c r="AE36" i="7" s="1"/>
  <c r="AE42" i="7" a="1"/>
  <c r="AE42" i="7" s="1"/>
  <c r="AE94" i="7" a="1"/>
  <c r="AE94" i="7" s="1"/>
  <c r="AE68" i="7" a="1"/>
  <c r="AE68" i="7" s="1"/>
  <c r="AF4" i="7"/>
  <c r="AF7" i="7" l="1" a="1"/>
  <c r="AF7" i="7" s="1"/>
  <c r="AF16" i="7" a="1"/>
  <c r="AF16" i="7" s="1"/>
  <c r="AF15" i="7" a="1"/>
  <c r="AF15" i="7" s="1"/>
  <c r="AF63" i="7" a="1"/>
  <c r="AF63" i="7" s="1"/>
  <c r="AF19" i="7" a="1"/>
  <c r="AF19" i="7" s="1"/>
  <c r="AF67" i="7" a="1"/>
  <c r="AF67" i="7" s="1"/>
  <c r="AF79" i="7" a="1"/>
  <c r="AF79" i="7" s="1"/>
  <c r="AF81" i="7" a="1"/>
  <c r="AF81" i="7" s="1"/>
  <c r="AF17" i="7" a="1"/>
  <c r="AF17" i="7" s="1"/>
  <c r="AF20" i="7" a="1"/>
  <c r="AF20" i="7" s="1"/>
  <c r="AF6" i="7" a="1"/>
  <c r="AF6" i="7" s="1"/>
  <c r="AF55" i="7" a="1"/>
  <c r="AF55" i="7" s="1"/>
  <c r="AF71" i="7" a="1"/>
  <c r="AF71" i="7" s="1"/>
  <c r="AF41" i="7" a="1"/>
  <c r="AF41" i="7" s="1"/>
  <c r="AF32" i="7" a="1"/>
  <c r="AF32" i="7" s="1"/>
  <c r="AF51" i="7" a="1"/>
  <c r="AF51" i="7" s="1"/>
  <c r="AF65" i="7" a="1"/>
  <c r="AF65" i="7" s="1"/>
  <c r="AF31" i="7" a="1"/>
  <c r="AF31" i="7" s="1"/>
  <c r="AF9" i="7" a="1"/>
  <c r="AF9" i="7" s="1"/>
  <c r="AF22" i="7" a="1"/>
  <c r="AF22" i="7" s="1"/>
  <c r="AF85" i="7" a="1"/>
  <c r="AF85" i="7" s="1"/>
  <c r="AF101" i="7" a="1"/>
  <c r="AF101" i="7" s="1"/>
  <c r="AF25" i="7" a="1"/>
  <c r="AF25" i="7" s="1"/>
  <c r="AF99" i="7" a="1"/>
  <c r="AF99" i="7" s="1"/>
  <c r="AF18" i="7" a="1"/>
  <c r="AF18" i="7" s="1"/>
  <c r="AF53" i="7" a="1"/>
  <c r="AF53" i="7" s="1"/>
  <c r="AF5" i="7" a="1"/>
  <c r="AF5" i="7" s="1"/>
  <c r="AF69" i="7" a="1"/>
  <c r="AF69" i="7" s="1"/>
  <c r="AF8" i="7" a="1"/>
  <c r="AF8" i="7" s="1"/>
  <c r="AF97" i="7" a="1"/>
  <c r="AF97" i="7" s="1"/>
  <c r="AF87" i="7" a="1"/>
  <c r="AF87" i="7" s="1"/>
  <c r="AF11" i="7" a="1"/>
  <c r="AF11" i="7" s="1"/>
  <c r="AF35" i="7" a="1"/>
  <c r="AF35" i="7" s="1"/>
  <c r="AF37" i="7" a="1"/>
  <c r="AF37" i="7" s="1"/>
  <c r="AF24" i="7" a="1"/>
  <c r="AF24" i="7" s="1"/>
  <c r="AF21" i="7" a="1"/>
  <c r="AF21" i="7" s="1"/>
  <c r="AF10" i="7" a="1"/>
  <c r="AF10" i="7" s="1"/>
  <c r="AF26" i="7" a="1"/>
  <c r="AF26" i="7" s="1"/>
  <c r="AF95" i="7" a="1"/>
  <c r="AF95" i="7" s="1"/>
  <c r="AF33" i="7" a="1"/>
  <c r="AF33" i="7" s="1"/>
  <c r="AF43" i="7" a="1"/>
  <c r="AF43" i="7" s="1"/>
  <c r="AF75" i="7" a="1"/>
  <c r="AF75" i="7" s="1"/>
  <c r="AF49" i="7" a="1"/>
  <c r="AF49" i="7" s="1"/>
  <c r="AF73" i="7" a="1"/>
  <c r="AF73" i="7" s="1"/>
  <c r="AF89" i="7" a="1"/>
  <c r="AF89" i="7" s="1"/>
  <c r="AF47" i="7" a="1"/>
  <c r="AF47" i="7" s="1"/>
  <c r="AF27" i="7" a="1"/>
  <c r="AF27" i="7" s="1"/>
  <c r="AF77" i="7" a="1"/>
  <c r="AF77" i="7" s="1"/>
  <c r="AF83" i="7" a="1"/>
  <c r="AF83" i="7" s="1"/>
  <c r="AF61" i="7" a="1"/>
  <c r="AF61" i="7" s="1"/>
  <c r="AF28" i="7" a="1"/>
  <c r="AF28" i="7" s="1"/>
  <c r="AF39" i="7" a="1"/>
  <c r="AF39" i="7" s="1"/>
  <c r="AF30" i="7" a="1"/>
  <c r="AF30" i="7" s="1"/>
  <c r="AF14" i="7" a="1"/>
  <c r="AF14" i="7" s="1"/>
  <c r="AF45" i="7" a="1"/>
  <c r="AF45" i="7" s="1"/>
  <c r="AF57" i="7" a="1"/>
  <c r="AF57" i="7" s="1"/>
  <c r="AF91" i="7" a="1"/>
  <c r="AF91" i="7" s="1"/>
  <c r="AF54" i="7" a="1"/>
  <c r="AF54" i="7" s="1"/>
  <c r="AF13" i="7" a="1"/>
  <c r="AF13" i="7" s="1"/>
  <c r="AF12" i="7" a="1"/>
  <c r="AF12" i="7" s="1"/>
  <c r="AF93" i="7" a="1"/>
  <c r="AF93" i="7" s="1"/>
  <c r="AF52" i="7" a="1"/>
  <c r="AF52" i="7" s="1"/>
  <c r="AF29" i="7" a="1"/>
  <c r="AF29" i="7" s="1"/>
  <c r="AF23" i="7" a="1"/>
  <c r="AF23" i="7" s="1"/>
  <c r="AF59" i="7" a="1"/>
  <c r="AF59" i="7" s="1"/>
  <c r="AF58" i="7" a="1"/>
  <c r="AF58" i="7" s="1"/>
  <c r="AF50" i="7" a="1"/>
  <c r="AF50" i="7" s="1"/>
  <c r="AF76" i="7" a="1"/>
  <c r="AF76" i="7" s="1"/>
  <c r="AF70" i="7" a="1"/>
  <c r="AF70" i="7" s="1"/>
  <c r="AF46" i="7" a="1"/>
  <c r="AF46" i="7" s="1"/>
  <c r="AF102" i="7" a="1"/>
  <c r="AF102" i="7" s="1"/>
  <c r="AF84" i="7" a="1"/>
  <c r="AF84" i="7" s="1"/>
  <c r="AF36" i="7" a="1"/>
  <c r="AF36" i="7" s="1"/>
  <c r="AF72" i="7" a="1"/>
  <c r="AF72" i="7" s="1"/>
  <c r="AF86" i="7" a="1"/>
  <c r="AF86" i="7" s="1"/>
  <c r="AF98" i="7" a="1"/>
  <c r="AF98" i="7" s="1"/>
  <c r="AF38" i="7" a="1"/>
  <c r="AF38" i="7" s="1"/>
  <c r="AF88" i="7" a="1"/>
  <c r="AF88" i="7" s="1"/>
  <c r="AF48" i="7" a="1"/>
  <c r="AF48" i="7" s="1"/>
  <c r="AF100" i="7" a="1"/>
  <c r="AF100" i="7" s="1"/>
  <c r="AF74" i="7" a="1"/>
  <c r="AF74" i="7" s="1"/>
  <c r="AF80" i="7" a="1"/>
  <c r="AF80" i="7" s="1"/>
  <c r="AF66" i="7" a="1"/>
  <c r="AF66" i="7" s="1"/>
  <c r="AF44" i="7" a="1"/>
  <c r="AF44" i="7" s="1"/>
  <c r="AF92" i="7" a="1"/>
  <c r="AF92" i="7" s="1"/>
  <c r="AF90" i="7" a="1"/>
  <c r="AF90" i="7" s="1"/>
  <c r="AF60" i="7" a="1"/>
  <c r="AF60" i="7" s="1"/>
  <c r="AF64" i="7" a="1"/>
  <c r="AF64" i="7" s="1"/>
  <c r="AF96" i="7" a="1"/>
  <c r="AF96" i="7" s="1"/>
  <c r="AF62" i="7" a="1"/>
  <c r="AF62" i="7" s="1"/>
  <c r="AF94" i="7" a="1"/>
  <c r="AF94" i="7" s="1"/>
  <c r="AF40" i="7" a="1"/>
  <c r="AF40" i="7" s="1"/>
  <c r="AF34" i="7" a="1"/>
  <c r="AF34" i="7" s="1"/>
  <c r="AF78" i="7" a="1"/>
  <c r="AF78" i="7" s="1"/>
  <c r="AF68" i="7" a="1"/>
  <c r="AF68" i="7" s="1"/>
  <c r="AF82" i="7" a="1"/>
  <c r="AF82" i="7" s="1"/>
  <c r="AF42" i="7" a="1"/>
  <c r="AF42" i="7" s="1"/>
  <c r="AF56" i="7" a="1"/>
  <c r="AF56" i="7" s="1"/>
  <c r="AG4" i="7"/>
  <c r="AG7" i="7" l="1" a="1"/>
  <c r="AG7" i="7" s="1"/>
  <c r="AG17" i="7" a="1"/>
  <c r="AG17" i="7" s="1"/>
  <c r="AG18" i="7" a="1"/>
  <c r="AG18" i="7" s="1"/>
  <c r="AG35" i="7" a="1"/>
  <c r="AG35" i="7" s="1"/>
  <c r="AG65" i="7" a="1"/>
  <c r="AG65" i="7" s="1"/>
  <c r="AG33" i="7" a="1"/>
  <c r="AG33" i="7" s="1"/>
  <c r="AG16" i="7" a="1"/>
  <c r="AG16" i="7" s="1"/>
  <c r="AG15" i="7" a="1"/>
  <c r="AG15" i="7" s="1"/>
  <c r="AG51" i="7" a="1"/>
  <c r="AG51" i="7" s="1"/>
  <c r="AG99" i="7" a="1"/>
  <c r="AG99" i="7" s="1"/>
  <c r="AG22" i="7" a="1"/>
  <c r="AG22" i="7" s="1"/>
  <c r="AG85" i="7" a="1"/>
  <c r="AG85" i="7" s="1"/>
  <c r="AG67" i="7" a="1"/>
  <c r="AG67" i="7" s="1"/>
  <c r="AG101" i="7" a="1"/>
  <c r="AG101" i="7" s="1"/>
  <c r="AG63" i="7" a="1"/>
  <c r="AG63" i="7" s="1"/>
  <c r="AG53" i="7" a="1"/>
  <c r="AG53" i="7" s="1"/>
  <c r="AG83" i="7" a="1"/>
  <c r="AG83" i="7" s="1"/>
  <c r="AG20" i="7" a="1"/>
  <c r="AG20" i="7" s="1"/>
  <c r="AG97" i="7" a="1"/>
  <c r="AG97" i="7" s="1"/>
  <c r="AG24" i="7" a="1"/>
  <c r="AG24" i="7" s="1"/>
  <c r="AG21" i="7" a="1"/>
  <c r="AG21" i="7" s="1"/>
  <c r="AG49" i="7" a="1"/>
  <c r="AG49" i="7" s="1"/>
  <c r="AG71" i="7" a="1"/>
  <c r="AG71" i="7" s="1"/>
  <c r="AG19" i="7" a="1"/>
  <c r="AG19" i="7" s="1"/>
  <c r="AG55" i="7" a="1"/>
  <c r="AG55" i="7" s="1"/>
  <c r="AG87" i="7" a="1"/>
  <c r="AG87" i="7" s="1"/>
  <c r="AG32" i="7" a="1"/>
  <c r="AG32" i="7" s="1"/>
  <c r="AG69" i="7" a="1"/>
  <c r="AG69" i="7" s="1"/>
  <c r="AG8" i="7" a="1"/>
  <c r="AG8" i="7" s="1"/>
  <c r="AG9" i="7" a="1"/>
  <c r="AG9" i="7" s="1"/>
  <c r="AG23" i="7" a="1"/>
  <c r="AG23" i="7" s="1"/>
  <c r="AG31" i="7" a="1"/>
  <c r="AG31" i="7" s="1"/>
  <c r="AG59" i="7" a="1"/>
  <c r="AG59" i="7" s="1"/>
  <c r="AG79" i="7" a="1"/>
  <c r="AG79" i="7" s="1"/>
  <c r="AG81" i="7" a="1"/>
  <c r="AG81" i="7" s="1"/>
  <c r="AG6" i="7" a="1"/>
  <c r="AG6" i="7" s="1"/>
  <c r="AG11" i="7" a="1"/>
  <c r="AG11" i="7" s="1"/>
  <c r="AG41" i="7" a="1"/>
  <c r="AG41" i="7" s="1"/>
  <c r="AG12" i="7" a="1"/>
  <c r="AG12" i="7" s="1"/>
  <c r="AG25" i="7" a="1"/>
  <c r="AG25" i="7" s="1"/>
  <c r="AG73" i="7" a="1"/>
  <c r="AG73" i="7" s="1"/>
  <c r="AG26" i="7" a="1"/>
  <c r="AG26" i="7" s="1"/>
  <c r="AG28" i="7" a="1"/>
  <c r="AG28" i="7" s="1"/>
  <c r="AG37" i="7" a="1"/>
  <c r="AG37" i="7" s="1"/>
  <c r="AG39" i="7" a="1"/>
  <c r="AG39" i="7" s="1"/>
  <c r="AG89" i="7" a="1"/>
  <c r="AG89" i="7" s="1"/>
  <c r="AG10" i="7" a="1"/>
  <c r="AG10" i="7" s="1"/>
  <c r="AG57" i="7" a="1"/>
  <c r="AG57" i="7" s="1"/>
  <c r="AG43" i="7" a="1"/>
  <c r="AG43" i="7" s="1"/>
  <c r="AG93" i="7" a="1"/>
  <c r="AG93" i="7" s="1"/>
  <c r="AG52" i="7" a="1"/>
  <c r="AG52" i="7" s="1"/>
  <c r="AG91" i="7" a="1"/>
  <c r="AG91" i="7" s="1"/>
  <c r="AG95" i="7" a="1"/>
  <c r="AG95" i="7" s="1"/>
  <c r="AG29" i="7" a="1"/>
  <c r="AG29" i="7" s="1"/>
  <c r="AG5" i="7" a="1"/>
  <c r="AG5" i="7" s="1"/>
  <c r="AG13" i="7" a="1"/>
  <c r="AG13" i="7" s="1"/>
  <c r="AG54" i="7" a="1"/>
  <c r="AG54" i="7" s="1"/>
  <c r="AG75" i="7" a="1"/>
  <c r="AG75" i="7" s="1"/>
  <c r="AG27" i="7" a="1"/>
  <c r="AG27" i="7" s="1"/>
  <c r="AG45" i="7" a="1"/>
  <c r="AG45" i="7" s="1"/>
  <c r="AG47" i="7" a="1"/>
  <c r="AG47" i="7" s="1"/>
  <c r="AG30" i="7" a="1"/>
  <c r="AG30" i="7" s="1"/>
  <c r="AG77" i="7" a="1"/>
  <c r="AG77" i="7" s="1"/>
  <c r="AG14" i="7" a="1"/>
  <c r="AG14" i="7" s="1"/>
  <c r="AG61" i="7" a="1"/>
  <c r="AG61" i="7" s="1"/>
  <c r="AG80" i="7" a="1"/>
  <c r="AG80" i="7" s="1"/>
  <c r="AG64" i="7" a="1"/>
  <c r="AG64" i="7" s="1"/>
  <c r="AG88" i="7" a="1"/>
  <c r="AG88" i="7" s="1"/>
  <c r="AG74" i="7" a="1"/>
  <c r="AG74" i="7" s="1"/>
  <c r="AG100" i="7" a="1"/>
  <c r="AG100" i="7" s="1"/>
  <c r="AG34" i="7" a="1"/>
  <c r="AG34" i="7" s="1"/>
  <c r="AG36" i="7" a="1"/>
  <c r="AG36" i="7" s="1"/>
  <c r="AG66" i="7" a="1"/>
  <c r="AG66" i="7" s="1"/>
  <c r="AG92" i="7" a="1"/>
  <c r="AG92" i="7" s="1"/>
  <c r="AG56" i="7" a="1"/>
  <c r="AG56" i="7" s="1"/>
  <c r="AG90" i="7" a="1"/>
  <c r="AG90" i="7" s="1"/>
  <c r="AG62" i="7" a="1"/>
  <c r="AG62" i="7" s="1"/>
  <c r="AG60" i="7" a="1"/>
  <c r="AG60" i="7" s="1"/>
  <c r="AG40" i="7" a="1"/>
  <c r="AG40" i="7" s="1"/>
  <c r="AG96" i="7" a="1"/>
  <c r="AG96" i="7" s="1"/>
  <c r="AG82" i="7" a="1"/>
  <c r="AG82" i="7" s="1"/>
  <c r="AG58" i="7" a="1"/>
  <c r="AG58" i="7" s="1"/>
  <c r="AG50" i="7" a="1"/>
  <c r="AG50" i="7" s="1"/>
  <c r="AG76" i="7" a="1"/>
  <c r="AG76" i="7" s="1"/>
  <c r="AG44" i="7" a="1"/>
  <c r="AG44" i="7" s="1"/>
  <c r="AG98" i="7" a="1"/>
  <c r="AG98" i="7" s="1"/>
  <c r="AG84" i="7" a="1"/>
  <c r="AG84" i="7" s="1"/>
  <c r="AG38" i="7" a="1"/>
  <c r="AG38" i="7" s="1"/>
  <c r="AG70" i="7" a="1"/>
  <c r="AG70" i="7" s="1"/>
  <c r="AG48" i="7" a="1"/>
  <c r="AG48" i="7" s="1"/>
  <c r="AG68" i="7" a="1"/>
  <c r="AG68" i="7" s="1"/>
  <c r="AG42" i="7" a="1"/>
  <c r="AG42" i="7" s="1"/>
  <c r="AG86" i="7" a="1"/>
  <c r="AG86" i="7" s="1"/>
  <c r="AG46" i="7" a="1"/>
  <c r="AG46" i="7" s="1"/>
  <c r="AG102" i="7" a="1"/>
  <c r="AG102" i="7" s="1"/>
  <c r="AG94" i="7" a="1"/>
  <c r="AG94" i="7" s="1"/>
  <c r="AG78" i="7" a="1"/>
  <c r="AG78" i="7" s="1"/>
  <c r="AG72" i="7" a="1"/>
  <c r="AG72" i="7" s="1"/>
  <c r="AH4" i="7"/>
  <c r="AH7" i="7" l="1" a="1"/>
  <c r="AH7" i="7" s="1"/>
  <c r="AH63" i="7" a="1"/>
  <c r="AH63" i="7" s="1"/>
  <c r="AH15" i="7" a="1"/>
  <c r="AH15" i="7" s="1"/>
  <c r="AH20" i="7" a="1"/>
  <c r="AH20" i="7" s="1"/>
  <c r="AH79" i="7" a="1"/>
  <c r="AH79" i="7" s="1"/>
  <c r="AH69" i="7" a="1"/>
  <c r="AH69" i="7" s="1"/>
  <c r="AH21" i="7" a="1"/>
  <c r="AH21" i="7" s="1"/>
  <c r="AH5" i="7" a="1"/>
  <c r="AH5" i="7" s="1"/>
  <c r="AH65" i="7" a="1"/>
  <c r="AH65" i="7" s="1"/>
  <c r="AH37" i="7" a="1"/>
  <c r="AH37" i="7" s="1"/>
  <c r="AH32" i="7" a="1"/>
  <c r="AH32" i="7" s="1"/>
  <c r="AH35" i="7" a="1"/>
  <c r="AH35" i="7" s="1"/>
  <c r="AH81" i="7" a="1"/>
  <c r="AH81" i="7" s="1"/>
  <c r="AH16" i="7" a="1"/>
  <c r="AH16" i="7" s="1"/>
  <c r="AH53" i="7" a="1"/>
  <c r="AH53" i="7" s="1"/>
  <c r="AH18" i="7" a="1"/>
  <c r="AH18" i="7" s="1"/>
  <c r="AH22" i="7" a="1"/>
  <c r="AH22" i="7" s="1"/>
  <c r="AH33" i="7" a="1"/>
  <c r="AH33" i="7" s="1"/>
  <c r="AH87" i="7" a="1"/>
  <c r="AH87" i="7" s="1"/>
  <c r="AH55" i="7" a="1"/>
  <c r="AH55" i="7" s="1"/>
  <c r="AH73" i="7" a="1"/>
  <c r="AH73" i="7" s="1"/>
  <c r="AH47" i="7" a="1"/>
  <c r="AH47" i="7" s="1"/>
  <c r="AH51" i="7" a="1"/>
  <c r="AH51" i="7" s="1"/>
  <c r="AH23" i="7" a="1"/>
  <c r="AH23" i="7" s="1"/>
  <c r="AH71" i="7" a="1"/>
  <c r="AH71" i="7" s="1"/>
  <c r="AH12" i="7" a="1"/>
  <c r="AH12" i="7" s="1"/>
  <c r="AH17" i="7" a="1"/>
  <c r="AH17" i="7" s="1"/>
  <c r="AH19" i="7" a="1"/>
  <c r="AH19" i="7" s="1"/>
  <c r="AH83" i="7" a="1"/>
  <c r="AH83" i="7" s="1"/>
  <c r="AH6" i="7" a="1"/>
  <c r="AH6" i="7" s="1"/>
  <c r="AH24" i="7" a="1"/>
  <c r="AH24" i="7" s="1"/>
  <c r="AH57" i="7" a="1"/>
  <c r="AH57" i="7" s="1"/>
  <c r="AH89" i="7" a="1"/>
  <c r="AH89" i="7" s="1"/>
  <c r="AH29" i="7" a="1"/>
  <c r="AH29" i="7" s="1"/>
  <c r="AH67" i="7" a="1"/>
  <c r="AH67" i="7" s="1"/>
  <c r="AH99" i="7" a="1"/>
  <c r="AH99" i="7" s="1"/>
  <c r="AH95" i="7" a="1"/>
  <c r="AH95" i="7" s="1"/>
  <c r="AH27" i="7" a="1"/>
  <c r="AH27" i="7" s="1"/>
  <c r="AH91" i="7" a="1"/>
  <c r="AH91" i="7" s="1"/>
  <c r="AH13" i="7" a="1"/>
  <c r="AH13" i="7" s="1"/>
  <c r="AH97" i="7" a="1"/>
  <c r="AH97" i="7" s="1"/>
  <c r="AH31" i="7" a="1"/>
  <c r="AH31" i="7" s="1"/>
  <c r="AH25" i="7" a="1"/>
  <c r="AH25" i="7" s="1"/>
  <c r="AH26" i="7" a="1"/>
  <c r="AH26" i="7" s="1"/>
  <c r="AH43" i="7" a="1"/>
  <c r="AH43" i="7" s="1"/>
  <c r="AH11" i="7" a="1"/>
  <c r="AH11" i="7" s="1"/>
  <c r="AH9" i="7" a="1"/>
  <c r="AH9" i="7" s="1"/>
  <c r="AH14" i="7" a="1"/>
  <c r="AH14" i="7" s="1"/>
  <c r="AH85" i="7" a="1"/>
  <c r="AH85" i="7" s="1"/>
  <c r="AH8" i="7" a="1"/>
  <c r="AH8" i="7" s="1"/>
  <c r="AH45" i="7" a="1"/>
  <c r="AH45" i="7" s="1"/>
  <c r="AH77" i="7" a="1"/>
  <c r="AH77" i="7" s="1"/>
  <c r="AH59" i="7" a="1"/>
  <c r="AH59" i="7" s="1"/>
  <c r="AH61" i="7" a="1"/>
  <c r="AH61" i="7" s="1"/>
  <c r="AH30" i="7" a="1"/>
  <c r="AH30" i="7" s="1"/>
  <c r="AH39" i="7" a="1"/>
  <c r="AH39" i="7" s="1"/>
  <c r="AH101" i="7" a="1"/>
  <c r="AH101" i="7" s="1"/>
  <c r="AH41" i="7" a="1"/>
  <c r="AH41" i="7" s="1"/>
  <c r="AH93" i="7" a="1"/>
  <c r="AH93" i="7" s="1"/>
  <c r="AH52" i="7" a="1"/>
  <c r="AH52" i="7" s="1"/>
  <c r="AH10" i="7" a="1"/>
  <c r="AH10" i="7" s="1"/>
  <c r="AH28" i="7" a="1"/>
  <c r="AH28" i="7" s="1"/>
  <c r="AH75" i="7" a="1"/>
  <c r="AH75" i="7" s="1"/>
  <c r="AH54" i="7" a="1"/>
  <c r="AH54" i="7" s="1"/>
  <c r="AH49" i="7" a="1"/>
  <c r="AH49" i="7" s="1"/>
  <c r="AH92" i="7" a="1"/>
  <c r="AH92" i="7" s="1"/>
  <c r="AH58" i="7" a="1"/>
  <c r="AH58" i="7" s="1"/>
  <c r="AH56" i="7" a="1"/>
  <c r="AH56" i="7" s="1"/>
  <c r="AH90" i="7" a="1"/>
  <c r="AH90" i="7" s="1"/>
  <c r="AH62" i="7" a="1"/>
  <c r="AH62" i="7" s="1"/>
  <c r="AH60" i="7" a="1"/>
  <c r="AH60" i="7" s="1"/>
  <c r="AH40" i="7" a="1"/>
  <c r="AH40" i="7" s="1"/>
  <c r="AH96" i="7" a="1"/>
  <c r="AH96" i="7" s="1"/>
  <c r="AH84" i="7" a="1"/>
  <c r="AH84" i="7" s="1"/>
  <c r="AH82" i="7" a="1"/>
  <c r="AH82" i="7" s="1"/>
  <c r="AH72" i="7" a="1"/>
  <c r="AH72" i="7" s="1"/>
  <c r="AH36" i="7" a="1"/>
  <c r="AH36" i="7" s="1"/>
  <c r="AH66" i="7" a="1"/>
  <c r="AH66" i="7" s="1"/>
  <c r="AH34" i="7" a="1"/>
  <c r="AH34" i="7" s="1"/>
  <c r="AH50" i="7" a="1"/>
  <c r="AH50" i="7" s="1"/>
  <c r="AH76" i="7" a="1"/>
  <c r="AH76" i="7" s="1"/>
  <c r="AH48" i="7" a="1"/>
  <c r="AH48" i="7" s="1"/>
  <c r="AH74" i="7" a="1"/>
  <c r="AH74" i="7" s="1"/>
  <c r="AH46" i="7" a="1"/>
  <c r="AH46" i="7" s="1"/>
  <c r="AH102" i="7" a="1"/>
  <c r="AH102" i="7" s="1"/>
  <c r="AH70" i="7" a="1"/>
  <c r="AH70" i="7" s="1"/>
  <c r="AH86" i="7" a="1"/>
  <c r="AH86" i="7" s="1"/>
  <c r="AH44" i="7" a="1"/>
  <c r="AH44" i="7" s="1"/>
  <c r="AH98" i="7" a="1"/>
  <c r="AH98" i="7" s="1"/>
  <c r="AH64" i="7" a="1"/>
  <c r="AH64" i="7" s="1"/>
  <c r="AH88" i="7" a="1"/>
  <c r="AH88" i="7" s="1"/>
  <c r="AH80" i="7" a="1"/>
  <c r="AH80" i="7" s="1"/>
  <c r="AH94" i="7" a="1"/>
  <c r="AH94" i="7" s="1"/>
  <c r="AH78" i="7" a="1"/>
  <c r="AH78" i="7" s="1"/>
  <c r="AH100" i="7" a="1"/>
  <c r="AH100" i="7" s="1"/>
  <c r="AH42" i="7" a="1"/>
  <c r="AH42" i="7" s="1"/>
  <c r="AH38" i="7" a="1"/>
  <c r="AH38" i="7" s="1"/>
  <c r="AH68" i="7" a="1"/>
  <c r="AH68" i="7" s="1"/>
  <c r="AI4" i="7"/>
  <c r="AI7" i="7" l="1" a="1"/>
  <c r="AI7" i="7" s="1"/>
  <c r="AI15" i="7" a="1"/>
  <c r="AI15" i="7" s="1"/>
  <c r="AI16" i="7" a="1"/>
  <c r="AI16" i="7" s="1"/>
  <c r="AI19" i="7" a="1"/>
  <c r="AI19" i="7" s="1"/>
  <c r="AI67" i="7" a="1"/>
  <c r="AI67" i="7" s="1"/>
  <c r="AI22" i="7" a="1"/>
  <c r="AI22" i="7" s="1"/>
  <c r="AI5" i="7" a="1"/>
  <c r="AI5" i="7" s="1"/>
  <c r="AI33" i="7" a="1"/>
  <c r="AI33" i="7" s="1"/>
  <c r="AI81" i="7" a="1"/>
  <c r="AI81" i="7" s="1"/>
  <c r="AI23" i="7" a="1"/>
  <c r="AI23" i="7" s="1"/>
  <c r="AI18" i="7" a="1"/>
  <c r="AI18" i="7" s="1"/>
  <c r="AI37" i="7" a="1"/>
  <c r="AI37" i="7" s="1"/>
  <c r="AI17" i="7" a="1"/>
  <c r="AI17" i="7" s="1"/>
  <c r="AI65" i="7" a="1"/>
  <c r="AI65" i="7" s="1"/>
  <c r="AI99" i="7" a="1"/>
  <c r="AI99" i="7" s="1"/>
  <c r="AI41" i="7" a="1"/>
  <c r="AI41" i="7" s="1"/>
  <c r="AI20" i="7" a="1"/>
  <c r="AI20" i="7" s="1"/>
  <c r="AI63" i="7" a="1"/>
  <c r="AI63" i="7" s="1"/>
  <c r="AI97" i="7" a="1"/>
  <c r="AI97" i="7" s="1"/>
  <c r="AI71" i="7" a="1"/>
  <c r="AI71" i="7" s="1"/>
  <c r="AI6" i="7" a="1"/>
  <c r="AI6" i="7" s="1"/>
  <c r="AI24" i="7" a="1"/>
  <c r="AI24" i="7" s="1"/>
  <c r="AI31" i="7" a="1"/>
  <c r="AI31" i="7" s="1"/>
  <c r="AI51" i="7" a="1"/>
  <c r="AI51" i="7" s="1"/>
  <c r="AI83" i="7" a="1"/>
  <c r="AI83" i="7" s="1"/>
  <c r="AI49" i="7" a="1"/>
  <c r="AI49" i="7" s="1"/>
  <c r="AI39" i="7" a="1"/>
  <c r="AI39" i="7" s="1"/>
  <c r="AI21" i="7" a="1"/>
  <c r="AI21" i="7" s="1"/>
  <c r="AI85" i="7" a="1"/>
  <c r="AI85" i="7" s="1"/>
  <c r="AI10" i="7" a="1"/>
  <c r="AI10" i="7" s="1"/>
  <c r="AI25" i="7" a="1"/>
  <c r="AI25" i="7" s="1"/>
  <c r="AI57" i="7" a="1"/>
  <c r="AI57" i="7" s="1"/>
  <c r="AI11" i="7" a="1"/>
  <c r="AI11" i="7" s="1"/>
  <c r="AI8" i="7" a="1"/>
  <c r="AI8" i="7" s="1"/>
  <c r="AI53" i="7" a="1"/>
  <c r="AI53" i="7" s="1"/>
  <c r="AI32" i="7" a="1"/>
  <c r="AI32" i="7" s="1"/>
  <c r="AI89" i="7" a="1"/>
  <c r="AI89" i="7" s="1"/>
  <c r="AI101" i="7" a="1"/>
  <c r="AI101" i="7" s="1"/>
  <c r="AI43" i="7" a="1"/>
  <c r="AI43" i="7" s="1"/>
  <c r="AI13" i="7" a="1"/>
  <c r="AI13" i="7" s="1"/>
  <c r="AI91" i="7" a="1"/>
  <c r="AI91" i="7" s="1"/>
  <c r="AI55" i="7" a="1"/>
  <c r="AI55" i="7" s="1"/>
  <c r="AI29" i="7" a="1"/>
  <c r="AI29" i="7" s="1"/>
  <c r="AI77" i="7" a="1"/>
  <c r="AI77" i="7" s="1"/>
  <c r="AI69" i="7" a="1"/>
  <c r="AI69" i="7" s="1"/>
  <c r="AI47" i="7" a="1"/>
  <c r="AI47" i="7" s="1"/>
  <c r="AI87" i="7" a="1"/>
  <c r="AI87" i="7" s="1"/>
  <c r="AI73" i="7" a="1"/>
  <c r="AI73" i="7" s="1"/>
  <c r="AI27" i="7" a="1"/>
  <c r="AI27" i="7" s="1"/>
  <c r="AI59" i="7" a="1"/>
  <c r="AI59" i="7" s="1"/>
  <c r="AI95" i="7" a="1"/>
  <c r="AI95" i="7" s="1"/>
  <c r="AI14" i="7" a="1"/>
  <c r="AI14" i="7" s="1"/>
  <c r="AI61" i="7" a="1"/>
  <c r="AI61" i="7" s="1"/>
  <c r="AI75" i="7" a="1"/>
  <c r="AI75" i="7" s="1"/>
  <c r="AI35" i="7" a="1"/>
  <c r="AI35" i="7" s="1"/>
  <c r="AI79" i="7" a="1"/>
  <c r="AI79" i="7" s="1"/>
  <c r="AI28" i="7" a="1"/>
  <c r="AI28" i="7" s="1"/>
  <c r="AI54" i="7" a="1"/>
  <c r="AI54" i="7" s="1"/>
  <c r="AI30" i="7" a="1"/>
  <c r="AI30" i="7" s="1"/>
  <c r="AI93" i="7" a="1"/>
  <c r="AI93" i="7" s="1"/>
  <c r="AI12" i="7" a="1"/>
  <c r="AI12" i="7" s="1"/>
  <c r="AI52" i="7" a="1"/>
  <c r="AI52" i="7" s="1"/>
  <c r="AI9" i="7" a="1"/>
  <c r="AI9" i="7" s="1"/>
  <c r="AI45" i="7" a="1"/>
  <c r="AI45" i="7" s="1"/>
  <c r="AI26" i="7" a="1"/>
  <c r="AI26" i="7" s="1"/>
  <c r="AI50" i="7" a="1"/>
  <c r="AI50" i="7" s="1"/>
  <c r="AI76" i="7" a="1"/>
  <c r="AI76" i="7" s="1"/>
  <c r="AI74" i="7" a="1"/>
  <c r="AI74" i="7" s="1"/>
  <c r="AI46" i="7" a="1"/>
  <c r="AI46" i="7" s="1"/>
  <c r="AI102" i="7" a="1"/>
  <c r="AI102" i="7" s="1"/>
  <c r="AI82" i="7" a="1"/>
  <c r="AI82" i="7" s="1"/>
  <c r="AI34" i="7" a="1"/>
  <c r="AI34" i="7" s="1"/>
  <c r="AI86" i="7" a="1"/>
  <c r="AI86" i="7" s="1"/>
  <c r="AI44" i="7" a="1"/>
  <c r="AI44" i="7" s="1"/>
  <c r="AI98" i="7" a="1"/>
  <c r="AI98" i="7" s="1"/>
  <c r="AI80" i="7" a="1"/>
  <c r="AI80" i="7" s="1"/>
  <c r="AI38" i="7" a="1"/>
  <c r="AI38" i="7" s="1"/>
  <c r="AI48" i="7" a="1"/>
  <c r="AI48" i="7" s="1"/>
  <c r="AI100" i="7" a="1"/>
  <c r="AI100" i="7" s="1"/>
  <c r="AI36" i="7" a="1"/>
  <c r="AI36" i="7" s="1"/>
  <c r="AI72" i="7" a="1"/>
  <c r="AI72" i="7" s="1"/>
  <c r="AI92" i="7" a="1"/>
  <c r="AI92" i="7" s="1"/>
  <c r="AI56" i="7" a="1"/>
  <c r="AI56" i="7" s="1"/>
  <c r="AI90" i="7" a="1"/>
  <c r="AI90" i="7" s="1"/>
  <c r="AI62" i="7" a="1"/>
  <c r="AI62" i="7" s="1"/>
  <c r="AI60" i="7" a="1"/>
  <c r="AI60" i="7" s="1"/>
  <c r="AI40" i="7" a="1"/>
  <c r="AI40" i="7" s="1"/>
  <c r="AI58" i="7" a="1"/>
  <c r="AI58" i="7" s="1"/>
  <c r="AI42" i="7" a="1"/>
  <c r="AI42" i="7" s="1"/>
  <c r="AI70" i="7" a="1"/>
  <c r="AI70" i="7" s="1"/>
  <c r="AI68" i="7" a="1"/>
  <c r="AI68" i="7" s="1"/>
  <c r="AI88" i="7" a="1"/>
  <c r="AI88" i="7" s="1"/>
  <c r="AI78" i="7" a="1"/>
  <c r="AI78" i="7" s="1"/>
  <c r="AI94" i="7" a="1"/>
  <c r="AI94" i="7" s="1"/>
  <c r="AI96" i="7" a="1"/>
  <c r="AI96" i="7" s="1"/>
  <c r="AI84" i="7" a="1"/>
  <c r="AI84" i="7" s="1"/>
  <c r="AI66" i="7" a="1"/>
  <c r="AI66" i="7" s="1"/>
  <c r="AI64" i="7" a="1"/>
  <c r="AI64" i="7" s="1"/>
  <c r="AJ4" i="7"/>
  <c r="AJ7" i="7" l="1" a="1"/>
  <c r="AJ7" i="7" s="1"/>
  <c r="AJ16" i="7" a="1"/>
  <c r="AJ16" i="7" s="1"/>
  <c r="AJ17" i="7" a="1"/>
  <c r="AJ17" i="7" s="1"/>
  <c r="AJ20" i="7" a="1"/>
  <c r="AJ20" i="7" s="1"/>
  <c r="AJ69" i="7" a="1"/>
  <c r="AJ69" i="7" s="1"/>
  <c r="AJ51" i="7" a="1"/>
  <c r="AJ51" i="7" s="1"/>
  <c r="AJ83" i="7" a="1"/>
  <c r="AJ83" i="7" s="1"/>
  <c r="AJ99" i="7" a="1"/>
  <c r="AJ99" i="7" s="1"/>
  <c r="AJ65" i="7" a="1"/>
  <c r="AJ65" i="7" s="1"/>
  <c r="AJ101" i="7" a="1"/>
  <c r="AJ101" i="7" s="1"/>
  <c r="AJ53" i="7" a="1"/>
  <c r="AJ53" i="7" s="1"/>
  <c r="AJ97" i="7" a="1"/>
  <c r="AJ97" i="7" s="1"/>
  <c r="AJ63" i="7" a="1"/>
  <c r="AJ63" i="7" s="1"/>
  <c r="AJ85" i="7" a="1"/>
  <c r="AJ85" i="7" s="1"/>
  <c r="AJ49" i="7" a="1"/>
  <c r="AJ49" i="7" s="1"/>
  <c r="AJ15" i="7" a="1"/>
  <c r="AJ15" i="7" s="1"/>
  <c r="AJ71" i="7" a="1"/>
  <c r="AJ71" i="7" s="1"/>
  <c r="AJ8" i="7" a="1"/>
  <c r="AJ8" i="7" s="1"/>
  <c r="AJ33" i="7" a="1"/>
  <c r="AJ33" i="7" s="1"/>
  <c r="AJ6" i="7" a="1"/>
  <c r="AJ6" i="7" s="1"/>
  <c r="AJ9" i="7" a="1"/>
  <c r="AJ9" i="7" s="1"/>
  <c r="AJ25" i="7" a="1"/>
  <c r="AJ25" i="7" s="1"/>
  <c r="AJ79" i="7" a="1"/>
  <c r="AJ79" i="7" s="1"/>
  <c r="AJ21" i="7" a="1"/>
  <c r="AJ21" i="7" s="1"/>
  <c r="AJ5" i="7" a="1"/>
  <c r="AJ5" i="7" s="1"/>
  <c r="AJ55" i="7" a="1"/>
  <c r="AJ55" i="7" s="1"/>
  <c r="AJ87" i="7" a="1"/>
  <c r="AJ87" i="7" s="1"/>
  <c r="AJ37" i="7" a="1"/>
  <c r="AJ37" i="7" s="1"/>
  <c r="AJ35" i="7" a="1"/>
  <c r="AJ35" i="7" s="1"/>
  <c r="AJ23" i="7" a="1"/>
  <c r="AJ23" i="7" s="1"/>
  <c r="AJ10" i="7" a="1"/>
  <c r="AJ10" i="7" s="1"/>
  <c r="AJ73" i="7" a="1"/>
  <c r="AJ73" i="7" s="1"/>
  <c r="AJ59" i="7" a="1"/>
  <c r="AJ59" i="7" s="1"/>
  <c r="AJ18" i="7" a="1"/>
  <c r="AJ18" i="7" s="1"/>
  <c r="AJ22" i="7" a="1"/>
  <c r="AJ22" i="7" s="1"/>
  <c r="AJ24" i="7" a="1"/>
  <c r="AJ24" i="7" s="1"/>
  <c r="AJ41" i="7" a="1"/>
  <c r="AJ41" i="7" s="1"/>
  <c r="AJ47" i="7" a="1"/>
  <c r="AJ47" i="7" s="1"/>
  <c r="AJ13" i="7" a="1"/>
  <c r="AJ13" i="7" s="1"/>
  <c r="AJ95" i="7" a="1"/>
  <c r="AJ95" i="7" s="1"/>
  <c r="AJ43" i="7" a="1"/>
  <c r="AJ43" i="7" s="1"/>
  <c r="AJ75" i="7" a="1"/>
  <c r="AJ75" i="7" s="1"/>
  <c r="AJ29" i="7" a="1"/>
  <c r="AJ29" i="7" s="1"/>
  <c r="AJ77" i="7" a="1"/>
  <c r="AJ77" i="7" s="1"/>
  <c r="AJ89" i="7" a="1"/>
  <c r="AJ89" i="7" s="1"/>
  <c r="AJ11" i="7" a="1"/>
  <c r="AJ11" i="7" s="1"/>
  <c r="AJ26" i="7" a="1"/>
  <c r="AJ26" i="7" s="1"/>
  <c r="AJ28" i="7" a="1"/>
  <c r="AJ28" i="7" s="1"/>
  <c r="AJ91" i="7" a="1"/>
  <c r="AJ91" i="7" s="1"/>
  <c r="AJ67" i="7" a="1"/>
  <c r="AJ67" i="7" s="1"/>
  <c r="AJ27" i="7" a="1"/>
  <c r="AJ27" i="7" s="1"/>
  <c r="AJ30" i="7" a="1"/>
  <c r="AJ30" i="7" s="1"/>
  <c r="AJ54" i="7" a="1"/>
  <c r="AJ54" i="7" s="1"/>
  <c r="AJ32" i="7" a="1"/>
  <c r="AJ32" i="7" s="1"/>
  <c r="AJ39" i="7" a="1"/>
  <c r="AJ39" i="7" s="1"/>
  <c r="AJ52" i="7" a="1"/>
  <c r="AJ52" i="7" s="1"/>
  <c r="AJ93" i="7" a="1"/>
  <c r="AJ93" i="7" s="1"/>
  <c r="AJ81" i="7" a="1"/>
  <c r="AJ81" i="7" s="1"/>
  <c r="AJ61" i="7" a="1"/>
  <c r="AJ61" i="7" s="1"/>
  <c r="AJ45" i="7" a="1"/>
  <c r="AJ45" i="7" s="1"/>
  <c r="AJ19" i="7" a="1"/>
  <c r="AJ19" i="7" s="1"/>
  <c r="AJ12" i="7" a="1"/>
  <c r="AJ12" i="7" s="1"/>
  <c r="AJ31" i="7" a="1"/>
  <c r="AJ31" i="7" s="1"/>
  <c r="AJ14" i="7" a="1"/>
  <c r="AJ14" i="7" s="1"/>
  <c r="AJ57" i="7" a="1"/>
  <c r="AJ57" i="7" s="1"/>
  <c r="AJ62" i="7" a="1"/>
  <c r="AJ62" i="7" s="1"/>
  <c r="AJ80" i="7" a="1"/>
  <c r="AJ80" i="7" s="1"/>
  <c r="AJ38" i="7" a="1"/>
  <c r="AJ38" i="7" s="1"/>
  <c r="AJ72" i="7" a="1"/>
  <c r="AJ72" i="7" s="1"/>
  <c r="AJ66" i="7" a="1"/>
  <c r="AJ66" i="7" s="1"/>
  <c r="AJ48" i="7" a="1"/>
  <c r="AJ48" i="7" s="1"/>
  <c r="AJ100" i="7" a="1"/>
  <c r="AJ100" i="7" s="1"/>
  <c r="AJ70" i="7" a="1"/>
  <c r="AJ70" i="7" s="1"/>
  <c r="AJ76" i="7" a="1"/>
  <c r="AJ76" i="7" s="1"/>
  <c r="AJ92" i="7" a="1"/>
  <c r="AJ92" i="7" s="1"/>
  <c r="AJ88" i="7" a="1"/>
  <c r="AJ88" i="7" s="1"/>
  <c r="AJ56" i="7" a="1"/>
  <c r="AJ56" i="7" s="1"/>
  <c r="AJ90" i="7" a="1"/>
  <c r="AJ90" i="7" s="1"/>
  <c r="AJ60" i="7" a="1"/>
  <c r="AJ60" i="7" s="1"/>
  <c r="AJ40" i="7" a="1"/>
  <c r="AJ40" i="7" s="1"/>
  <c r="AJ64" i="7" a="1"/>
  <c r="AJ64" i="7" s="1"/>
  <c r="AJ96" i="7" a="1"/>
  <c r="AJ96" i="7" s="1"/>
  <c r="AJ84" i="7" a="1"/>
  <c r="AJ84" i="7" s="1"/>
  <c r="AJ34" i="7" a="1"/>
  <c r="AJ34" i="7" s="1"/>
  <c r="AJ58" i="7" a="1"/>
  <c r="AJ58" i="7" s="1"/>
  <c r="AJ36" i="7" a="1"/>
  <c r="AJ36" i="7" s="1"/>
  <c r="AJ50" i="7" a="1"/>
  <c r="AJ50" i="7" s="1"/>
  <c r="AJ74" i="7" a="1"/>
  <c r="AJ74" i="7" s="1"/>
  <c r="AJ44" i="7" a="1"/>
  <c r="AJ44" i="7" s="1"/>
  <c r="AJ98" i="7" a="1"/>
  <c r="AJ98" i="7" s="1"/>
  <c r="AJ68" i="7" a="1"/>
  <c r="AJ68" i="7" s="1"/>
  <c r="AJ78" i="7" a="1"/>
  <c r="AJ78" i="7" s="1"/>
  <c r="AJ102" i="7" a="1"/>
  <c r="AJ102" i="7" s="1"/>
  <c r="AJ82" i="7" a="1"/>
  <c r="AJ82" i="7" s="1"/>
  <c r="AJ86" i="7" a="1"/>
  <c r="AJ86" i="7" s="1"/>
  <c r="AJ42" i="7" a="1"/>
  <c r="AJ42" i="7" s="1"/>
  <c r="AJ94" i="7" a="1"/>
  <c r="AJ94" i="7" s="1"/>
  <c r="AJ46" i="7" a="1"/>
  <c r="AJ46" i="7" s="1"/>
  <c r="AK4" i="7"/>
  <c r="AK7" i="7" l="1" a="1"/>
  <c r="AK7" i="7" s="1"/>
  <c r="AK63" i="7" a="1"/>
  <c r="AK63" i="7" s="1"/>
  <c r="AK51" i="7" a="1"/>
  <c r="AK51" i="7" s="1"/>
  <c r="AK79" i="7" a="1"/>
  <c r="AK79" i="7" s="1"/>
  <c r="AK15" i="7" a="1"/>
  <c r="AK15" i="7" s="1"/>
  <c r="AK65" i="7" a="1"/>
  <c r="AK65" i="7" s="1"/>
  <c r="AK18" i="7" a="1"/>
  <c r="AK18" i="7" s="1"/>
  <c r="AK16" i="7" a="1"/>
  <c r="AK16" i="7" s="1"/>
  <c r="AK35" i="7" a="1"/>
  <c r="AK35" i="7" s="1"/>
  <c r="AK67" i="7" a="1"/>
  <c r="AK67" i="7" s="1"/>
  <c r="AK69" i="7" a="1"/>
  <c r="AK69" i="7" s="1"/>
  <c r="AK33" i="7" a="1"/>
  <c r="AK33" i="7" s="1"/>
  <c r="AK97" i="7" a="1"/>
  <c r="AK97" i="7" s="1"/>
  <c r="AK6" i="7" a="1"/>
  <c r="AK6" i="7" s="1"/>
  <c r="AK39" i="7" a="1"/>
  <c r="AK39" i="7" s="1"/>
  <c r="AK10" i="7" a="1"/>
  <c r="AK10" i="7" s="1"/>
  <c r="AK26" i="7" a="1"/>
  <c r="AK26" i="7" s="1"/>
  <c r="AK17" i="7" a="1"/>
  <c r="AK17" i="7" s="1"/>
  <c r="AK20" i="7" a="1"/>
  <c r="AK20" i="7" s="1"/>
  <c r="AK22" i="7" a="1"/>
  <c r="AK22" i="7" s="1"/>
  <c r="AK19" i="7" a="1"/>
  <c r="AK19" i="7" s="1"/>
  <c r="AK99" i="7" a="1"/>
  <c r="AK99" i="7" s="1"/>
  <c r="AK24" i="7" a="1"/>
  <c r="AK24" i="7" s="1"/>
  <c r="AK71" i="7" a="1"/>
  <c r="AK71" i="7" s="1"/>
  <c r="AK37" i="7" a="1"/>
  <c r="AK37" i="7" s="1"/>
  <c r="AK49" i="7" a="1"/>
  <c r="AK49" i="7" s="1"/>
  <c r="AK101" i="7" a="1"/>
  <c r="AK101" i="7" s="1"/>
  <c r="AK53" i="7" a="1"/>
  <c r="AK53" i="7" s="1"/>
  <c r="AK47" i="7" a="1"/>
  <c r="AK47" i="7" s="1"/>
  <c r="AK21" i="7" a="1"/>
  <c r="AK21" i="7" s="1"/>
  <c r="AK8" i="7" a="1"/>
  <c r="AK8" i="7" s="1"/>
  <c r="AK83" i="7" a="1"/>
  <c r="AK83" i="7" s="1"/>
  <c r="AK85" i="7" a="1"/>
  <c r="AK85" i="7" s="1"/>
  <c r="AK11" i="7" a="1"/>
  <c r="AK11" i="7" s="1"/>
  <c r="AK31" i="7" a="1"/>
  <c r="AK31" i="7" s="1"/>
  <c r="AK57" i="7" a="1"/>
  <c r="AK57" i="7" s="1"/>
  <c r="AK29" i="7" a="1"/>
  <c r="AK29" i="7" s="1"/>
  <c r="AK23" i="7" a="1"/>
  <c r="AK23" i="7" s="1"/>
  <c r="AK32" i="7" a="1"/>
  <c r="AK32" i="7" s="1"/>
  <c r="AK12" i="7" a="1"/>
  <c r="AK12" i="7" s="1"/>
  <c r="AK54" i="7" a="1"/>
  <c r="AK54" i="7" s="1"/>
  <c r="AK9" i="7" a="1"/>
  <c r="AK9" i="7" s="1"/>
  <c r="AK41" i="7" a="1"/>
  <c r="AK41" i="7" s="1"/>
  <c r="AK87" i="7" a="1"/>
  <c r="AK87" i="7" s="1"/>
  <c r="AK73" i="7" a="1"/>
  <c r="AK73" i="7" s="1"/>
  <c r="AK75" i="7" a="1"/>
  <c r="AK75" i="7" s="1"/>
  <c r="AK61" i="7" a="1"/>
  <c r="AK61" i="7" s="1"/>
  <c r="AK93" i="7" a="1"/>
  <c r="AK93" i="7" s="1"/>
  <c r="AK91" i="7" a="1"/>
  <c r="AK91" i="7" s="1"/>
  <c r="AK45" i="7" a="1"/>
  <c r="AK45" i="7" s="1"/>
  <c r="AK43" i="7" a="1"/>
  <c r="AK43" i="7" s="1"/>
  <c r="AK81" i="7" a="1"/>
  <c r="AK81" i="7" s="1"/>
  <c r="AK28" i="7" a="1"/>
  <c r="AK28" i="7" s="1"/>
  <c r="AK89" i="7" a="1"/>
  <c r="AK89" i="7" s="1"/>
  <c r="AK14" i="7" a="1"/>
  <c r="AK14" i="7" s="1"/>
  <c r="AK27" i="7" a="1"/>
  <c r="AK27" i="7" s="1"/>
  <c r="AK77" i="7" a="1"/>
  <c r="AK77" i="7" s="1"/>
  <c r="AK59" i="7" a="1"/>
  <c r="AK59" i="7" s="1"/>
  <c r="AK95" i="7" a="1"/>
  <c r="AK95" i="7" s="1"/>
  <c r="AK25" i="7" a="1"/>
  <c r="AK25" i="7" s="1"/>
  <c r="AK55" i="7" a="1"/>
  <c r="AK55" i="7" s="1"/>
  <c r="AK30" i="7" a="1"/>
  <c r="AK30" i="7" s="1"/>
  <c r="AK52" i="7" a="1"/>
  <c r="AK52" i="7" s="1"/>
  <c r="AK5" i="7" a="1"/>
  <c r="AK5" i="7" s="1"/>
  <c r="AK13" i="7" a="1"/>
  <c r="AK13" i="7" s="1"/>
  <c r="AK66" i="7" a="1"/>
  <c r="AK66" i="7" s="1"/>
  <c r="AK92" i="7" a="1"/>
  <c r="AK92" i="7" s="1"/>
  <c r="AK82" i="7" a="1"/>
  <c r="AK82" i="7" s="1"/>
  <c r="AK90" i="7" a="1"/>
  <c r="AK90" i="7" s="1"/>
  <c r="AK60" i="7" a="1"/>
  <c r="AK60" i="7" s="1"/>
  <c r="AK64" i="7" a="1"/>
  <c r="AK64" i="7" s="1"/>
  <c r="AK96" i="7" a="1"/>
  <c r="AK96" i="7" s="1"/>
  <c r="AK84" i="7" a="1"/>
  <c r="AK84" i="7" s="1"/>
  <c r="AK58" i="7" a="1"/>
  <c r="AK58" i="7" s="1"/>
  <c r="AK86" i="7" a="1"/>
  <c r="AK86" i="7" s="1"/>
  <c r="AK50" i="7" a="1"/>
  <c r="AK50" i="7" s="1"/>
  <c r="AK74" i="7" a="1"/>
  <c r="AK74" i="7" s="1"/>
  <c r="AK72" i="7" a="1"/>
  <c r="AK72" i="7" s="1"/>
  <c r="AK102" i="7" a="1"/>
  <c r="AK102" i="7" s="1"/>
  <c r="AK62" i="7" a="1"/>
  <c r="AK62" i="7" s="1"/>
  <c r="AK98" i="7" a="1"/>
  <c r="AK98" i="7" s="1"/>
  <c r="AK40" i="7" a="1"/>
  <c r="AK40" i="7" s="1"/>
  <c r="AK44" i="7" a="1"/>
  <c r="AK44" i="7" s="1"/>
  <c r="AK80" i="7" a="1"/>
  <c r="AK80" i="7" s="1"/>
  <c r="AK88" i="7" a="1"/>
  <c r="AK88" i="7" s="1"/>
  <c r="AK76" i="7" a="1"/>
  <c r="AK76" i="7" s="1"/>
  <c r="AK36" i="7" a="1"/>
  <c r="AK36" i="7" s="1"/>
  <c r="AK34" i="7" a="1"/>
  <c r="AK34" i="7" s="1"/>
  <c r="AK46" i="7" a="1"/>
  <c r="AK46" i="7" s="1"/>
  <c r="AK42" i="7" a="1"/>
  <c r="AK42" i="7" s="1"/>
  <c r="AK70" i="7" a="1"/>
  <c r="AK70" i="7" s="1"/>
  <c r="AK56" i="7" a="1"/>
  <c r="AK56" i="7" s="1"/>
  <c r="AK100" i="7" a="1"/>
  <c r="AK100" i="7" s="1"/>
  <c r="AK94" i="7" a="1"/>
  <c r="AK94" i="7" s="1"/>
  <c r="AK38" i="7" a="1"/>
  <c r="AK38" i="7" s="1"/>
  <c r="AK68" i="7" a="1"/>
  <c r="AK68" i="7" s="1"/>
  <c r="AK78" i="7" a="1"/>
  <c r="AK78" i="7" s="1"/>
  <c r="AK48" i="7" a="1"/>
  <c r="AK48" i="7" s="1"/>
  <c r="AL4" i="7"/>
  <c r="AL7" i="7" l="1" a="1"/>
  <c r="AL7" i="7" s="1"/>
  <c r="S5" i="2" s="1" a="1"/>
  <c r="S5" i="2" s="1"/>
  <c r="T5" i="2" s="1" a="1"/>
  <c r="T5" i="2" s="1"/>
  <c r="AL18" i="7" a="1"/>
  <c r="AL18" i="7" s="1"/>
  <c r="AL16" i="7" a="1"/>
  <c r="AL16" i="7" s="1"/>
  <c r="T9" i="2" s="1" a="1"/>
  <c r="T9" i="2" s="1"/>
  <c r="AL17" i="7" a="1"/>
  <c r="AL17" i="7" s="1"/>
  <c r="AL20" i="7" a="1"/>
  <c r="AL20" i="7" s="1"/>
  <c r="AL35" i="7" a="1"/>
  <c r="AL35" i="7" s="1"/>
  <c r="AL83" i="7" a="1"/>
  <c r="AL83" i="7" s="1"/>
  <c r="AL6" i="7" a="1"/>
  <c r="AL6" i="7" s="1"/>
  <c r="S4" i="2" s="1" a="1"/>
  <c r="S4" i="2" s="1"/>
  <c r="AL21" i="7" a="1"/>
  <c r="AL21" i="7" s="1"/>
  <c r="AL37" i="7" a="1"/>
  <c r="AL37" i="7" s="1"/>
  <c r="AL85" i="7" a="1"/>
  <c r="AL85" i="7" s="1"/>
  <c r="AL81" i="7" a="1"/>
  <c r="AL81" i="7" s="1"/>
  <c r="AL51" i="7" a="1"/>
  <c r="AL51" i="7" s="1"/>
  <c r="AL65" i="7" a="1"/>
  <c r="AL65" i="7" s="1"/>
  <c r="AL99" i="7" a="1"/>
  <c r="AL99" i="7" s="1"/>
  <c r="AL101" i="7" a="1"/>
  <c r="AL101" i="7" s="1"/>
  <c r="AL63" i="7" a="1"/>
  <c r="AL63" i="7" s="1"/>
  <c r="AL67" i="7" a="1"/>
  <c r="AL67" i="7" s="1"/>
  <c r="AL49" i="7" a="1"/>
  <c r="AL49" i="7" s="1"/>
  <c r="AL23" i="7" a="1"/>
  <c r="AL23" i="7" s="1"/>
  <c r="AL25" i="7" a="1"/>
  <c r="AL25" i="7" s="1"/>
  <c r="AL57" i="7" a="1"/>
  <c r="AL57" i="7" s="1"/>
  <c r="AL24" i="7" a="1"/>
  <c r="AL24" i="7" s="1"/>
  <c r="AL5" i="7" a="1"/>
  <c r="AL5" i="7" s="1"/>
  <c r="AL8" i="7" a="1"/>
  <c r="AL8" i="7" s="1"/>
  <c r="S6" i="2" s="1" a="1"/>
  <c r="S6" i="2" s="1"/>
  <c r="T6" i="2" s="1" a="1"/>
  <c r="T6" i="2" s="1"/>
  <c r="AL69" i="7" a="1"/>
  <c r="AL69" i="7" s="1"/>
  <c r="AL39" i="7" a="1"/>
  <c r="AL39" i="7" s="1"/>
  <c r="AL53" i="7" a="1"/>
  <c r="AL53" i="7" s="1"/>
  <c r="AL97" i="7" a="1"/>
  <c r="AL97" i="7" s="1"/>
  <c r="AL31" i="7" a="1"/>
  <c r="AL31" i="7" s="1"/>
  <c r="AL19" i="7" a="1"/>
  <c r="AL19" i="7" s="1"/>
  <c r="AL87" i="7" a="1"/>
  <c r="AL87" i="7" s="1"/>
  <c r="AL95" i="7" a="1"/>
  <c r="AL95" i="7" s="1"/>
  <c r="AL43" i="7" a="1"/>
  <c r="AL43" i="7" s="1"/>
  <c r="AL33" i="7" a="1"/>
  <c r="AL33" i="7" s="1"/>
  <c r="AL55" i="7" a="1"/>
  <c r="AL55" i="7" s="1"/>
  <c r="AL73" i="7" a="1"/>
  <c r="AL73" i="7" s="1"/>
  <c r="AL91" i="7" a="1"/>
  <c r="AL91" i="7" s="1"/>
  <c r="AL45" i="7" a="1"/>
  <c r="AL45" i="7" s="1"/>
  <c r="AL22" i="7" a="1"/>
  <c r="AL22" i="7" s="1"/>
  <c r="AL10" i="7" a="1"/>
  <c r="AL10" i="7" s="1"/>
  <c r="S8" i="2" s="1" a="1"/>
  <c r="S8" i="2" s="1"/>
  <c r="T8" i="2" s="1" a="1"/>
  <c r="T8" i="2" s="1"/>
  <c r="AL47" i="7" a="1"/>
  <c r="AL47" i="7" s="1"/>
  <c r="AL11" i="7" a="1"/>
  <c r="AL11" i="7" s="1"/>
  <c r="AL27" i="7" a="1"/>
  <c r="AL27" i="7" s="1"/>
  <c r="AL9" i="7" a="1"/>
  <c r="AL9" i="7" s="1"/>
  <c r="AL14" i="7" a="1"/>
  <c r="AL14" i="7" s="1"/>
  <c r="AL32" i="7" a="1"/>
  <c r="AL32" i="7" s="1"/>
  <c r="AL13" i="7" a="1"/>
  <c r="AL13" i="7" s="1"/>
  <c r="AL41" i="7" a="1"/>
  <c r="AL41" i="7" s="1"/>
  <c r="AL12" i="7" a="1"/>
  <c r="AL12" i="7" s="1"/>
  <c r="AL30" i="7" a="1"/>
  <c r="AL30" i="7" s="1"/>
  <c r="AL52" i="7" a="1"/>
  <c r="AL52" i="7" s="1"/>
  <c r="AL15" i="7" a="1"/>
  <c r="AL15" i="7" s="1"/>
  <c r="AL79" i="7" a="1"/>
  <c r="AL79" i="7" s="1"/>
  <c r="AL71" i="7" a="1"/>
  <c r="AL71" i="7" s="1"/>
  <c r="AL89" i="7" a="1"/>
  <c r="AL89" i="7" s="1"/>
  <c r="AL54" i="7" a="1"/>
  <c r="AL54" i="7" s="1"/>
  <c r="AL61" i="7" a="1"/>
  <c r="AL61" i="7" s="1"/>
  <c r="AL28" i="7" a="1"/>
  <c r="AL28" i="7" s="1"/>
  <c r="AL26" i="7" a="1"/>
  <c r="AL26" i="7" s="1"/>
  <c r="AL59" i="7" a="1"/>
  <c r="AL59" i="7" s="1"/>
  <c r="AL77" i="7" a="1"/>
  <c r="AL77" i="7" s="1"/>
  <c r="AL93" i="7" a="1"/>
  <c r="AL93" i="7" s="1"/>
  <c r="AL75" i="7" a="1"/>
  <c r="AL75" i="7" s="1"/>
  <c r="AL29" i="7" a="1"/>
  <c r="AL29" i="7" s="1"/>
  <c r="AL74" i="7" a="1"/>
  <c r="AL74" i="7" s="1"/>
  <c r="AL72" i="7" a="1"/>
  <c r="AL72" i="7" s="1"/>
  <c r="AL76" i="7" a="1"/>
  <c r="AL76" i="7" s="1"/>
  <c r="AL102" i="7" a="1"/>
  <c r="AL102" i="7" s="1"/>
  <c r="AL36" i="7" a="1"/>
  <c r="AL36" i="7" s="1"/>
  <c r="AL98" i="7" a="1"/>
  <c r="AL98" i="7" s="1"/>
  <c r="AL34" i="7" a="1"/>
  <c r="AL34" i="7" s="1"/>
  <c r="AL40" i="7" a="1"/>
  <c r="AL40" i="7" s="1"/>
  <c r="AL44" i="7" a="1"/>
  <c r="AL44" i="7" s="1"/>
  <c r="AL88" i="7" a="1"/>
  <c r="AL88" i="7" s="1"/>
  <c r="AL48" i="7" a="1"/>
  <c r="AL48" i="7" s="1"/>
  <c r="AL100" i="7" a="1"/>
  <c r="AL100" i="7" s="1"/>
  <c r="AL86" i="7" a="1"/>
  <c r="AL86" i="7" s="1"/>
  <c r="AL80" i="7" a="1"/>
  <c r="AL80" i="7" s="1"/>
  <c r="AL66" i="7" a="1"/>
  <c r="AL66" i="7" s="1"/>
  <c r="AL62" i="7" a="1"/>
  <c r="AL62" i="7" s="1"/>
  <c r="AL56" i="7" a="1"/>
  <c r="AL56" i="7" s="1"/>
  <c r="AL90" i="7" a="1"/>
  <c r="AL90" i="7" s="1"/>
  <c r="AL60" i="7" a="1"/>
  <c r="AL60" i="7" s="1"/>
  <c r="AL64" i="7" a="1"/>
  <c r="AL64" i="7" s="1"/>
  <c r="AL96" i="7" a="1"/>
  <c r="AL96" i="7" s="1"/>
  <c r="AL92" i="7" a="1"/>
  <c r="AL92" i="7" s="1"/>
  <c r="AL50" i="7" a="1"/>
  <c r="AL50" i="7" s="1"/>
  <c r="AL46" i="7" a="1"/>
  <c r="AL46" i="7" s="1"/>
  <c r="AL84" i="7" a="1"/>
  <c r="AL84" i="7" s="1"/>
  <c r="AL82" i="7" a="1"/>
  <c r="AL82" i="7" s="1"/>
  <c r="AL58" i="7" a="1"/>
  <c r="AL58" i="7" s="1"/>
  <c r="AL78" i="7" a="1"/>
  <c r="AL78" i="7" s="1"/>
  <c r="AL38" i="7" a="1"/>
  <c r="AL38" i="7" s="1"/>
  <c r="AL68" i="7" a="1"/>
  <c r="AL68" i="7" s="1"/>
  <c r="AL42" i="7" a="1"/>
  <c r="AL42" i="7" s="1"/>
  <c r="AL70" i="7" a="1"/>
  <c r="AL70" i="7" s="1"/>
  <c r="AL94" i="7" a="1"/>
  <c r="AL94" i="7" s="1"/>
  <c r="AM4" i="7"/>
  <c r="T4" i="2" l="1" a="1"/>
  <c r="T4" i="2" s="1"/>
  <c r="AM7" i="7" a="1"/>
  <c r="AM7" i="7" s="1"/>
  <c r="AM15" i="7" a="1"/>
  <c r="AM15" i="7" s="1"/>
  <c r="AM53" i="7" a="1"/>
  <c r="AM53" i="7" s="1"/>
  <c r="AM33" i="7" a="1"/>
  <c r="AM33" i="7" s="1"/>
  <c r="AM97" i="7" a="1"/>
  <c r="AM97" i="7" s="1"/>
  <c r="AM24" i="7" a="1"/>
  <c r="AM24" i="7" s="1"/>
  <c r="AM23" i="7" a="1"/>
  <c r="AM23" i="7" s="1"/>
  <c r="AM63" i="7" a="1"/>
  <c r="AM63" i="7" s="1"/>
  <c r="AM19" i="7" a="1"/>
  <c r="AM19" i="7" s="1"/>
  <c r="AM49" i="7" a="1"/>
  <c r="AM49" i="7" s="1"/>
  <c r="AM18" i="7" a="1"/>
  <c r="AM18" i="7" s="1"/>
  <c r="AM65" i="7" a="1"/>
  <c r="AM65" i="7" s="1"/>
  <c r="AM6" i="7" a="1"/>
  <c r="AM6" i="7" s="1"/>
  <c r="AM16" i="7" a="1"/>
  <c r="AM16" i="7" s="1"/>
  <c r="AM79" i="7" a="1"/>
  <c r="AM79" i="7" s="1"/>
  <c r="AM22" i="7" a="1"/>
  <c r="AM22" i="7" s="1"/>
  <c r="AM21" i="7" a="1"/>
  <c r="AM21" i="7" s="1"/>
  <c r="AM99" i="7" a="1"/>
  <c r="AM99" i="7" s="1"/>
  <c r="AM69" i="7" a="1"/>
  <c r="AM69" i="7" s="1"/>
  <c r="AM35" i="7" a="1"/>
  <c r="AM35" i="7" s="1"/>
  <c r="AM39" i="7" a="1"/>
  <c r="AM39" i="7" s="1"/>
  <c r="AM5" i="7" a="1"/>
  <c r="AM5" i="7" s="1"/>
  <c r="AM41" i="7" a="1"/>
  <c r="AM41" i="7" s="1"/>
  <c r="AM67" i="7" a="1"/>
  <c r="AM67" i="7" s="1"/>
  <c r="AM37" i="7" a="1"/>
  <c r="AM37" i="7" s="1"/>
  <c r="AM55" i="7" a="1"/>
  <c r="AM55" i="7" s="1"/>
  <c r="AM51" i="7" a="1"/>
  <c r="AM51" i="7" s="1"/>
  <c r="AM83" i="7" a="1"/>
  <c r="AM83" i="7" s="1"/>
  <c r="AM71" i="7" a="1"/>
  <c r="AM71" i="7" s="1"/>
  <c r="AM17" i="7" a="1"/>
  <c r="AM17" i="7" s="1"/>
  <c r="AM9" i="7" a="1"/>
  <c r="AM9" i="7" s="1"/>
  <c r="AM20" i="7" a="1"/>
  <c r="AM20" i="7" s="1"/>
  <c r="AM85" i="7" a="1"/>
  <c r="AM85" i="7" s="1"/>
  <c r="AM8" i="7" a="1"/>
  <c r="AM8" i="7" s="1"/>
  <c r="AM31" i="7" a="1"/>
  <c r="AM31" i="7" s="1"/>
  <c r="AM25" i="7" a="1"/>
  <c r="AM25" i="7" s="1"/>
  <c r="AM73" i="7" a="1"/>
  <c r="AM73" i="7" s="1"/>
  <c r="AM75" i="7" a="1"/>
  <c r="AM75" i="7" s="1"/>
  <c r="AM13" i="7" a="1"/>
  <c r="AM13" i="7" s="1"/>
  <c r="AM30" i="7" a="1"/>
  <c r="AM30" i="7" s="1"/>
  <c r="AM61" i="7" a="1"/>
  <c r="AM61" i="7" s="1"/>
  <c r="AM26" i="7" a="1"/>
  <c r="AM26" i="7" s="1"/>
  <c r="AM57" i="7" a="1"/>
  <c r="AM57" i="7" s="1"/>
  <c r="AM91" i="7" a="1"/>
  <c r="AM91" i="7" s="1"/>
  <c r="AM11" i="7" a="1"/>
  <c r="AM11" i="7" s="1"/>
  <c r="AM81" i="7" a="1"/>
  <c r="AM81" i="7" s="1"/>
  <c r="AM10" i="7" a="1"/>
  <c r="AM10" i="7" s="1"/>
  <c r="AM47" i="7" a="1"/>
  <c r="AM47" i="7" s="1"/>
  <c r="AM45" i="7" a="1"/>
  <c r="AM45" i="7" s="1"/>
  <c r="AM27" i="7" a="1"/>
  <c r="AM27" i="7" s="1"/>
  <c r="AM59" i="7" a="1"/>
  <c r="AM59" i="7" s="1"/>
  <c r="AM54" i="7" a="1"/>
  <c r="AM54" i="7" s="1"/>
  <c r="AM77" i="7" a="1"/>
  <c r="AM77" i="7" s="1"/>
  <c r="AM89" i="7" a="1"/>
  <c r="AM89" i="7" s="1"/>
  <c r="AM93" i="7" a="1"/>
  <c r="AM93" i="7" s="1"/>
  <c r="AM28" i="7" a="1"/>
  <c r="AM28" i="7" s="1"/>
  <c r="AM14" i="7" a="1"/>
  <c r="AM14" i="7" s="1"/>
  <c r="AM95" i="7" a="1"/>
  <c r="AM95" i="7" s="1"/>
  <c r="AM12" i="7" a="1"/>
  <c r="AM12" i="7" s="1"/>
  <c r="AM43" i="7" a="1"/>
  <c r="AM43" i="7" s="1"/>
  <c r="AM29" i="7" a="1"/>
  <c r="AM29" i="7" s="1"/>
  <c r="AM87" i="7" a="1"/>
  <c r="AM87" i="7" s="1"/>
  <c r="AM32" i="7" a="1"/>
  <c r="AM32" i="7" s="1"/>
  <c r="AM52" i="7" a="1"/>
  <c r="AM52" i="7" s="1"/>
  <c r="AM101" i="7" a="1"/>
  <c r="AM101" i="7" s="1"/>
  <c r="AM74" i="7" a="1"/>
  <c r="AM74" i="7" s="1"/>
  <c r="AM44" i="7" a="1"/>
  <c r="AM44" i="7" s="1"/>
  <c r="AM92" i="7" a="1"/>
  <c r="AM92" i="7" s="1"/>
  <c r="AM56" i="7" a="1"/>
  <c r="AM56" i="7" s="1"/>
  <c r="AM62" i="7" a="1"/>
  <c r="AM62" i="7" s="1"/>
  <c r="AM40" i="7" a="1"/>
  <c r="AM40" i="7" s="1"/>
  <c r="AM82" i="7" a="1"/>
  <c r="AM82" i="7" s="1"/>
  <c r="AM90" i="7" a="1"/>
  <c r="AM90" i="7" s="1"/>
  <c r="AM80" i="7" a="1"/>
  <c r="AM80" i="7" s="1"/>
  <c r="AM64" i="7" a="1"/>
  <c r="AM64" i="7" s="1"/>
  <c r="AM96" i="7" a="1"/>
  <c r="AM96" i="7" s="1"/>
  <c r="AM58" i="7" a="1"/>
  <c r="AM58" i="7" s="1"/>
  <c r="AM34" i="7" a="1"/>
  <c r="AM34" i="7" s="1"/>
  <c r="AM66" i="7" a="1"/>
  <c r="AM66" i="7" s="1"/>
  <c r="AM76" i="7" a="1"/>
  <c r="AM76" i="7" s="1"/>
  <c r="AM46" i="7" a="1"/>
  <c r="AM46" i="7" s="1"/>
  <c r="AM72" i="7" a="1"/>
  <c r="AM72" i="7" s="1"/>
  <c r="AM36" i="7" a="1"/>
  <c r="AM36" i="7" s="1"/>
  <c r="AM98" i="7" a="1"/>
  <c r="AM98" i="7" s="1"/>
  <c r="AM86" i="7" a="1"/>
  <c r="AM86" i="7" s="1"/>
  <c r="AM60" i="7" a="1"/>
  <c r="AM60" i="7" s="1"/>
  <c r="AM50" i="7" a="1"/>
  <c r="AM50" i="7" s="1"/>
  <c r="AM48" i="7" a="1"/>
  <c r="AM48" i="7" s="1"/>
  <c r="AM100" i="7" a="1"/>
  <c r="AM100" i="7" s="1"/>
  <c r="AM84" i="7" a="1"/>
  <c r="AM84" i="7" s="1"/>
  <c r="AM38" i="7" a="1"/>
  <c r="AM38" i="7" s="1"/>
  <c r="AM70" i="7" a="1"/>
  <c r="AM70" i="7" s="1"/>
  <c r="AM88" i="7" a="1"/>
  <c r="AM88" i="7" s="1"/>
  <c r="AM42" i="7" a="1"/>
  <c r="AM42" i="7" s="1"/>
  <c r="AM94" i="7" a="1"/>
  <c r="AM94" i="7" s="1"/>
  <c r="AM102" i="7" a="1"/>
  <c r="AM102" i="7" s="1"/>
  <c r="AM78" i="7" a="1"/>
  <c r="AM78" i="7" s="1"/>
  <c r="AM68" i="7" a="1"/>
  <c r="AM68" i="7" s="1"/>
  <c r="AN4" i="7"/>
  <c r="AO4" i="7" s="1"/>
  <c r="AP4" i="7" l="1"/>
  <c r="AO7" i="7" a="1"/>
  <c r="AO7" i="7" s="1"/>
  <c r="AO8" i="7" a="1"/>
  <c r="AO8" i="7" s="1"/>
  <c r="AO26" i="7" a="1"/>
  <c r="AO26" i="7" s="1"/>
  <c r="AO27" i="7" a="1"/>
  <c r="AO27" i="7" s="1"/>
  <c r="AO33" i="7" a="1"/>
  <c r="AO33" i="7" s="1"/>
  <c r="AO13" i="7" a="1"/>
  <c r="AO13" i="7" s="1"/>
  <c r="AO19" i="7" a="1"/>
  <c r="AO19" i="7" s="1"/>
  <c r="AO21" i="7" a="1"/>
  <c r="AO21" i="7" s="1"/>
  <c r="AO22" i="7" a="1"/>
  <c r="AO22" i="7" s="1"/>
  <c r="AO14" i="7" a="1"/>
  <c r="AO14" i="7" s="1"/>
  <c r="AO20" i="7" a="1"/>
  <c r="AO20" i="7" s="1"/>
  <c r="AO38" i="7" a="1"/>
  <c r="AO38" i="7" s="1"/>
  <c r="AO30" i="7" a="1"/>
  <c r="AO30" i="7" s="1"/>
  <c r="AO37" i="7" a="1"/>
  <c r="AO37" i="7" s="1"/>
  <c r="AO29" i="7" a="1"/>
  <c r="AO29" i="7" s="1"/>
  <c r="AO35" i="7" a="1"/>
  <c r="AO35" i="7" s="1"/>
  <c r="AO24" i="7" a="1"/>
  <c r="AO24" i="7" s="1"/>
  <c r="AO16" i="7" a="1"/>
  <c r="AO16" i="7" s="1"/>
  <c r="AO42" i="7" a="1"/>
  <c r="AO42" i="7" s="1"/>
  <c r="AO18" i="7" a="1"/>
  <c r="AO18" i="7" s="1"/>
  <c r="AO34" i="7" a="1"/>
  <c r="AO34" i="7" s="1"/>
  <c r="AO36" i="7" a="1"/>
  <c r="AO36" i="7" s="1"/>
  <c r="AO23" i="7" a="1"/>
  <c r="AO23" i="7" s="1"/>
  <c r="AO15" i="7" a="1"/>
  <c r="AO15" i="7" s="1"/>
  <c r="AO41" i="7" a="1"/>
  <c r="AO41" i="7" s="1"/>
  <c r="AO5" i="7" a="1"/>
  <c r="AO5" i="7" s="1"/>
  <c r="AO40" i="7" a="1"/>
  <c r="AO40" i="7" s="1"/>
  <c r="AO32" i="7" a="1"/>
  <c r="AO32" i="7" s="1"/>
  <c r="AO6" i="7" a="1"/>
  <c r="AO6" i="7" s="1"/>
  <c r="AO39" i="7" a="1"/>
  <c r="AO39" i="7" s="1"/>
  <c r="AO31" i="7" a="1"/>
  <c r="AO31" i="7" s="1"/>
  <c r="AO10" i="7" a="1"/>
  <c r="AO10" i="7" s="1"/>
  <c r="AO9" i="7" a="1"/>
  <c r="AO9" i="7" s="1"/>
  <c r="AO12" i="7" a="1"/>
  <c r="AO12" i="7" s="1"/>
  <c r="AO17" i="7" a="1"/>
  <c r="AO17" i="7" s="1"/>
  <c r="AO11" i="7" a="1"/>
  <c r="AO11" i="7" s="1"/>
  <c r="AO25" i="7" a="1"/>
  <c r="AO25" i="7" s="1"/>
  <c r="AO28" i="7" a="1"/>
  <c r="AO28" i="7" s="1"/>
  <c r="AN7" i="7" a="1"/>
  <c r="AN7" i="7" s="1"/>
  <c r="R5" i="2" s="1" a="1"/>
  <c r="R5" i="2" s="1"/>
  <c r="AN16" i="7" a="1"/>
  <c r="AN16" i="7" s="1"/>
  <c r="AN15" i="7" a="1"/>
  <c r="AN15" i="7" s="1"/>
  <c r="AN65" i="7" a="1"/>
  <c r="AN65" i="7" s="1"/>
  <c r="AN81" i="7" a="1"/>
  <c r="AN81" i="7" s="1"/>
  <c r="AN17" i="7" a="1"/>
  <c r="AN17" i="7" s="1"/>
  <c r="AN20" i="7" a="1"/>
  <c r="AN20" i="7" s="1"/>
  <c r="AN83" i="7" a="1"/>
  <c r="AN83" i="7" s="1"/>
  <c r="AN35" i="7" a="1"/>
  <c r="AN35" i="7" s="1"/>
  <c r="AN37" i="7" a="1"/>
  <c r="AN37" i="7" s="1"/>
  <c r="AN5" i="7" a="1"/>
  <c r="AN5" i="7" s="1"/>
  <c r="AN87" i="7" a="1"/>
  <c r="AN87" i="7" s="1"/>
  <c r="AN31" i="7" a="1"/>
  <c r="AN31" i="7" s="1"/>
  <c r="AN6" i="7" a="1"/>
  <c r="AN6" i="7" s="1"/>
  <c r="R4" i="2" s="1" a="1"/>
  <c r="R4" i="2" s="1"/>
  <c r="AN8" i="7" a="1"/>
  <c r="AN8" i="7" s="1"/>
  <c r="R6" i="2" s="1" a="1"/>
  <c r="R6" i="2" s="1"/>
  <c r="AN19" i="7" a="1"/>
  <c r="AN19" i="7" s="1"/>
  <c r="AN79" i="7" a="1"/>
  <c r="AN79" i="7" s="1"/>
  <c r="AN21" i="7" a="1"/>
  <c r="AN21" i="7" s="1"/>
  <c r="AN22" i="7" a="1"/>
  <c r="AN22" i="7" s="1"/>
  <c r="R20" i="2" s="1" a="1"/>
  <c r="R20" i="2" s="1"/>
  <c r="AN85" i="7" a="1"/>
  <c r="AN85" i="7" s="1"/>
  <c r="AN101" i="7" a="1"/>
  <c r="AN101" i="7" s="1"/>
  <c r="AN49" i="7" a="1"/>
  <c r="AN49" i="7" s="1"/>
  <c r="R47" i="2" s="1" a="1"/>
  <c r="R47" i="2" s="1"/>
  <c r="AN25" i="7" a="1"/>
  <c r="AN25" i="7" s="1"/>
  <c r="AN99" i="7" a="1"/>
  <c r="AN99" i="7" s="1"/>
  <c r="AN69" i="7" a="1"/>
  <c r="AN69" i="7" s="1"/>
  <c r="AN23" i="7" a="1"/>
  <c r="AN23" i="7" s="1"/>
  <c r="R21" i="2" s="1" a="1"/>
  <c r="R21" i="2" s="1"/>
  <c r="AN9" i="7" a="1"/>
  <c r="AN9" i="7" s="1"/>
  <c r="R7" i="2" s="1" a="1"/>
  <c r="R7" i="2" s="1"/>
  <c r="AN63" i="7" a="1"/>
  <c r="AN63" i="7" s="1"/>
  <c r="AN39" i="7" a="1"/>
  <c r="AN39" i="7" s="1"/>
  <c r="AN53" i="7" a="1"/>
  <c r="AN53" i="7" s="1"/>
  <c r="AN67" i="7" a="1"/>
  <c r="AN67" i="7" s="1"/>
  <c r="AN33" i="7" a="1"/>
  <c r="AN33" i="7" s="1"/>
  <c r="AN32" i="7" a="1"/>
  <c r="AN32" i="7" s="1"/>
  <c r="AN24" i="7" a="1"/>
  <c r="AN24" i="7" s="1"/>
  <c r="AN71" i="7" a="1"/>
  <c r="AN71" i="7" s="1"/>
  <c r="AN41" i="7" a="1"/>
  <c r="AN41" i="7" s="1"/>
  <c r="AN89" i="7" a="1"/>
  <c r="AN89" i="7" s="1"/>
  <c r="AN95" i="7" a="1"/>
  <c r="AN95" i="7" s="1"/>
  <c r="AN97" i="7" a="1"/>
  <c r="AN97" i="7" s="1"/>
  <c r="AN26" i="7" a="1"/>
  <c r="AN26" i="7" s="1"/>
  <c r="AN47" i="7" a="1"/>
  <c r="AN47" i="7" s="1"/>
  <c r="AN11" i="7" a="1"/>
  <c r="AN11" i="7" s="1"/>
  <c r="R9" i="2" s="1" a="1"/>
  <c r="R9" i="2" s="1"/>
  <c r="AN77" i="7" a="1"/>
  <c r="AN77" i="7" s="1"/>
  <c r="AN73" i="7" a="1"/>
  <c r="AN73" i="7" s="1"/>
  <c r="AN13" i="7" a="1"/>
  <c r="AN13" i="7" s="1"/>
  <c r="AN29" i="7" a="1"/>
  <c r="AN29" i="7" s="1"/>
  <c r="AN45" i="7" a="1"/>
  <c r="AN45" i="7" s="1"/>
  <c r="AN51" i="7" a="1"/>
  <c r="AN51" i="7" s="1"/>
  <c r="AN55" i="7" a="1"/>
  <c r="AN55" i="7" s="1"/>
  <c r="AN59" i="7" a="1"/>
  <c r="AN59" i="7" s="1"/>
  <c r="AN75" i="7" a="1"/>
  <c r="AN75" i="7" s="1"/>
  <c r="AN61" i="7" a="1"/>
  <c r="AN61" i="7" s="1"/>
  <c r="AN14" i="7" a="1"/>
  <c r="AN14" i="7" s="1"/>
  <c r="AN43" i="7" a="1"/>
  <c r="AN43" i="7" s="1"/>
  <c r="AN18" i="7" a="1"/>
  <c r="AN18" i="7" s="1"/>
  <c r="AN30" i="7" a="1"/>
  <c r="AN30" i="7" s="1"/>
  <c r="AN54" i="7" a="1"/>
  <c r="AN54" i="7" s="1"/>
  <c r="AN28" i="7" a="1"/>
  <c r="AN28" i="7" s="1"/>
  <c r="R26" i="2" s="1" a="1"/>
  <c r="R26" i="2" s="1"/>
  <c r="AN10" i="7" a="1"/>
  <c r="AN10" i="7" s="1"/>
  <c r="R8" i="2" s="1" a="1"/>
  <c r="R8" i="2" s="1"/>
  <c r="AN57" i="7" a="1"/>
  <c r="AN57" i="7" s="1"/>
  <c r="AN91" i="7" a="1"/>
  <c r="AN91" i="7" s="1"/>
  <c r="AN12" i="7" a="1"/>
  <c r="AN12" i="7" s="1"/>
  <c r="R10" i="2" s="1" a="1"/>
  <c r="R10" i="2" s="1"/>
  <c r="AN93" i="7" a="1"/>
  <c r="AN93" i="7" s="1"/>
  <c r="AN52" i="7" a="1"/>
  <c r="AN52" i="7" s="1"/>
  <c r="AN27" i="7" a="1"/>
  <c r="AN27" i="7" s="1"/>
  <c r="AN50" i="7" a="1"/>
  <c r="AN50" i="7" s="1"/>
  <c r="AN76" i="7" a="1"/>
  <c r="AN76" i="7" s="1"/>
  <c r="AN38" i="7" a="1"/>
  <c r="AN38" i="7" s="1"/>
  <c r="AN70" i="7" a="1"/>
  <c r="AN70" i="7" s="1"/>
  <c r="AN46" i="7" a="1"/>
  <c r="AN46" i="7" s="1"/>
  <c r="AN102" i="7" a="1"/>
  <c r="AN102" i="7" s="1"/>
  <c r="AN72" i="7" a="1"/>
  <c r="AN72" i="7" s="1"/>
  <c r="AN86" i="7" a="1"/>
  <c r="AN86" i="7" s="1"/>
  <c r="AN60" i="7" a="1"/>
  <c r="AN60" i="7" s="1"/>
  <c r="AN98" i="7" a="1"/>
  <c r="AN98" i="7" s="1"/>
  <c r="AN34" i="7" a="1"/>
  <c r="AN34" i="7" s="1"/>
  <c r="AN80" i="7" a="1"/>
  <c r="AN80" i="7" s="1"/>
  <c r="AN36" i="7" a="1"/>
  <c r="AN36" i="7" s="1"/>
  <c r="AN88" i="7" a="1"/>
  <c r="AN88" i="7" s="1"/>
  <c r="AN48" i="7" a="1"/>
  <c r="AN48" i="7" s="1"/>
  <c r="R46" i="2" s="1" a="1"/>
  <c r="R46" i="2" s="1"/>
  <c r="AN100" i="7" a="1"/>
  <c r="AN100" i="7" s="1"/>
  <c r="AN74" i="7" a="1"/>
  <c r="AN74" i="7" s="1"/>
  <c r="AN84" i="7" a="1"/>
  <c r="AN84" i="7" s="1"/>
  <c r="AN66" i="7" a="1"/>
  <c r="AN66" i="7" s="1"/>
  <c r="AN92" i="7" a="1"/>
  <c r="AN92" i="7" s="1"/>
  <c r="AN56" i="7" a="1"/>
  <c r="AN56" i="7" s="1"/>
  <c r="AN62" i="7" a="1"/>
  <c r="AN62" i="7" s="1"/>
  <c r="AN40" i="7" a="1"/>
  <c r="AN40" i="7" s="1"/>
  <c r="AN58" i="7" a="1"/>
  <c r="AN58" i="7" s="1"/>
  <c r="AN68" i="7" a="1"/>
  <c r="AN68" i="7" s="1"/>
  <c r="AN44" i="7" a="1"/>
  <c r="AN44" i="7" s="1"/>
  <c r="AN64" i="7" a="1"/>
  <c r="AN64" i="7" s="1"/>
  <c r="AN78" i="7" a="1"/>
  <c r="AN78" i="7" s="1"/>
  <c r="AN94" i="7" a="1"/>
  <c r="AN94" i="7" s="1"/>
  <c r="AN90" i="7" a="1"/>
  <c r="AN90" i="7" s="1"/>
  <c r="AN82" i="7" a="1"/>
  <c r="AN82" i="7" s="1"/>
  <c r="AN42" i="7" a="1"/>
  <c r="AN42" i="7" s="1"/>
  <c r="AN96" i="7" a="1"/>
  <c r="AN96" i="7" s="1"/>
  <c r="AQ4" i="7" l="1"/>
  <c r="AP7" i="7" a="1"/>
  <c r="AP7" i="7" s="1"/>
  <c r="AP10" i="7" a="1"/>
  <c r="AP10" i="7" s="1"/>
  <c r="AP12" i="7" a="1"/>
  <c r="AP12" i="7" s="1"/>
  <c r="AP18" i="7" a="1"/>
  <c r="AP18" i="7" s="1"/>
  <c r="AP26" i="7" a="1"/>
  <c r="AP26" i="7" s="1"/>
  <c r="AP33" i="7" a="1"/>
  <c r="AP33" i="7" s="1"/>
  <c r="AP27" i="7" a="1"/>
  <c r="AP27" i="7" s="1"/>
  <c r="AP25" i="7" a="1"/>
  <c r="AP25" i="7" s="1"/>
  <c r="AP28" i="7" a="1"/>
  <c r="AP28" i="7" s="1"/>
  <c r="AP34" i="7" a="1"/>
  <c r="AP34" i="7" s="1"/>
  <c r="AP21" i="7" a="1"/>
  <c r="AP21" i="7" s="1"/>
  <c r="AP19" i="7" a="1"/>
  <c r="AP19" i="7" s="1"/>
  <c r="AP22" i="7" a="1"/>
  <c r="AP22" i="7" s="1"/>
  <c r="AP14" i="7" a="1"/>
  <c r="AP14" i="7" s="1"/>
  <c r="AP20" i="7" a="1"/>
  <c r="AP20" i="7" s="1"/>
  <c r="AP9" i="7" a="1"/>
  <c r="AP9" i="7" s="1"/>
  <c r="AP8" i="7" a="1"/>
  <c r="AP8" i="7" s="1"/>
  <c r="AP37" i="7" a="1"/>
  <c r="AP37" i="7" s="1"/>
  <c r="AP30" i="7" a="1"/>
  <c r="AP30" i="7" s="1"/>
  <c r="AP35" i="7" a="1"/>
  <c r="AP35" i="7" s="1"/>
  <c r="AP13" i="7" a="1"/>
  <c r="AP13" i="7" s="1"/>
  <c r="AP38" i="7" a="1"/>
  <c r="AP38" i="7" s="1"/>
  <c r="AP29" i="7" a="1"/>
  <c r="AP29" i="7" s="1"/>
  <c r="AP36" i="7" a="1"/>
  <c r="AP36" i="7" s="1"/>
  <c r="AP24" i="7" a="1"/>
  <c r="AP24" i="7" s="1"/>
  <c r="AP16" i="7" a="1"/>
  <c r="AP16" i="7" s="1"/>
  <c r="AP41" i="7" a="1"/>
  <c r="AP41" i="7" s="1"/>
  <c r="AP23" i="7" a="1"/>
  <c r="AP23" i="7" s="1"/>
  <c r="AP15" i="7" a="1"/>
  <c r="AP15" i="7" s="1"/>
  <c r="AP42" i="7" a="1"/>
  <c r="AP42" i="7" s="1"/>
  <c r="AP40" i="7" a="1"/>
  <c r="AP40" i="7" s="1"/>
  <c r="AP5" i="7" a="1"/>
  <c r="AP5" i="7" s="1"/>
  <c r="AP39" i="7" a="1"/>
  <c r="AP39" i="7" s="1"/>
  <c r="AP31" i="7" a="1"/>
  <c r="AP31" i="7" s="1"/>
  <c r="AP6" i="7" a="1"/>
  <c r="AP6" i="7" s="1"/>
  <c r="AP32" i="7" a="1"/>
  <c r="AP32" i="7" s="1"/>
  <c r="AP11" i="7" a="1"/>
  <c r="AP11" i="7" s="1"/>
  <c r="AP17" i="7" a="1"/>
  <c r="AP17" i="7" s="1"/>
  <c r="AR4" i="7" l="1"/>
  <c r="AQ7" i="7" a="1"/>
  <c r="AQ7" i="7" s="1"/>
  <c r="AQ5" i="7" a="1"/>
  <c r="AQ5" i="7" s="1"/>
  <c r="AQ39" i="7" a="1"/>
  <c r="AQ39" i="7" s="1"/>
  <c r="AQ31" i="7" a="1"/>
  <c r="AQ31" i="7" s="1"/>
  <c r="AQ9" i="7" a="1"/>
  <c r="AQ9" i="7" s="1"/>
  <c r="AQ12" i="7" a="1"/>
  <c r="AQ12" i="7" s="1"/>
  <c r="AQ18" i="7" a="1"/>
  <c r="AQ18" i="7" s="1"/>
  <c r="AQ10" i="7" a="1"/>
  <c r="AQ10" i="7" s="1"/>
  <c r="AQ11" i="7" a="1"/>
  <c r="AQ11" i="7" s="1"/>
  <c r="AQ17" i="7" a="1"/>
  <c r="AQ17" i="7" s="1"/>
  <c r="AQ25" i="7" a="1"/>
  <c r="AQ25" i="7" s="1"/>
  <c r="AQ8" i="7" a="1"/>
  <c r="AQ8" i="7" s="1"/>
  <c r="AQ26" i="7" a="1"/>
  <c r="AQ26" i="7" s="1"/>
  <c r="AQ28" i="7" a="1"/>
  <c r="AQ28" i="7" s="1"/>
  <c r="AQ33" i="7" a="1"/>
  <c r="AQ33" i="7" s="1"/>
  <c r="AQ40" i="7" a="1"/>
  <c r="AQ40" i="7" s="1"/>
  <c r="AQ32" i="7" a="1"/>
  <c r="AQ32" i="7" s="1"/>
  <c r="AQ21" i="7" a="1"/>
  <c r="AQ21" i="7" s="1"/>
  <c r="AQ13" i="7" a="1"/>
  <c r="AQ13" i="7" s="1"/>
  <c r="AQ19" i="7" a="1"/>
  <c r="AQ19" i="7" s="1"/>
  <c r="AQ22" i="7" a="1"/>
  <c r="AQ22" i="7" s="1"/>
  <c r="AQ14" i="7" a="1"/>
  <c r="AQ14" i="7" s="1"/>
  <c r="AQ20" i="7" a="1"/>
  <c r="AQ20" i="7" s="1"/>
  <c r="AQ6" i="7" a="1"/>
  <c r="AQ6" i="7" s="1"/>
  <c r="AQ27" i="7" a="1"/>
  <c r="AQ27" i="7" s="1"/>
  <c r="AQ34" i="7" a="1"/>
  <c r="AQ34" i="7" s="1"/>
  <c r="AQ38" i="7" a="1"/>
  <c r="AQ38" i="7" s="1"/>
  <c r="AQ30" i="7" a="1"/>
  <c r="AQ30" i="7" s="1"/>
  <c r="AQ35" i="7" a="1"/>
  <c r="AQ35" i="7" s="1"/>
  <c r="AQ24" i="7" a="1"/>
  <c r="AQ24" i="7" s="1"/>
  <c r="AQ16" i="7" a="1"/>
  <c r="AQ16" i="7" s="1"/>
  <c r="AQ41" i="7" a="1"/>
  <c r="AQ41" i="7" s="1"/>
  <c r="AQ37" i="7" a="1"/>
  <c r="AQ37" i="7" s="1"/>
  <c r="AQ29" i="7" a="1"/>
  <c r="AQ29" i="7" s="1"/>
  <c r="AQ36" i="7" a="1"/>
  <c r="AQ36" i="7" s="1"/>
  <c r="AQ23" i="7" a="1"/>
  <c r="AQ23" i="7" s="1"/>
  <c r="AQ15" i="7" a="1"/>
  <c r="AQ15" i="7" s="1"/>
  <c r="AQ42" i="7" a="1"/>
  <c r="AQ42" i="7" s="1"/>
  <c r="AS4" i="7" l="1"/>
  <c r="AR7" i="7" a="1"/>
  <c r="AR7" i="7" s="1"/>
  <c r="AR23" i="7" a="1"/>
  <c r="AR23" i="7" s="1"/>
  <c r="AR16" i="7" a="1"/>
  <c r="AR16" i="7" s="1"/>
  <c r="AR42" i="7" a="1"/>
  <c r="AR42" i="7" s="1"/>
  <c r="AR5" i="7" a="1"/>
  <c r="AR5" i="7" s="1"/>
  <c r="AR39" i="7" a="1"/>
  <c r="AR39" i="7" s="1"/>
  <c r="AR31" i="7" a="1"/>
  <c r="AR31" i="7" s="1"/>
  <c r="AR17" i="7" a="1"/>
  <c r="AR17" i="7" s="1"/>
  <c r="AR6" i="7" a="1"/>
  <c r="AR6" i="7" s="1"/>
  <c r="AR40" i="7" a="1"/>
  <c r="AR40" i="7" s="1"/>
  <c r="AR32" i="7" a="1"/>
  <c r="AR32" i="7" s="1"/>
  <c r="AR8" i="7" a="1"/>
  <c r="AR8" i="7" s="1"/>
  <c r="AR10" i="7" a="1"/>
  <c r="AR10" i="7" s="1"/>
  <c r="AR9" i="7" a="1"/>
  <c r="AR9" i="7" s="1"/>
  <c r="AR11" i="7" a="1"/>
  <c r="AR11" i="7" s="1"/>
  <c r="AR18" i="7" a="1"/>
  <c r="AR18" i="7" s="1"/>
  <c r="AR25" i="7" a="1"/>
  <c r="AR25" i="7" s="1"/>
  <c r="AR28" i="7" a="1"/>
  <c r="AR28" i="7" s="1"/>
  <c r="AR33" i="7" a="1"/>
  <c r="AR33" i="7" s="1"/>
  <c r="AR26" i="7" a="1"/>
  <c r="AR26" i="7" s="1"/>
  <c r="AR27" i="7" a="1"/>
  <c r="AR27" i="7" s="1"/>
  <c r="AR34" i="7" a="1"/>
  <c r="AR34" i="7" s="1"/>
  <c r="AR24" i="7" a="1"/>
  <c r="AR24" i="7" s="1"/>
  <c r="AR22" i="7" a="1"/>
  <c r="AR22" i="7" s="1"/>
  <c r="AR13" i="7" a="1"/>
  <c r="AR13" i="7" s="1"/>
  <c r="AR19" i="7" a="1"/>
  <c r="AR19" i="7" s="1"/>
  <c r="AR41" i="7" a="1"/>
  <c r="AR41" i="7" s="1"/>
  <c r="AR21" i="7" a="1"/>
  <c r="AR21" i="7" s="1"/>
  <c r="AR14" i="7" a="1"/>
  <c r="AR14" i="7" s="1"/>
  <c r="AR20" i="7" a="1"/>
  <c r="AR20" i="7" s="1"/>
  <c r="AR30" i="7" a="1"/>
  <c r="AR30" i="7" s="1"/>
  <c r="AR15" i="7" a="1"/>
  <c r="AR15" i="7" s="1"/>
  <c r="AR38" i="7" a="1"/>
  <c r="AR38" i="7" s="1"/>
  <c r="AR29" i="7" a="1"/>
  <c r="AR29" i="7" s="1"/>
  <c r="AR35" i="7" a="1"/>
  <c r="AR35" i="7" s="1"/>
  <c r="AR37" i="7" a="1"/>
  <c r="AR37" i="7" s="1"/>
  <c r="AR36" i="7" a="1"/>
  <c r="AR36" i="7" s="1"/>
  <c r="AR12" i="7" a="1"/>
  <c r="AR12" i="7" s="1"/>
  <c r="AT4" i="7" l="1"/>
  <c r="AS7" i="7" a="1"/>
  <c r="AS7" i="7" s="1"/>
  <c r="AS37" i="7" a="1"/>
  <c r="AS37" i="7" s="1"/>
  <c r="AS29" i="7" a="1"/>
  <c r="AS29" i="7" s="1"/>
  <c r="AS35" i="7" a="1"/>
  <c r="AS35" i="7" s="1"/>
  <c r="AS42" i="7" a="1"/>
  <c r="AS42" i="7" s="1"/>
  <c r="AS24" i="7" a="1"/>
  <c r="AS24" i="7" s="1"/>
  <c r="AS15" i="7" a="1"/>
  <c r="AS15" i="7" s="1"/>
  <c r="AS8" i="7" a="1"/>
  <c r="AS8" i="7" s="1"/>
  <c r="AS23" i="7" a="1"/>
  <c r="AS23" i="7" s="1"/>
  <c r="AS16" i="7" a="1"/>
  <c r="AS16" i="7" s="1"/>
  <c r="AS41" i="7" a="1"/>
  <c r="AS41" i="7" s="1"/>
  <c r="AS6" i="7" a="1"/>
  <c r="AS6" i="7" s="1"/>
  <c r="AS40" i="7" a="1"/>
  <c r="AS40" i="7" s="1"/>
  <c r="AS5" i="7" a="1"/>
  <c r="AS5" i="7" s="1"/>
  <c r="AS39" i="7" a="1"/>
  <c r="AS39" i="7" s="1"/>
  <c r="AS31" i="7" a="1"/>
  <c r="AS31" i="7" s="1"/>
  <c r="AS9" i="7" a="1"/>
  <c r="AS9" i="7" s="1"/>
  <c r="AS11" i="7" a="1"/>
  <c r="AS11" i="7" s="1"/>
  <c r="AS17" i="7" a="1"/>
  <c r="AS17" i="7" s="1"/>
  <c r="AS38" i="7" a="1"/>
  <c r="AS38" i="7" s="1"/>
  <c r="AS10" i="7" a="1"/>
  <c r="AS10" i="7" s="1"/>
  <c r="AS12" i="7" a="1"/>
  <c r="AS12" i="7" s="1"/>
  <c r="AS18" i="7" a="1"/>
  <c r="AS18" i="7" s="1"/>
  <c r="AS26" i="7" a="1"/>
  <c r="AS26" i="7" s="1"/>
  <c r="AS27" i="7" a="1"/>
  <c r="AS27" i="7" s="1"/>
  <c r="AS33" i="7" a="1"/>
  <c r="AS33" i="7" s="1"/>
  <c r="AS13" i="7" a="1"/>
  <c r="AS13" i="7" s="1"/>
  <c r="AS19" i="7" a="1"/>
  <c r="AS19" i="7" s="1"/>
  <c r="AS30" i="7" a="1"/>
  <c r="AS30" i="7" s="1"/>
  <c r="AS25" i="7" a="1"/>
  <c r="AS25" i="7" s="1"/>
  <c r="AS28" i="7" a="1"/>
  <c r="AS28" i="7" s="1"/>
  <c r="AS34" i="7" a="1"/>
  <c r="AS34" i="7" s="1"/>
  <c r="AS21" i="7" a="1"/>
  <c r="AS21" i="7" s="1"/>
  <c r="AS32" i="7" a="1"/>
  <c r="AS32" i="7" s="1"/>
  <c r="AS22" i="7" a="1"/>
  <c r="AS22" i="7" s="1"/>
  <c r="AS14" i="7" a="1"/>
  <c r="AS14" i="7" s="1"/>
  <c r="AS20" i="7" a="1"/>
  <c r="AS20" i="7" s="1"/>
  <c r="AS36" i="7" a="1"/>
  <c r="AS36" i="7" s="1"/>
  <c r="AU4" i="7" l="1"/>
  <c r="AT7" i="7" a="1"/>
  <c r="AT7" i="7" s="1"/>
  <c r="AT21" i="7" a="1"/>
  <c r="AT21" i="7" s="1"/>
  <c r="AT13" i="7" a="1"/>
  <c r="AT13" i="7" s="1"/>
  <c r="AT19" i="7" a="1"/>
  <c r="AT19" i="7" s="1"/>
  <c r="AT29" i="7" a="1"/>
  <c r="AT29" i="7" s="1"/>
  <c r="AT35" i="7" a="1"/>
  <c r="AT35" i="7" s="1"/>
  <c r="AT8" i="7" a="1"/>
  <c r="AT8" i="7" s="1"/>
  <c r="AT37" i="7" a="1"/>
  <c r="AT37" i="7" s="1"/>
  <c r="AT38" i="7" a="1"/>
  <c r="AT38" i="7" s="1"/>
  <c r="AT30" i="7" a="1"/>
  <c r="AT30" i="7" s="1"/>
  <c r="AT36" i="7" a="1"/>
  <c r="AT36" i="7" s="1"/>
  <c r="AT24" i="7" a="1"/>
  <c r="AT24" i="7" s="1"/>
  <c r="AT23" i="7" a="1"/>
  <c r="AT23" i="7" s="1"/>
  <c r="AT16" i="7" a="1"/>
  <c r="AT16" i="7" s="1"/>
  <c r="AT41" i="7" a="1"/>
  <c r="AT41" i="7" s="1"/>
  <c r="AT25" i="7" a="1"/>
  <c r="AT25" i="7" s="1"/>
  <c r="AT6" i="7" a="1"/>
  <c r="AT6" i="7" s="1"/>
  <c r="AT39" i="7" a="1"/>
  <c r="AT39" i="7" s="1"/>
  <c r="AT32" i="7" a="1"/>
  <c r="AT32" i="7" s="1"/>
  <c r="AT5" i="7" a="1"/>
  <c r="AT5" i="7" s="1"/>
  <c r="AT40" i="7" a="1"/>
  <c r="AT40" i="7" s="1"/>
  <c r="AT31" i="7" a="1"/>
  <c r="AT31" i="7" s="1"/>
  <c r="AT14" i="7" a="1"/>
  <c r="AT14" i="7" s="1"/>
  <c r="AT42" i="7" a="1"/>
  <c r="AT42" i="7" s="1"/>
  <c r="AT9" i="7" a="1"/>
  <c r="AT9" i="7" s="1"/>
  <c r="AT12" i="7" a="1"/>
  <c r="AT12" i="7" s="1"/>
  <c r="AT18" i="7" a="1"/>
  <c r="AT18" i="7" s="1"/>
  <c r="AT22" i="7" a="1"/>
  <c r="AT22" i="7" s="1"/>
  <c r="AT10" i="7" a="1"/>
  <c r="AT10" i="7" s="1"/>
  <c r="AT11" i="7" a="1"/>
  <c r="AT11" i="7" s="1"/>
  <c r="AT17" i="7" a="1"/>
  <c r="AT17" i="7" s="1"/>
  <c r="AT34" i="7" a="1"/>
  <c r="AT34" i="7" s="1"/>
  <c r="AT20" i="7" a="1"/>
  <c r="AT20" i="7" s="1"/>
  <c r="AT26" i="7" a="1"/>
  <c r="AT26" i="7" s="1"/>
  <c r="AT27" i="7" a="1"/>
  <c r="AT27" i="7" s="1"/>
  <c r="AT33" i="7" a="1"/>
  <c r="AT33" i="7" s="1"/>
  <c r="AT28" i="7" a="1"/>
  <c r="AT28" i="7" s="1"/>
  <c r="AT15" i="7" a="1"/>
  <c r="AT15" i="7" s="1"/>
  <c r="AU7" i="7" l="1" a="1"/>
  <c r="AU7" i="7" s="1"/>
  <c r="AU25" i="7" a="1"/>
  <c r="AU25" i="7" s="1"/>
  <c r="AU27" i="7" a="1"/>
  <c r="AU27" i="7" s="1"/>
  <c r="AU33" i="7" a="1"/>
  <c r="AU33" i="7" s="1"/>
  <c r="AU19" i="7" a="1"/>
  <c r="AU19" i="7" s="1"/>
  <c r="AU35" i="7" a="1"/>
  <c r="AU35" i="7" s="1"/>
  <c r="AU21" i="7" a="1"/>
  <c r="AU21" i="7" s="1"/>
  <c r="AU13" i="7" a="1"/>
  <c r="AU13" i="7" s="1"/>
  <c r="AU22" i="7" a="1"/>
  <c r="AU22" i="7" s="1"/>
  <c r="AU14" i="7" a="1"/>
  <c r="AU14" i="7" s="1"/>
  <c r="AU20" i="7" a="1"/>
  <c r="AU20" i="7" s="1"/>
  <c r="AU38" i="7" a="1"/>
  <c r="AU38" i="7" s="1"/>
  <c r="AU37" i="7" a="1"/>
  <c r="AU37" i="7" s="1"/>
  <c r="AU29" i="7" a="1"/>
  <c r="AU29" i="7" s="1"/>
  <c r="AU36" i="7" a="1"/>
  <c r="AU36" i="7" s="1"/>
  <c r="AU23" i="7" a="1"/>
  <c r="AU23" i="7" s="1"/>
  <c r="AU16" i="7" a="1"/>
  <c r="AU16" i="7" s="1"/>
  <c r="AU42" i="7" a="1"/>
  <c r="AU42" i="7" s="1"/>
  <c r="AU28" i="7" a="1"/>
  <c r="AU28" i="7" s="1"/>
  <c r="AU8" i="7" a="1"/>
  <c r="AU8" i="7" s="1"/>
  <c r="AU24" i="7" a="1"/>
  <c r="AU24" i="7" s="1"/>
  <c r="AU15" i="7" a="1"/>
  <c r="AU15" i="7" s="1"/>
  <c r="AU41" i="7" a="1"/>
  <c r="AU41" i="7" s="1"/>
  <c r="AU17" i="7" a="1"/>
  <c r="AU17" i="7" s="1"/>
  <c r="AU34" i="7" a="1"/>
  <c r="AU34" i="7" s="1"/>
  <c r="AU6" i="7" a="1"/>
  <c r="AU6" i="7" s="1"/>
  <c r="AU40" i="7" a="1"/>
  <c r="AU40" i="7" s="1"/>
  <c r="AU32" i="7" a="1"/>
  <c r="AU32" i="7" s="1"/>
  <c r="AU10" i="7" a="1"/>
  <c r="AU10" i="7" s="1"/>
  <c r="AU30" i="7" a="1"/>
  <c r="AU30" i="7" s="1"/>
  <c r="AU5" i="7" a="1"/>
  <c r="AU5" i="7" s="1"/>
  <c r="AU39" i="7" a="1"/>
  <c r="AU39" i="7" s="1"/>
  <c r="AU31" i="7" a="1"/>
  <c r="AU31" i="7" s="1"/>
  <c r="AU26" i="7" a="1"/>
  <c r="AU26" i="7" s="1"/>
  <c r="AU9" i="7" a="1"/>
  <c r="AU9" i="7" s="1"/>
  <c r="AU12" i="7" a="1"/>
  <c r="AU12" i="7" s="1"/>
  <c r="AU18" i="7" a="1"/>
  <c r="AU18" i="7" s="1"/>
  <c r="AU11" i="7" a="1"/>
  <c r="AU11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tc={9AA2A393-8833-4BAA-B2DC-8C90B221BE5A}</author>
    <author>tc={1845C391-2A94-40AE-A924-7F1EBC46D039}</author>
    <author>tc={9B1F47CF-8452-448C-A340-329D7BBECEB9}</author>
    <author>tc={15B99221-1E77-4093-93B6-CE0327B231DB}</author>
  </authors>
  <commentList>
    <comment ref="G3" authorId="0" shapeId="0" xr:uid="{9AA2A393-8833-4BAA-B2DC-8C90B221BE5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Indica qué miembro del equipo es responsable de gestionar el trabajo en esta actividad.</t>
      </text>
    </comment>
    <comment ref="J3" authorId="1" shapeId="0" xr:uid="{1845C391-2A94-40AE-A924-7F1EBC46D03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Indica la fecha de inicio planificada para esta actividad.</t>
      </text>
    </comment>
    <comment ref="K3" authorId="2" shapeId="0" xr:uid="{9B1F47CF-8452-448C-A340-329D7BBECEB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Indica la fecha de finalización planificada para esta actividad.</t>
      </text>
    </comment>
    <comment ref="N3" authorId="3" shapeId="0" xr:uid="{15B99221-1E77-4093-93B6-CE0327B231D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Indica el estado en el que se encuentra la actividad de acuerdo con el avance del trabajo en la misma.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D5F1897-5C59-4D46-888E-78EFCFC37946}" keepAlive="1" name="Consulta - cuaderno" description="Conexión a la consulta 'cuaderno' en el libro." type="5" refreshedVersion="8" background="1" saveData="1">
    <dbPr connection="Provider=Microsoft.Mashup.OleDb.1;Data Source=$Workbook$;Location=cuaderno;Extended Properties=&quot;&quot;" command="SELECT * FROM [cuaderno]"/>
  </connection>
  <connection id="2" xr16:uid="{E51B98F0-2AB9-44DF-97F6-1352DCC7BF77}" keepAlive="1" name="Consulta - FechaFin" description="Conexión a la consulta 'FechaFin' en el libro." type="5" refreshedVersion="0" background="1">
    <dbPr connection="Provider=Microsoft.Mashup.OleDb.1;Data Source=$Workbook$;Location=FechaFin;Extended Properties=&quot;&quot;" command="SELECT * FROM [FechaFin]"/>
  </connection>
  <connection id="3" xr16:uid="{351CAFA4-E483-459A-914B-7A225CB3F1EA}" keepAlive="1" name="Consulta - FechaInicio" description="Conexión a la consulta 'FechaInicio' en el libro." type="5" refreshedVersion="0" background="1">
    <dbPr connection="Provider=Microsoft.Mashup.OleDb.1;Data Source=$Workbook$;Location=FechaInicio;Extended Properties=&quot;&quot;" command="SELECT * FROM [FechaInicio]"/>
  </connection>
  <connection id="4" xr16:uid="{880C4550-F2D7-4902-A21B-2CE8F07AF5D4}" keepAlive="1" name="Consulta - Semanas" description="Conexión a la consulta 'Semanas' en el libro." type="5" refreshedVersion="0" background="1">
    <dbPr connection="Provider=Microsoft.Mashup.OleDb.1;Data Source=$Workbook$;Location=Semanas;Extended Properties=&quot;&quot;" command="SELECT * FROM [Semanas]"/>
  </connection>
  <connection id="5" xr16:uid="{D0C2C133-2B66-433A-8F53-7ED30B50491D}" keepAlive="1" interval="1" name="Consulta - Tabla_Registro_Tareas_Agregada" description="Conexión a la consulta 'Tabla_Registro_Tareas_Agregada' en el libro." type="5" refreshedVersion="8" background="1" refreshOnLoad="1" saveData="1">
    <dbPr connection="Provider=Microsoft.Mashup.OleDb.1;Data Source=$Workbook$;Location=Tabla_Registro_Tareas_Agregada;Extended Properties=&quot;&quot;" command="SELECT * FROM [Tabla_Registro_Tareas_Agregada]"/>
  </connection>
  <connection id="6" xr16:uid="{91BB64E3-FF8C-4003-AE8F-710EF6FB0A59}" keepAlive="1" name="Consulta - Tabla_Registro_Tareas1" description="Conexión a la consulta 'Tabla_Registro_Tareas1' en el libro." type="5" refreshedVersion="0" background="1">
    <dbPr connection="Provider=Microsoft.Mashup.OleDb.1;Data Source=$Workbook$;Location=Tabla_Registro_Tareas1;Extended Properties=&quot;&quot;" command="SELECT * FROM [Tabla_Registro_Tareas1]"/>
  </connection>
  <connection id="7" xr16:uid="{A748C0E2-0BAC-4710-AC49-156F3CE54587}" keepAlive="1" name="Consulta - Tabla_Registro_Tareas2" description="Conexión a la consulta 'Tabla_Registro_Tareas2' en el libro." type="5" refreshedVersion="0" background="1">
    <dbPr connection="Provider=Microsoft.Mashup.OleDb.1;Data Source=$Workbook$;Location=Tabla_Registro_Tareas2;Extended Properties=&quot;&quot;" command="SELECT * FROM [Tabla_Registro_Tareas2]"/>
  </connection>
  <connection id="8" xr16:uid="{988974F8-013F-44C7-99B6-182F3779FABB}" keepAlive="1" name="Consulta - Tabla_Registro_Tareas3" description="Conexión a la consulta 'Tabla_Registro_Tareas3' en el libro." type="5" refreshedVersion="0" background="1">
    <dbPr connection="Provider=Microsoft.Mashup.OleDb.1;Data Source=$Workbook$;Location=Tabla_Registro_Tareas3;Extended Properties=&quot;&quot;" command="SELECT * FROM [Tabla_Registro_Tareas3]"/>
  </connection>
  <connection id="9" xr16:uid="{01BEBFC9-2BF3-4C6E-B009-9D3C20DC2449}" keepAlive="1" name="Consulta - Tabla_Registro_Tareas4" description="Conexión a la consulta 'Tabla_Registro_Tareas4' en el libro." type="5" refreshedVersion="0" background="1">
    <dbPr connection="Provider=Microsoft.Mashup.OleDb.1;Data Source=$Workbook$;Location=Tabla_Registro_Tareas4;Extended Properties=&quot;&quot;" command="SELECT * FROM [Tabla_Registro_Tareas4]"/>
  </connection>
  <connection id="10" xr16:uid="{B618CA03-7D77-4711-8DD6-CF4D8C7B5F8E}" keepAlive="1" name="Consulta - Tabla_Registro_Tareas5" description="Conexión a la consulta 'Tabla_Registro_Tareas5' en el libro." type="5" refreshedVersion="0" background="1">
    <dbPr connection="Provider=Microsoft.Mashup.OleDb.1;Data Source=$Workbook$;Location=Tabla_Registro_Tareas5;Extended Properties=&quot;&quot;" command="SELECT * FROM [Tabla_Registro_Tareas5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<sst xmlns="http://schemas.openxmlformats.org/spreadsheetml/2006/main" count="391" uniqueCount="136">
  <si>
    <t>Fecha</t>
  </si>
  <si>
    <r>
      <t>Tiempo</t>
    </r>
    <r>
      <rPr>
        <b/>
        <sz val="9"/>
        <color theme="0"/>
        <rFont val="Aptos Narrow"/>
        <family val="2"/>
        <scheme val="minor"/>
      </rPr>
      <t xml:space="preserve"> </t>
    </r>
    <r>
      <rPr>
        <sz val="9"/>
        <color theme="0"/>
        <rFont val="Aptos Narrow"/>
        <family val="2"/>
        <scheme val="minor"/>
      </rPr>
      <t>(minutos)</t>
    </r>
  </si>
  <si>
    <t>Semana</t>
  </si>
  <si>
    <t>ID</t>
  </si>
  <si>
    <t>Semana #1</t>
  </si>
  <si>
    <t>Semana #2</t>
  </si>
  <si>
    <t>Semana #3</t>
  </si>
  <si>
    <t>Semana #4</t>
  </si>
  <si>
    <t>Semana #5</t>
  </si>
  <si>
    <t>Retrospectiva</t>
  </si>
  <si>
    <t>Learning Points</t>
  </si>
  <si>
    <t>Actividad</t>
  </si>
  <si>
    <t>Inicio semana</t>
  </si>
  <si>
    <t>lunes</t>
  </si>
  <si>
    <t>Tarea realizada</t>
  </si>
  <si>
    <t>Celda vacía</t>
  </si>
  <si>
    <r>
      <t>Esfuerzo</t>
    </r>
    <r>
      <rPr>
        <b/>
        <sz val="11"/>
        <color theme="7" tint="0.79998168889431442"/>
        <rFont val="Aptos Narrow"/>
        <family val="2"/>
        <scheme val="minor"/>
      </rPr>
      <t xml:space="preserve"> (horas)</t>
    </r>
  </si>
  <si>
    <t>Extensión de plazo</t>
  </si>
  <si>
    <t>Equipo</t>
  </si>
  <si>
    <t>Reunión de inicio</t>
  </si>
  <si>
    <t>Evaluación de la actividad del equipo</t>
  </si>
  <si>
    <t>Entrega del incremento</t>
  </si>
  <si>
    <t>Reunión de sincronización #1</t>
  </si>
  <si>
    <t>Reunión de sincronización #2</t>
  </si>
  <si>
    <t>Artefacto</t>
  </si>
  <si>
    <t>Objetivo</t>
  </si>
  <si>
    <t>Funcionalidades</t>
  </si>
  <si>
    <t>Gestión del proyecto</t>
  </si>
  <si>
    <t>Evaluación de la actividad</t>
  </si>
  <si>
    <t>Incremento</t>
  </si>
  <si>
    <t>Otro</t>
  </si>
  <si>
    <t>Fecha límite</t>
  </si>
  <si>
    <t>PLANIFICACIÓN</t>
  </si>
  <si>
    <t>REALIDAD</t>
  </si>
  <si>
    <t>Fecha de inicio Plan</t>
  </si>
  <si>
    <t>Fecha de fin Plan</t>
  </si>
  <si>
    <t>Fecha de fin Real</t>
  </si>
  <si>
    <t>Horas de trabajo</t>
  </si>
  <si>
    <t>Estado</t>
  </si>
  <si>
    <t>Sin iniciar</t>
  </si>
  <si>
    <t>En desarrollo</t>
  </si>
  <si>
    <t>Bloqueada</t>
  </si>
  <si>
    <t>Finalizada</t>
  </si>
  <si>
    <t>×</t>
  </si>
  <si>
    <t>Sin Fecha</t>
  </si>
  <si>
    <t>Responsable</t>
  </si>
  <si>
    <t>Especificación</t>
  </si>
  <si>
    <t>ACTIVIDADES</t>
  </si>
  <si>
    <t>Estudiantes</t>
  </si>
  <si>
    <t>Tipo</t>
  </si>
  <si>
    <t>Subtipo</t>
  </si>
  <si>
    <t>Fecha de inicio Real</t>
  </si>
  <si>
    <t>Consideraciones adicionales</t>
  </si>
  <si>
    <t>Minutos</t>
  </si>
  <si>
    <t>Estudiante</t>
  </si>
  <si>
    <t>Semanas</t>
  </si>
  <si>
    <t>Total</t>
  </si>
  <si>
    <t>Tiempo</t>
  </si>
  <si>
    <t>Tareas</t>
  </si>
  <si>
    <t>TIEMPO POR ESTUDIANTE</t>
  </si>
  <si>
    <t>TAREAS POR ESTUDIANTE</t>
  </si>
  <si>
    <t>TIEMPO POR OBJETIVO</t>
  </si>
  <si>
    <t>TAREAS POR OBJETIVO</t>
  </si>
  <si>
    <t>TIEMPO POR ACTIVIDAD</t>
  </si>
  <si>
    <t>Total general</t>
  </si>
  <si>
    <t>SemanaP</t>
  </si>
  <si>
    <t>SemanaR</t>
  </si>
  <si>
    <t>IDEAL</t>
  </si>
  <si>
    <t>Fecha de inicio Ideal</t>
  </si>
  <si>
    <t>Fecha de fin Ideal</t>
  </si>
  <si>
    <t>SemanaI</t>
  </si>
  <si>
    <t>LPs reales</t>
  </si>
  <si>
    <t>LPs ideales</t>
  </si>
  <si>
    <t>Real</t>
  </si>
  <si>
    <t>LPs planificados</t>
  </si>
  <si>
    <t>Planificado</t>
  </si>
  <si>
    <t>Ideal</t>
  </si>
  <si>
    <t>Paquete de trabajo</t>
  </si>
  <si>
    <t>Paquetes</t>
  </si>
  <si>
    <t>#Estudiantes</t>
  </si>
  <si>
    <t>LPs individuales</t>
  </si>
  <si>
    <t>horas</t>
  </si>
  <si>
    <t>DEDICACIÓN Y PROGRESO DEL TRABAJO EN EL SPRINT</t>
  </si>
  <si>
    <t>Total General</t>
  </si>
  <si>
    <t>Tiempo (minutos)</t>
  </si>
  <si>
    <t>Reuniones no planificadas</t>
  </si>
  <si>
    <t>Proyecto Networking</t>
  </si>
  <si>
    <t>Proyecto</t>
  </si>
  <si>
    <t>Networking</t>
  </si>
  <si>
    <t>Reunión de sincronización #3</t>
  </si>
  <si>
    <t>#1</t>
  </si>
  <si>
    <t>#2</t>
  </si>
  <si>
    <t>#3</t>
  </si>
  <si>
    <t>#4</t>
  </si>
  <si>
    <t>#5</t>
  </si>
  <si>
    <t>MIEMBROS DEL EQUIPO</t>
  </si>
  <si>
    <t>Tarea ficticia</t>
  </si>
  <si>
    <t>Ciclo de vida</t>
  </si>
  <si>
    <t>Ingeniería de datos</t>
  </si>
  <si>
    <t>Diseño físico</t>
  </si>
  <si>
    <t>SQL avanzado</t>
  </si>
  <si>
    <t>Gestión de transacciones</t>
  </si>
  <si>
    <t>Diccionario</t>
  </si>
  <si>
    <t>Procesos programados</t>
  </si>
  <si>
    <t>Integridad avanzada</t>
  </si>
  <si>
    <t>ETL</t>
  </si>
  <si>
    <t>Datos sintéticos</t>
  </si>
  <si>
    <t>Almacenamiento</t>
  </si>
  <si>
    <t>Indexación</t>
  </si>
  <si>
    <t>Tuning</t>
  </si>
  <si>
    <t>Aislamiento</t>
  </si>
  <si>
    <t>Comprensión del pliego técnico</t>
  </si>
  <si>
    <t>Actualizar diccionario</t>
  </si>
  <si>
    <t>Ficticia #1</t>
  </si>
  <si>
    <t>Ficticia #2</t>
  </si>
  <si>
    <t>Ficticia #3</t>
  </si>
  <si>
    <t>Ficticia #4</t>
  </si>
  <si>
    <t>Ficticia #5</t>
  </si>
  <si>
    <t>Ficticia #6</t>
  </si>
  <si>
    <t>Nombre#1 Apellido#11 Apellido#12</t>
  </si>
  <si>
    <t>Nombre#2 Apellido#21 Apellido#22</t>
  </si>
  <si>
    <t>Nombre#3 Apellido#31 Apellido#32</t>
  </si>
  <si>
    <t>Nombre#4 Apellido#41 Apellido#42</t>
  </si>
  <si>
    <t>Nombre#5 Apellido#51 Apellido#52</t>
  </si>
  <si>
    <t>Sprint #2</t>
  </si>
  <si>
    <t>Semana #6</t>
  </si>
  <si>
    <t>Gestión de cambios Diccionario</t>
  </si>
  <si>
    <t>Gestión de cambios Integridad</t>
  </si>
  <si>
    <t>Gestión de cambios Procesos</t>
  </si>
  <si>
    <t>Gestión de cambios ETL</t>
  </si>
  <si>
    <t>Gestión de cambios Datos sintéticos</t>
  </si>
  <si>
    <t>ETLs Sprint #2</t>
  </si>
  <si>
    <t>Generar datos sintéticos Sprint #2</t>
  </si>
  <si>
    <t>Implementar funcionalidades</t>
  </si>
  <si>
    <t>Evaluar indexación</t>
  </si>
  <si>
    <t>Evaluar  baseline de almacenamiento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</si>
</sst>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59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1"/>
      <color theme="5" tint="0.79998168889431442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9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b/>
      <sz val="11"/>
      <color theme="7" tint="0.79998168889431442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0"/>
      <color theme="4"/>
      <name val="Aptos Narrow"/>
      <family val="2"/>
      <scheme val="minor"/>
    </font>
    <font>
      <b/>
      <sz val="10"/>
      <color theme="4"/>
      <name val="Aptos Narrow"/>
      <family val="2"/>
      <scheme val="minor"/>
    </font>
    <font>
      <b/>
      <sz val="14"/>
      <color theme="5" tint="0.79998168889431442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b/>
      <sz val="14"/>
      <color theme="7" tint="0.79998168889431442"/>
      <name val="Aptos Narrow"/>
      <family val="2"/>
      <scheme val="minor"/>
    </font>
    <font>
      <b/>
      <sz val="10"/>
      <color theme="7"/>
      <name val="Aptos Narrow"/>
      <family val="2"/>
      <scheme val="minor"/>
    </font>
    <font>
      <sz val="22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color theme="5"/>
      <name val="Aptos Narrow"/>
      <family val="2"/>
      <scheme val="minor"/>
    </font>
    <font>
      <b/>
      <sz val="14"/>
      <name val="Aptos Narrow"/>
      <family val="2"/>
      <scheme val="minor"/>
    </font>
    <font>
      <b/>
      <sz val="11"/>
      <color theme="6" tint="0.79998168889431442"/>
      <name val="Aptos Narrow"/>
      <family val="2"/>
      <scheme val="minor"/>
    </font>
    <font>
      <b/>
      <sz val="14"/>
      <color theme="6" tint="0.79998168889431442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1"/>
      <name val="Aptos Narrow"/>
      <family val="2"/>
    </font>
    <font>
      <sz val="11"/>
      <name val="Aptos Narrow"/>
      <family val="2"/>
      <scheme val="minor"/>
    </font>
    <font>
      <sz val="9"/>
      <color theme="8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7" tint="0.79998168889431442"/>
      <name val="Aptos Narrow"/>
      <family val="2"/>
      <scheme val="minor"/>
    </font>
    <font>
      <sz val="9"/>
      <color theme="7" tint="0.79998168889431442"/>
      <name val="Aptos Narrow"/>
      <family val="2"/>
      <scheme val="minor"/>
    </font>
    <font>
      <sz val="11"/>
      <color theme="4"/>
      <name val="Aptos Narrow"/>
      <family val="2"/>
      <scheme val="minor"/>
    </font>
    <font>
      <b/>
      <sz val="14"/>
      <color theme="8" tint="0.79998168889431442"/>
      <name val="Aptos Narrow"/>
      <family val="2"/>
      <scheme val="minor"/>
    </font>
    <font>
      <b/>
      <sz val="11"/>
      <color theme="8" tint="0.79998168889431442"/>
      <name val="Aptos Narrow"/>
      <family val="2"/>
      <scheme val="minor"/>
    </font>
    <font>
      <sz val="26"/>
      <color theme="1"/>
      <name val="Aptos Narrow"/>
      <family val="2"/>
      <scheme val="minor"/>
    </font>
    <font>
      <sz val="14"/>
      <color theme="7" tint="-0.499984740745262"/>
      <name val="Aptos Narrow"/>
      <family val="2"/>
      <scheme val="minor"/>
    </font>
    <font>
      <b/>
      <sz val="14"/>
      <name val="Segoe UI Emoji"/>
      <family val="2"/>
    </font>
    <font>
      <b/>
      <sz val="22"/>
      <color theme="7"/>
      <name val="Aptos Narrow"/>
      <family val="2"/>
      <scheme val="minor"/>
    </font>
    <font>
      <b/>
      <sz val="22"/>
      <color theme="9"/>
      <name val="Aptos Narrow"/>
      <family val="2"/>
      <scheme val="minor"/>
    </font>
    <font>
      <b/>
      <sz val="22"/>
      <color theme="5"/>
      <name val="Aptos Narrow"/>
      <family val="2"/>
      <scheme val="minor"/>
    </font>
    <font>
      <b/>
      <sz val="10"/>
      <color theme="7"/>
      <name val="Courier New"/>
      <family val="3"/>
    </font>
    <font>
      <sz val="10"/>
      <color theme="9"/>
      <name val="Courier New"/>
      <family val="3"/>
    </font>
    <font>
      <sz val="14"/>
      <name val="Aptos Narrow"/>
      <family val="2"/>
      <scheme val="minor"/>
    </font>
    <font>
      <b/>
      <sz val="14"/>
      <color theme="2" tint="-0.249977111117893"/>
      <name val="Aptos Narrow"/>
      <family val="2"/>
      <scheme val="minor"/>
    </font>
    <font>
      <sz val="14"/>
      <color theme="5" tint="-0.499984740745262"/>
      <name val="Aptos Narrow"/>
      <family val="2"/>
      <scheme val="minor"/>
    </font>
    <font>
      <b/>
      <sz val="12"/>
      <color theme="5" tint="-0.499984740745262"/>
      <name val="Aptos Narrow"/>
      <family val="2"/>
      <scheme val="minor"/>
    </font>
    <font>
      <b/>
      <sz val="14"/>
      <color theme="5"/>
      <name val="Aptos Narrow"/>
      <family val="2"/>
      <scheme val="minor"/>
    </font>
    <font>
      <sz val="12"/>
      <color theme="5" tint="-0.499984740745262"/>
      <name val="Aptos Narrow"/>
      <family val="2"/>
      <scheme val="minor"/>
    </font>
    <font>
      <sz val="11"/>
      <color theme="1" tint="4.9989318521683403E-2"/>
      <name val="Aptos Narrow"/>
      <family val="2"/>
      <scheme val="minor"/>
    </font>
    <font>
      <sz val="10"/>
      <color theme="1" tint="4.9989318521683403E-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color rgb="FFFF0000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7"/>
        <bgColor theme="4" tint="0.79998168889431442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theme="4" tint="0.79998168889431442"/>
      </patternFill>
    </fill>
    <fill>
      <patternFill patternType="solid">
        <fgColor theme="5"/>
        <bgColor theme="4" tint="0.79998168889431442"/>
      </patternFill>
    </fill>
    <fill>
      <patternFill patternType="solid">
        <fgColor theme="1"/>
        <bgColor theme="6"/>
      </patternFill>
    </fill>
    <fill>
      <patternFill patternType="solid">
        <fgColor theme="0" tint="-0.14999847407452621"/>
        <bgColor theme="6" tint="0.79998168889431442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theme="4" tint="0.7999816888943144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 style="medium">
        <color theme="1"/>
      </left>
      <right style="thin">
        <color theme="0"/>
      </right>
      <top style="medium">
        <color theme="1"/>
      </top>
      <bottom/>
      <diagonal/>
    </border>
    <border>
      <left style="medium">
        <color theme="1"/>
      </left>
      <right style="thin">
        <color theme="0"/>
      </right>
      <top/>
      <bottom style="thin">
        <color theme="1"/>
      </bottom>
      <diagonal/>
    </border>
    <border>
      <left style="medium">
        <color theme="1"/>
      </left>
      <right style="thin">
        <color theme="0"/>
      </right>
      <top/>
      <bottom style="medium">
        <color theme="1"/>
      </bottom>
      <diagonal/>
    </border>
    <border>
      <left style="medium">
        <color theme="1"/>
      </left>
      <right style="thin">
        <color theme="0"/>
      </right>
      <top/>
      <bottom style="thin">
        <color indexed="64"/>
      </bottom>
      <diagonal/>
    </border>
    <border>
      <left style="medium">
        <color theme="1"/>
      </left>
      <right style="thin">
        <color theme="0"/>
      </right>
      <top style="thin">
        <color indexed="64"/>
      </top>
      <bottom/>
      <diagonal/>
    </border>
    <border>
      <left/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theme="1"/>
      </left>
      <right style="thin">
        <color theme="0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 style="medium">
        <color theme="1"/>
      </bottom>
      <diagonal/>
    </border>
    <border>
      <left/>
      <right/>
      <top style="thin">
        <color theme="7"/>
      </top>
      <bottom style="medium">
        <color theme="1"/>
      </bottom>
      <diagonal/>
    </border>
    <border>
      <left style="medium">
        <color theme="1"/>
      </left>
      <right/>
      <top/>
      <bottom/>
      <diagonal/>
    </border>
    <border>
      <left style="thin">
        <color theme="0"/>
      </left>
      <right style="medium">
        <color indexed="64"/>
      </right>
      <top style="thin">
        <color indexed="64"/>
      </top>
      <bottom/>
      <diagonal/>
    </border>
    <border>
      <left style="thin">
        <color theme="0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theme="1"/>
      </top>
      <bottom/>
      <diagonal/>
    </border>
    <border>
      <left style="medium">
        <color theme="1"/>
      </left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5" tint="0.39997558519241921"/>
      </left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  <border>
      <left style="thin">
        <color theme="5" tint="0.39997558519241921"/>
      </left>
      <right style="thin">
        <color theme="5" tint="0.39997558519241921"/>
      </right>
      <top style="thin">
        <color theme="5" tint="0.39997558519241921"/>
      </top>
      <bottom/>
      <diagonal/>
    </border>
    <border>
      <left style="thin">
        <color theme="5" tint="0.39997558519241921"/>
      </left>
      <right/>
      <top/>
      <bottom/>
      <diagonal/>
    </border>
    <border>
      <left/>
      <right/>
      <top style="thin">
        <color theme="5" tint="0.39997558519241921"/>
      </top>
      <bottom/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medium">
        <color theme="0" tint="-0.249977111117893"/>
      </left>
      <right/>
      <top style="medium">
        <color theme="0" tint="-0.249977111117893"/>
      </top>
      <bottom style="medium">
        <color theme="0" tint="-0.249977111117893"/>
      </bottom>
      <diagonal/>
    </border>
    <border>
      <left/>
      <right style="medium">
        <color theme="0" tint="-0.249977111117893"/>
      </right>
      <top style="medium">
        <color theme="0" tint="-0.249977111117893"/>
      </top>
      <bottom style="medium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medium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medium">
        <color theme="0" tint="-0.249977111117893"/>
      </right>
      <top/>
      <bottom style="thin">
        <color theme="0" tint="-0.249977111117893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medium">
        <color theme="1"/>
      </right>
      <top/>
      <bottom/>
      <diagonal/>
    </border>
    <border>
      <left/>
      <right style="medium">
        <color theme="1"/>
      </right>
      <top style="thin">
        <color theme="1"/>
      </top>
      <bottom/>
      <diagonal/>
    </border>
    <border>
      <left style="medium">
        <color indexed="64"/>
      </left>
      <right style="thin">
        <color theme="5" tint="0.59999389629810485"/>
      </right>
      <top style="medium">
        <color indexed="64"/>
      </top>
      <bottom/>
      <diagonal/>
    </border>
    <border>
      <left/>
      <right style="thin">
        <color theme="5" tint="0.59999389629810485"/>
      </right>
      <top style="medium">
        <color indexed="64"/>
      </top>
      <bottom/>
      <diagonal/>
    </border>
    <border>
      <left style="thin">
        <color theme="5" tint="0.59999389629810485"/>
      </left>
      <right style="thin">
        <color theme="5" tint="0.59999389629810485"/>
      </right>
      <top style="medium">
        <color indexed="64"/>
      </top>
      <bottom/>
      <diagonal/>
    </border>
    <border>
      <left style="medium">
        <color indexed="64"/>
      </left>
      <right/>
      <top style="thin">
        <color theme="7"/>
      </top>
      <bottom style="medium">
        <color theme="1"/>
      </bottom>
      <diagonal/>
    </border>
    <border>
      <left style="medium">
        <color indexed="64"/>
      </left>
      <right/>
      <top style="thin">
        <color theme="1"/>
      </top>
      <bottom/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/>
      <right style="medium">
        <color theme="1"/>
      </right>
      <top style="medium">
        <color theme="1"/>
      </top>
      <bottom style="thin">
        <color theme="7"/>
      </bottom>
      <diagonal/>
    </border>
    <border>
      <left/>
      <right/>
      <top style="medium">
        <color theme="1"/>
      </top>
      <bottom style="thin">
        <color theme="7"/>
      </bottom>
      <diagonal/>
    </border>
    <border>
      <left/>
      <right style="medium">
        <color theme="1"/>
      </right>
      <top style="thin">
        <color theme="7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4" tint="0.39997558519241921"/>
      </top>
      <bottom style="thin">
        <color theme="1"/>
      </bottom>
      <diagonal/>
    </border>
    <border>
      <left style="medium">
        <color theme="7" tint="-0.499984740745262"/>
      </left>
      <right/>
      <top style="medium">
        <color theme="7" tint="-0.499984740745262"/>
      </top>
      <bottom/>
      <diagonal/>
    </border>
    <border>
      <left/>
      <right style="medium">
        <color theme="7" tint="-0.499984740745262"/>
      </right>
      <top style="medium">
        <color theme="7" tint="-0.499984740745262"/>
      </top>
      <bottom/>
      <diagonal/>
    </border>
    <border>
      <left style="medium">
        <color theme="9" tint="-0.499984740745262"/>
      </left>
      <right/>
      <top style="medium">
        <color theme="9" tint="-0.499984740745262"/>
      </top>
      <bottom/>
      <diagonal/>
    </border>
    <border>
      <left/>
      <right style="medium">
        <color theme="9" tint="-0.499984740745262"/>
      </right>
      <top style="medium">
        <color theme="9" tint="-0.499984740745262"/>
      </top>
      <bottom/>
      <diagonal/>
    </border>
    <border>
      <left style="medium">
        <color theme="9" tint="-0.499984740745262"/>
      </left>
      <right/>
      <top/>
      <bottom/>
      <diagonal/>
    </border>
    <border>
      <left style="medium">
        <color theme="5" tint="-0.499984740745262"/>
      </left>
      <right/>
      <top style="medium">
        <color theme="5" tint="-0.499984740745262"/>
      </top>
      <bottom/>
      <diagonal/>
    </border>
    <border>
      <left/>
      <right/>
      <top style="medium">
        <color theme="5" tint="-0.499984740745262"/>
      </top>
      <bottom/>
      <diagonal/>
    </border>
    <border>
      <left/>
      <right style="medium">
        <color theme="5" tint="-0.499984740745262"/>
      </right>
      <top style="medium">
        <color theme="5" tint="-0.499984740745262"/>
      </top>
      <bottom/>
      <diagonal/>
    </border>
    <border>
      <left style="medium">
        <color theme="7" tint="-0.499984740745262"/>
      </left>
      <right/>
      <top/>
      <bottom/>
      <diagonal/>
    </border>
    <border>
      <left/>
      <right style="medium">
        <color theme="7" tint="-0.499984740745262"/>
      </right>
      <top/>
      <bottom/>
      <diagonal/>
    </border>
    <border>
      <left/>
      <right style="medium">
        <color theme="9" tint="-0.499984740745262"/>
      </right>
      <top/>
      <bottom/>
      <diagonal/>
    </border>
    <border>
      <left style="medium">
        <color theme="9" tint="-0.499984740745262"/>
      </left>
      <right style="medium">
        <color theme="5" tint="-0.499984740745262"/>
      </right>
      <top/>
      <bottom/>
      <diagonal/>
    </border>
    <border>
      <left style="medium">
        <color theme="5" tint="-0.499984740745262"/>
      </left>
      <right/>
      <top/>
      <bottom/>
      <diagonal/>
    </border>
    <border>
      <left/>
      <right style="medium">
        <color theme="5" tint="-0.499984740745262"/>
      </right>
      <top/>
      <bottom/>
      <diagonal/>
    </border>
    <border>
      <left style="medium">
        <color theme="7" tint="-0.499984740745262"/>
      </left>
      <right/>
      <top/>
      <bottom style="medium">
        <color theme="7" tint="-0.499984740745262"/>
      </bottom>
      <diagonal/>
    </border>
    <border>
      <left/>
      <right style="medium">
        <color theme="7" tint="-0.499984740745262"/>
      </right>
      <top/>
      <bottom style="medium">
        <color theme="7" tint="-0.499984740745262"/>
      </bottom>
      <diagonal/>
    </border>
    <border>
      <left style="medium">
        <color theme="9" tint="-0.499984740745262"/>
      </left>
      <right/>
      <top/>
      <bottom style="medium">
        <color theme="9" tint="-0.499984740745262"/>
      </bottom>
      <diagonal/>
    </border>
    <border>
      <left/>
      <right style="medium">
        <color theme="9" tint="-0.499984740745262"/>
      </right>
      <top/>
      <bottom style="medium">
        <color theme="9" tint="-0.499984740745262"/>
      </bottom>
      <diagonal/>
    </border>
    <border>
      <left style="medium">
        <color theme="5" tint="-0.499984740745262"/>
      </left>
      <right/>
      <top/>
      <bottom style="medium">
        <color theme="5" tint="-0.499984740745262"/>
      </bottom>
      <diagonal/>
    </border>
    <border>
      <left/>
      <right/>
      <top/>
      <bottom style="medium">
        <color theme="5" tint="-0.499984740745262"/>
      </bottom>
      <diagonal/>
    </border>
    <border>
      <left/>
      <right style="medium">
        <color theme="5" tint="-0.499984740745262"/>
      </right>
      <top/>
      <bottom style="medium">
        <color theme="5" tint="-0.499984740745262"/>
      </bottom>
      <diagonal/>
    </border>
    <border>
      <left style="thin">
        <color theme="5" tint="0.39997558519241921"/>
      </left>
      <right/>
      <top style="thin">
        <color theme="5" tint="0.39997558519241921"/>
      </top>
      <bottom style="thin">
        <color theme="5" tint="0.39997558519241921"/>
      </bottom>
      <diagonal/>
    </border>
    <border>
      <left style="thin">
        <color theme="5" tint="0.39997558519241921"/>
      </left>
      <right/>
      <top style="thin">
        <color theme="5" tint="0.39997558519241921"/>
      </top>
      <bottom/>
      <diagonal/>
    </border>
    <border>
      <left/>
      <right style="thin">
        <color theme="5" tint="0.39997558519241921"/>
      </right>
      <top style="thin">
        <color theme="5" tint="0.39997558519241921"/>
      </top>
      <bottom/>
      <diagonal/>
    </border>
    <border>
      <left style="thin">
        <color theme="5" tint="0.59999389629810485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theme="7"/>
      </top>
      <bottom style="medium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/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thin">
        <color theme="1"/>
      </left>
      <right/>
      <top style="thin">
        <color theme="1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medium">
        <color theme="0" tint="-0.249977111117893"/>
      </top>
      <bottom style="medium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medium">
        <color indexed="64"/>
      </left>
      <right style="medium">
        <color theme="1"/>
      </right>
      <top style="thin">
        <color indexed="64"/>
      </top>
      <bottom/>
      <diagonal/>
    </border>
    <border>
      <left style="medium">
        <color indexed="64"/>
      </left>
      <right style="medium">
        <color theme="1"/>
      </right>
      <top/>
      <bottom style="thin">
        <color indexed="64"/>
      </bottom>
      <diagonal/>
    </border>
  </borders>
  <cellStyleXfs count="1">
    <xf numFmtId="0" fontId="0" fillId="0" borderId="0"/>
  </cellStyleXfs>
  <cellXfs count="325">
    <xf numFmtId="0" fontId="0" fillId="0" borderId="0" xfId="0"/>
    <xf numFmtId="0" fontId="2" fillId="0" borderId="0" xfId="0" applyFont="1" applyAlignment="1">
      <alignment horizontal="center"/>
    </xf>
    <xf numFmtId="0" fontId="0" fillId="2" borderId="0" xfId="0" applyFill="1"/>
    <xf numFmtId="0" fontId="1" fillId="0" borderId="0" xfId="0" applyFont="1"/>
    <xf numFmtId="0" fontId="0" fillId="2" borderId="12" xfId="0" applyFill="1" applyBorder="1"/>
    <xf numFmtId="0" fontId="1" fillId="0" borderId="14" xfId="0" applyFont="1" applyBorder="1" applyAlignment="1">
      <alignment horizontal="center" vertical="center" wrapText="1"/>
    </xf>
    <xf numFmtId="14" fontId="4" fillId="2" borderId="13" xfId="0" applyNumberFormat="1" applyFont="1" applyFill="1" applyBorder="1" applyAlignment="1" applyProtection="1">
      <alignment horizontal="center" vertical="center"/>
      <protection locked="0"/>
    </xf>
    <xf numFmtId="14" fontId="5" fillId="2" borderId="13" xfId="0" applyNumberFormat="1" applyFont="1" applyFill="1" applyBorder="1" applyAlignment="1" applyProtection="1">
      <alignment horizontal="center" vertical="center"/>
      <protection locked="0"/>
    </xf>
    <xf numFmtId="1" fontId="5" fillId="2" borderId="13" xfId="0" applyNumberFormat="1" applyFont="1" applyFill="1" applyBorder="1" applyAlignment="1" applyProtection="1">
      <alignment horizontal="center" vertical="center"/>
      <protection locked="0"/>
    </xf>
    <xf numFmtId="1" fontId="5" fillId="2" borderId="13" xfId="0" applyNumberFormat="1" applyFont="1" applyFill="1" applyBorder="1" applyAlignment="1" applyProtection="1">
      <alignment horizontal="left" vertical="center"/>
      <protection locked="0"/>
    </xf>
    <xf numFmtId="0" fontId="21" fillId="2" borderId="13" xfId="0" applyFont="1" applyFill="1" applyBorder="1" applyAlignment="1" applyProtection="1">
      <alignment horizontal="left" vertical="center"/>
      <protection locked="0"/>
    </xf>
    <xf numFmtId="0" fontId="2" fillId="0" borderId="14" xfId="0" applyFont="1" applyBorder="1" applyAlignment="1">
      <alignment horizontal="center" vertical="center"/>
    </xf>
    <xf numFmtId="0" fontId="0" fillId="2" borderId="15" xfId="0" applyFill="1" applyBorder="1"/>
    <xf numFmtId="0" fontId="0" fillId="2" borderId="14" xfId="0" applyFill="1" applyBorder="1"/>
    <xf numFmtId="0" fontId="0" fillId="2" borderId="16" xfId="0" applyFill="1" applyBorder="1"/>
    <xf numFmtId="0" fontId="0" fillId="0" borderId="13" xfId="0" applyBorder="1" applyAlignment="1">
      <alignment horizontal="left" vertical="center"/>
    </xf>
    <xf numFmtId="0" fontId="1" fillId="6" borderId="35" xfId="0" applyFont="1" applyFill="1" applyBorder="1" applyAlignment="1">
      <alignment horizontal="center" vertical="center"/>
    </xf>
    <xf numFmtId="0" fontId="1" fillId="0" borderId="34" xfId="0" applyFont="1" applyBorder="1"/>
    <xf numFmtId="0" fontId="0" fillId="0" borderId="11" xfId="0" applyBorder="1"/>
    <xf numFmtId="14" fontId="0" fillId="0" borderId="0" xfId="0" applyNumberFormat="1" applyAlignment="1">
      <alignment horizontal="center" vertical="center"/>
    </xf>
    <xf numFmtId="0" fontId="6" fillId="2" borderId="0" xfId="0" applyFont="1" applyFill="1" applyAlignment="1">
      <alignment vertical="center"/>
    </xf>
    <xf numFmtId="0" fontId="6" fillId="15" borderId="32" xfId="0" applyFont="1" applyFill="1" applyBorder="1" applyAlignment="1">
      <alignment horizontal="center" vertical="center"/>
    </xf>
    <xf numFmtId="0" fontId="11" fillId="5" borderId="32" xfId="0" applyFont="1" applyFill="1" applyBorder="1" applyAlignment="1">
      <alignment horizontal="center" vertical="center"/>
    </xf>
    <xf numFmtId="0" fontId="21" fillId="5" borderId="33" xfId="0" applyFont="1" applyFill="1" applyBorder="1" applyAlignment="1" applyProtection="1">
      <alignment horizontal="left" vertical="center"/>
      <protection hidden="1"/>
    </xf>
    <xf numFmtId="1" fontId="23" fillId="5" borderId="32" xfId="0" applyNumberFormat="1" applyFont="1" applyFill="1" applyBorder="1" applyAlignment="1" applyProtection="1">
      <alignment horizontal="center" vertical="center"/>
      <protection hidden="1"/>
    </xf>
    <xf numFmtId="14" fontId="11" fillId="5" borderId="33" xfId="0" applyNumberFormat="1" applyFont="1" applyFill="1" applyBorder="1" applyAlignment="1" applyProtection="1">
      <alignment horizontal="center" vertical="center"/>
      <protection hidden="1"/>
    </xf>
    <xf numFmtId="14" fontId="11" fillId="5" borderId="41" xfId="0" applyNumberFormat="1" applyFont="1" applyFill="1" applyBorder="1" applyAlignment="1" applyProtection="1">
      <alignment horizontal="center" vertical="center"/>
      <protection hidden="1"/>
    </xf>
    <xf numFmtId="0" fontId="21" fillId="5" borderId="13" xfId="0" applyFont="1" applyFill="1" applyBorder="1" applyAlignment="1" applyProtection="1">
      <alignment horizontal="left" vertical="center"/>
      <protection hidden="1"/>
    </xf>
    <xf numFmtId="0" fontId="0" fillId="5" borderId="33" xfId="0" applyFill="1" applyBorder="1" applyAlignment="1" applyProtection="1">
      <alignment vertical="center"/>
      <protection hidden="1"/>
    </xf>
    <xf numFmtId="0" fontId="0" fillId="15" borderId="33" xfId="0" applyFill="1" applyBorder="1" applyAlignment="1" applyProtection="1">
      <alignment vertical="center"/>
      <protection hidden="1"/>
    </xf>
    <xf numFmtId="14" fontId="11" fillId="5" borderId="0" xfId="0" applyNumberFormat="1" applyFont="1" applyFill="1" applyAlignment="1" applyProtection="1">
      <alignment horizontal="center" vertical="center"/>
      <protection hidden="1"/>
    </xf>
    <xf numFmtId="0" fontId="1" fillId="6" borderId="36" xfId="0" applyFont="1" applyFill="1" applyBorder="1" applyAlignment="1">
      <alignment horizontal="center" vertical="center"/>
    </xf>
    <xf numFmtId="0" fontId="7" fillId="3" borderId="36" xfId="0" applyFont="1" applyFill="1" applyBorder="1" applyAlignment="1">
      <alignment horizontal="center" vertical="center" wrapText="1"/>
    </xf>
    <xf numFmtId="0" fontId="24" fillId="13" borderId="36" xfId="0" applyFont="1" applyFill="1" applyBorder="1" applyAlignment="1">
      <alignment horizontal="center" vertical="center" wrapText="1"/>
    </xf>
    <xf numFmtId="14" fontId="11" fillId="5" borderId="13" xfId="0" applyNumberFormat="1" applyFont="1" applyFill="1" applyBorder="1" applyAlignment="1" applyProtection="1">
      <alignment horizontal="center" vertical="center"/>
      <protection hidden="1"/>
    </xf>
    <xf numFmtId="0" fontId="0" fillId="2" borderId="0" xfId="0" applyFill="1" applyProtection="1">
      <protection hidden="1"/>
    </xf>
    <xf numFmtId="0" fontId="0" fillId="2" borderId="26" xfId="0" applyFill="1" applyBorder="1" applyProtection="1">
      <protection hidden="1"/>
    </xf>
    <xf numFmtId="0" fontId="10" fillId="2" borderId="0" xfId="0" applyFont="1" applyFill="1" applyAlignment="1" applyProtection="1">
      <alignment horizontal="center" vertical="center"/>
      <protection hidden="1"/>
    </xf>
    <xf numFmtId="1" fontId="7" fillId="10" borderId="19" xfId="0" applyNumberFormat="1" applyFont="1" applyFill="1" applyBorder="1" applyAlignment="1" applyProtection="1">
      <alignment horizontal="center" vertical="center"/>
      <protection hidden="1"/>
    </xf>
    <xf numFmtId="2" fontId="12" fillId="7" borderId="22" xfId="0" applyNumberFormat="1" applyFont="1" applyFill="1" applyBorder="1" applyAlignment="1" applyProtection="1">
      <alignment horizontal="center" vertical="center"/>
      <protection hidden="1"/>
    </xf>
    <xf numFmtId="164" fontId="10" fillId="5" borderId="5" xfId="0" applyNumberFormat="1" applyFont="1" applyFill="1" applyBorder="1" applyAlignment="1" applyProtection="1">
      <alignment horizontal="center" vertical="center"/>
      <protection hidden="1"/>
    </xf>
    <xf numFmtId="164" fontId="10" fillId="5" borderId="6" xfId="0" applyNumberFormat="1" applyFont="1" applyFill="1" applyBorder="1" applyAlignment="1" applyProtection="1">
      <alignment horizontal="center" vertical="center"/>
      <protection hidden="1"/>
    </xf>
    <xf numFmtId="164" fontId="10" fillId="5" borderId="7" xfId="0" applyNumberFormat="1" applyFont="1" applyFill="1" applyBorder="1" applyAlignment="1" applyProtection="1">
      <alignment horizontal="center" vertical="center"/>
      <protection hidden="1"/>
    </xf>
    <xf numFmtId="0" fontId="10" fillId="0" borderId="8" xfId="0" applyFont="1" applyBorder="1" applyAlignment="1" applyProtection="1">
      <alignment horizontal="center" vertical="center"/>
      <protection hidden="1"/>
    </xf>
    <xf numFmtId="0" fontId="10" fillId="0" borderId="9" xfId="0" applyFont="1" applyBorder="1" applyAlignment="1" applyProtection="1">
      <alignment horizontal="center" vertical="center"/>
      <protection hidden="1"/>
    </xf>
    <xf numFmtId="0" fontId="10" fillId="0" borderId="10" xfId="0" applyFont="1" applyBorder="1" applyAlignment="1" applyProtection="1">
      <alignment horizontal="center" vertical="center"/>
      <protection hidden="1"/>
    </xf>
    <xf numFmtId="0" fontId="0" fillId="2" borderId="24" xfId="0" applyFill="1" applyBorder="1" applyProtection="1">
      <protection hidden="1"/>
    </xf>
    <xf numFmtId="0" fontId="0" fillId="2" borderId="0" xfId="0" applyFill="1" applyAlignment="1">
      <alignment vertical="center"/>
    </xf>
    <xf numFmtId="0" fontId="30" fillId="16" borderId="13" xfId="0" applyFont="1" applyFill="1" applyBorder="1" applyAlignment="1">
      <alignment horizontal="left" vertical="center"/>
    </xf>
    <xf numFmtId="14" fontId="5" fillId="2" borderId="13" xfId="0" applyNumberFormat="1" applyFont="1" applyFill="1" applyBorder="1" applyAlignment="1" applyProtection="1">
      <alignment horizontal="center" vertical="center"/>
      <protection hidden="1"/>
    </xf>
    <xf numFmtId="0" fontId="29" fillId="0" borderId="14" xfId="0" applyFont="1" applyBorder="1" applyAlignment="1">
      <alignment horizontal="left" vertical="center"/>
    </xf>
    <xf numFmtId="0" fontId="2" fillId="0" borderId="34" xfId="0" applyFont="1" applyBorder="1" applyAlignment="1">
      <alignment horizontal="center" vertical="center"/>
    </xf>
    <xf numFmtId="0" fontId="29" fillId="0" borderId="0" xfId="0" applyFont="1" applyAlignment="1">
      <alignment horizontal="left" vertical="center"/>
    </xf>
    <xf numFmtId="0" fontId="1" fillId="18" borderId="44" xfId="0" applyFont="1" applyFill="1" applyBorder="1" applyAlignment="1">
      <alignment horizontal="center" vertical="center"/>
    </xf>
    <xf numFmtId="14" fontId="0" fillId="19" borderId="44" xfId="0" applyNumberFormat="1" applyFill="1" applyBorder="1" applyAlignment="1">
      <alignment horizontal="center" vertical="center"/>
    </xf>
    <xf numFmtId="14" fontId="0" fillId="0" borderId="43" xfId="0" applyNumberFormat="1" applyBorder="1" applyAlignment="1">
      <alignment horizontal="center" vertical="center"/>
    </xf>
    <xf numFmtId="0" fontId="1" fillId="11" borderId="11" xfId="0" applyFont="1" applyFill="1" applyBorder="1" applyAlignment="1">
      <alignment horizontal="center"/>
    </xf>
    <xf numFmtId="0" fontId="0" fillId="12" borderId="11" xfId="0" applyFill="1" applyBorder="1" applyAlignment="1">
      <alignment horizontal="center"/>
    </xf>
    <xf numFmtId="0" fontId="1" fillId="11" borderId="42" xfId="0" applyFont="1" applyFill="1" applyBorder="1" applyAlignment="1">
      <alignment horizontal="center" vertical="center"/>
    </xf>
    <xf numFmtId="0" fontId="28" fillId="12" borderId="11" xfId="0" applyFont="1" applyFill="1" applyBorder="1" applyAlignment="1">
      <alignment horizontal="center" vertical="center"/>
    </xf>
    <xf numFmtId="1" fontId="0" fillId="19" borderId="44" xfId="0" applyNumberFormat="1" applyFill="1" applyBorder="1" applyAlignment="1">
      <alignment horizontal="center" vertical="center"/>
    </xf>
    <xf numFmtId="0" fontId="0" fillId="0" borderId="45" xfId="0" applyBorder="1"/>
    <xf numFmtId="14" fontId="0" fillId="0" borderId="46" xfId="0" applyNumberFormat="1" applyBorder="1" applyAlignment="1">
      <alignment horizontal="center" vertical="center"/>
    </xf>
    <xf numFmtId="1" fontId="11" fillId="5" borderId="0" xfId="0" applyNumberFormat="1" applyFont="1" applyFill="1" applyAlignment="1" applyProtection="1">
      <alignment horizontal="center" vertical="center"/>
      <protection hidden="1"/>
    </xf>
    <xf numFmtId="1" fontId="11" fillId="5" borderId="33" xfId="0" applyNumberFormat="1" applyFont="1" applyFill="1" applyBorder="1" applyAlignment="1" applyProtection="1">
      <alignment horizontal="center" vertical="center"/>
      <protection hidden="1"/>
    </xf>
    <xf numFmtId="1" fontId="11" fillId="5" borderId="13" xfId="0" applyNumberFormat="1" applyFont="1" applyFill="1" applyBorder="1" applyAlignment="1" applyProtection="1">
      <alignment horizontal="center" vertical="center"/>
      <protection hidden="1"/>
    </xf>
    <xf numFmtId="14" fontId="0" fillId="0" borderId="0" xfId="0" applyNumberFormat="1"/>
    <xf numFmtId="1" fontId="0" fillId="19" borderId="46" xfId="0" applyNumberFormat="1" applyFill="1" applyBorder="1" applyAlignment="1">
      <alignment horizontal="center" vertical="center"/>
    </xf>
    <xf numFmtId="1" fontId="0" fillId="0" borderId="47" xfId="0" applyNumberFormat="1" applyBorder="1" applyAlignment="1">
      <alignment horizontal="center" vertical="center"/>
    </xf>
    <xf numFmtId="0" fontId="1" fillId="18" borderId="0" xfId="0" applyFont="1" applyFill="1" applyAlignment="1">
      <alignment horizontal="center" vertical="center"/>
    </xf>
    <xf numFmtId="0" fontId="4" fillId="17" borderId="0" xfId="0" applyFont="1" applyFill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wrapText="1"/>
    </xf>
    <xf numFmtId="0" fontId="33" fillId="20" borderId="0" xfId="0" applyFont="1" applyFill="1" applyAlignment="1">
      <alignment horizontal="center" vertical="center"/>
    </xf>
    <xf numFmtId="0" fontId="10" fillId="0" borderId="48" xfId="0" applyFont="1" applyBorder="1" applyAlignment="1" applyProtection="1">
      <alignment horizontal="center" vertical="center"/>
      <protection hidden="1"/>
    </xf>
    <xf numFmtId="0" fontId="10" fillId="0" borderId="49" xfId="0" applyFont="1" applyBorder="1" applyAlignment="1" applyProtection="1">
      <alignment horizontal="center" vertical="center"/>
      <protection hidden="1"/>
    </xf>
    <xf numFmtId="0" fontId="10" fillId="0" borderId="50" xfId="0" applyFont="1" applyBorder="1" applyAlignment="1" applyProtection="1">
      <alignment horizontal="center" vertical="center"/>
      <protection hidden="1"/>
    </xf>
    <xf numFmtId="0" fontId="10" fillId="0" borderId="51" xfId="0" applyFont="1" applyBorder="1" applyAlignment="1" applyProtection="1">
      <alignment horizontal="center" vertical="center"/>
      <protection hidden="1"/>
    </xf>
    <xf numFmtId="0" fontId="10" fillId="0" borderId="52" xfId="0" applyFont="1" applyBorder="1" applyAlignment="1" applyProtection="1">
      <alignment horizontal="center" vertical="center"/>
      <protection hidden="1"/>
    </xf>
    <xf numFmtId="0" fontId="10" fillId="0" borderId="53" xfId="0" applyFont="1" applyBorder="1" applyAlignment="1" applyProtection="1">
      <alignment horizontal="center" vertical="center"/>
      <protection hidden="1"/>
    </xf>
    <xf numFmtId="0" fontId="1" fillId="6" borderId="15" xfId="0" applyFont="1" applyFill="1" applyBorder="1" applyAlignment="1">
      <alignment horizontal="center" vertical="center"/>
    </xf>
    <xf numFmtId="0" fontId="34" fillId="20" borderId="54" xfId="0" applyFont="1" applyFill="1" applyBorder="1" applyAlignment="1">
      <alignment horizontal="center" vertical="center"/>
    </xf>
    <xf numFmtId="0" fontId="33" fillId="20" borderId="54" xfId="0" applyFont="1" applyFill="1" applyBorder="1" applyAlignment="1">
      <alignment horizontal="center" vertical="center"/>
    </xf>
    <xf numFmtId="0" fontId="4" fillId="17" borderId="54" xfId="0" applyFont="1" applyFill="1" applyBorder="1" applyAlignment="1">
      <alignment horizontal="center" vertical="center" wrapText="1"/>
    </xf>
    <xf numFmtId="0" fontId="32" fillId="20" borderId="54" xfId="0" applyFont="1" applyFill="1" applyBorder="1" applyAlignment="1">
      <alignment horizontal="center" vertical="center"/>
    </xf>
    <xf numFmtId="0" fontId="34" fillId="20" borderId="0" xfId="0" applyFont="1" applyFill="1" applyAlignment="1">
      <alignment horizontal="center" vertical="center"/>
    </xf>
    <xf numFmtId="0" fontId="34" fillId="0" borderId="0" xfId="0" applyFont="1" applyAlignment="1">
      <alignment horizontal="left"/>
    </xf>
    <xf numFmtId="0" fontId="33" fillId="20" borderId="54" xfId="0" applyFont="1" applyFill="1" applyBorder="1" applyAlignment="1">
      <alignment horizontal="center" vertical="center" wrapText="1"/>
    </xf>
    <xf numFmtId="0" fontId="34" fillId="20" borderId="5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3" fillId="20" borderId="0" xfId="0" applyFont="1" applyFill="1" applyAlignment="1">
      <alignment horizontal="center" vertical="center" wrapText="1"/>
    </xf>
    <xf numFmtId="2" fontId="27" fillId="5" borderId="33" xfId="0" applyNumberFormat="1" applyFont="1" applyFill="1" applyBorder="1" applyAlignment="1" applyProtection="1">
      <alignment horizontal="center" vertical="center"/>
      <protection hidden="1"/>
    </xf>
    <xf numFmtId="1" fontId="0" fillId="0" borderId="0" xfId="0" applyNumberFormat="1" applyAlignment="1">
      <alignment horizontal="left"/>
    </xf>
    <xf numFmtId="0" fontId="7" fillId="3" borderId="74" xfId="0" applyFont="1" applyFill="1" applyBorder="1" applyAlignment="1">
      <alignment horizontal="center" vertical="center" wrapText="1"/>
    </xf>
    <xf numFmtId="14" fontId="22" fillId="2" borderId="75" xfId="0" applyNumberFormat="1" applyFont="1" applyFill="1" applyBorder="1" applyAlignment="1" applyProtection="1">
      <alignment horizontal="center" vertical="center"/>
      <protection locked="0" hidden="1"/>
    </xf>
    <xf numFmtId="0" fontId="36" fillId="21" borderId="79" xfId="0" applyFont="1" applyFill="1" applyBorder="1" applyAlignment="1">
      <alignment horizontal="center" vertical="center" wrapText="1"/>
    </xf>
    <xf numFmtId="1" fontId="11" fillId="5" borderId="70" xfId="0" applyNumberFormat="1" applyFont="1" applyFill="1" applyBorder="1" applyAlignment="1" applyProtection="1">
      <alignment horizontal="center" vertical="center"/>
      <protection hidden="1"/>
    </xf>
    <xf numFmtId="0" fontId="36" fillId="21" borderId="36" xfId="0" applyFont="1" applyFill="1" applyBorder="1" applyAlignment="1">
      <alignment horizontal="center" vertical="center" wrapText="1"/>
    </xf>
    <xf numFmtId="0" fontId="0" fillId="0" borderId="0" xfId="0" quotePrefix="1"/>
    <xf numFmtId="0" fontId="1" fillId="6" borderId="11" xfId="0" applyFont="1" applyFill="1" applyBorder="1" applyAlignment="1">
      <alignment horizontal="center" vertical="center"/>
    </xf>
    <xf numFmtId="0" fontId="29" fillId="22" borderId="80" xfId="0" applyFont="1" applyFill="1" applyBorder="1" applyAlignment="1">
      <alignment horizontal="left" vertical="center"/>
    </xf>
    <xf numFmtId="0" fontId="37" fillId="2" borderId="0" xfId="0" applyFont="1" applyFill="1" applyAlignment="1">
      <alignment horizontal="center" vertical="center"/>
    </xf>
    <xf numFmtId="0" fontId="38" fillId="24" borderId="81" xfId="0" applyFont="1" applyFill="1" applyBorder="1" applyAlignment="1">
      <alignment horizontal="center" vertical="center"/>
    </xf>
    <xf numFmtId="0" fontId="39" fillId="24" borderId="82" xfId="0" applyFont="1" applyFill="1" applyBorder="1" applyAlignment="1">
      <alignment horizontal="left" vertical="center"/>
    </xf>
    <xf numFmtId="0" fontId="39" fillId="2" borderId="0" xfId="0" applyFont="1" applyFill="1" applyAlignment="1">
      <alignment vertical="center"/>
    </xf>
    <xf numFmtId="0" fontId="38" fillId="25" borderId="83" xfId="0" applyFont="1" applyFill="1" applyBorder="1" applyAlignment="1">
      <alignment horizontal="center" vertical="center"/>
    </xf>
    <xf numFmtId="0" fontId="39" fillId="25" borderId="84" xfId="0" applyFont="1" applyFill="1" applyBorder="1" applyAlignment="1">
      <alignment horizontal="left" vertical="center"/>
    </xf>
    <xf numFmtId="0" fontId="39" fillId="2" borderId="85" xfId="0" applyFont="1" applyFill="1" applyBorder="1" applyAlignment="1">
      <alignment vertical="center"/>
    </xf>
    <xf numFmtId="0" fontId="0" fillId="2" borderId="92" xfId="0" applyFill="1" applyBorder="1"/>
    <xf numFmtId="0" fontId="45" fillId="24" borderId="95" xfId="0" applyFont="1" applyFill="1" applyBorder="1" applyAlignment="1">
      <alignment horizontal="center" vertical="center"/>
    </xf>
    <xf numFmtId="0" fontId="46" fillId="24" borderId="96" xfId="0" applyFont="1" applyFill="1" applyBorder="1" applyAlignment="1">
      <alignment horizontal="left" vertical="center"/>
    </xf>
    <xf numFmtId="0" fontId="45" fillId="25" borderId="97" xfId="0" applyFont="1" applyFill="1" applyBorder="1" applyAlignment="1">
      <alignment horizontal="center" vertical="center"/>
    </xf>
    <xf numFmtId="0" fontId="46" fillId="25" borderId="98" xfId="0" applyFont="1" applyFill="1" applyBorder="1" applyAlignment="1">
      <alignment horizontal="left" vertical="center"/>
    </xf>
    <xf numFmtId="0" fontId="0" fillId="2" borderId="29" xfId="0" applyFill="1" applyBorder="1"/>
    <xf numFmtId="0" fontId="0" fillId="19" borderId="103" xfId="0" applyFill="1" applyBorder="1" applyAlignment="1">
      <alignment horizontal="center" vertical="center" wrapText="1"/>
    </xf>
    <xf numFmtId="0" fontId="0" fillId="0" borderId="102" xfId="0" applyBorder="1" applyAlignment="1">
      <alignment wrapText="1"/>
    </xf>
    <xf numFmtId="2" fontId="0" fillId="19" borderId="46" xfId="0" applyNumberFormat="1" applyFill="1" applyBorder="1" applyAlignment="1">
      <alignment horizontal="center" vertical="center" wrapText="1"/>
    </xf>
    <xf numFmtId="2" fontId="0" fillId="0" borderId="46" xfId="0" applyNumberFormat="1" applyBorder="1" applyAlignment="1">
      <alignment horizontal="center" wrapText="1"/>
    </xf>
    <xf numFmtId="2" fontId="0" fillId="19" borderId="46" xfId="0" applyNumberFormat="1" applyFill="1" applyBorder="1" applyAlignment="1">
      <alignment horizontal="center" wrapText="1"/>
    </xf>
    <xf numFmtId="2" fontId="2" fillId="0" borderId="47" xfId="0" applyNumberFormat="1" applyFont="1" applyBorder="1" applyAlignment="1">
      <alignment horizontal="center" vertical="center" wrapText="1"/>
    </xf>
    <xf numFmtId="0" fontId="48" fillId="4" borderId="86" xfId="0" applyFont="1" applyFill="1" applyBorder="1" applyAlignment="1">
      <alignment horizontal="left" vertical="center"/>
    </xf>
    <xf numFmtId="0" fontId="48" fillId="4" borderId="93" xfId="0" applyFont="1" applyFill="1" applyBorder="1" applyAlignment="1">
      <alignment horizontal="left" vertical="center"/>
    </xf>
    <xf numFmtId="0" fontId="48" fillId="4" borderId="99" xfId="0" applyFont="1" applyFill="1" applyBorder="1" applyAlignment="1">
      <alignment horizontal="left" vertical="center"/>
    </xf>
    <xf numFmtId="2" fontId="49" fillId="4" borderId="87" xfId="0" applyNumberFormat="1" applyFont="1" applyFill="1" applyBorder="1" applyAlignment="1">
      <alignment vertical="center"/>
    </xf>
    <xf numFmtId="2" fontId="49" fillId="4" borderId="0" xfId="0" applyNumberFormat="1" applyFont="1" applyFill="1" applyAlignment="1">
      <alignment vertical="center"/>
    </xf>
    <xf numFmtId="2" fontId="49" fillId="4" borderId="100" xfId="0" applyNumberFormat="1" applyFont="1" applyFill="1" applyBorder="1" applyAlignment="1">
      <alignment vertical="center"/>
    </xf>
    <xf numFmtId="2" fontId="50" fillId="4" borderId="94" xfId="0" applyNumberFormat="1" applyFont="1" applyFill="1" applyBorder="1" applyAlignment="1">
      <alignment vertical="center"/>
    </xf>
    <xf numFmtId="2" fontId="50" fillId="4" borderId="101" xfId="0" applyNumberFormat="1" applyFont="1" applyFill="1" applyBorder="1" applyAlignment="1">
      <alignment vertical="center"/>
    </xf>
    <xf numFmtId="2" fontId="50" fillId="4" borderId="88" xfId="0" applyNumberFormat="1" applyFont="1" applyFill="1" applyBorder="1" applyAlignment="1">
      <alignment horizontal="left" vertical="center"/>
    </xf>
    <xf numFmtId="0" fontId="1" fillId="18" borderId="103" xfId="0" applyFont="1" applyFill="1" applyBorder="1" applyAlignment="1">
      <alignment vertical="center" wrapText="1"/>
    </xf>
    <xf numFmtId="0" fontId="1" fillId="18" borderId="46" xfId="0" applyFont="1" applyFill="1" applyBorder="1" applyAlignment="1">
      <alignment vertical="center" wrapText="1"/>
    </xf>
    <xf numFmtId="0" fontId="1" fillId="18" borderId="104" xfId="0" applyFont="1" applyFill="1" applyBorder="1" applyAlignment="1">
      <alignment vertical="center" wrapText="1"/>
    </xf>
    <xf numFmtId="0" fontId="0" fillId="0" borderId="103" xfId="0" applyBorder="1" applyAlignment="1">
      <alignment horizontal="center" wrapText="1"/>
    </xf>
    <xf numFmtId="0" fontId="0" fillId="19" borderId="103" xfId="0" applyFill="1" applyBorder="1" applyAlignment="1">
      <alignment horizontal="center" wrapText="1"/>
    </xf>
    <xf numFmtId="14" fontId="4" fillId="2" borderId="31" xfId="0" applyNumberFormat="1" applyFont="1" applyFill="1" applyBorder="1" applyAlignment="1" applyProtection="1">
      <alignment horizontal="center" vertical="center"/>
      <protection locked="0" hidden="1"/>
    </xf>
    <xf numFmtId="14" fontId="4" fillId="2" borderId="13" xfId="0" applyNumberFormat="1" applyFont="1" applyFill="1" applyBorder="1" applyAlignment="1" applyProtection="1">
      <alignment horizontal="center" vertical="center"/>
      <protection locked="0" hidden="1"/>
    </xf>
    <xf numFmtId="14" fontId="4" fillId="0" borderId="37" xfId="0" applyNumberFormat="1" applyFont="1" applyBorder="1" applyProtection="1"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4" fillId="0" borderId="0" xfId="0" applyFont="1" applyProtection="1">
      <protection locked="0"/>
    </xf>
    <xf numFmtId="0" fontId="4" fillId="0" borderId="69" xfId="0" applyFont="1" applyBorder="1" applyProtection="1">
      <protection locked="0"/>
    </xf>
    <xf numFmtId="0" fontId="51" fillId="23" borderId="0" xfId="0" applyFont="1" applyFill="1" applyProtection="1">
      <protection locked="0"/>
    </xf>
    <xf numFmtId="0" fontId="0" fillId="0" borderId="67" xfId="0" applyBorder="1" applyProtection="1">
      <protection locked="0"/>
    </xf>
    <xf numFmtId="0" fontId="0" fillId="0" borderId="40" xfId="0" applyBorder="1" applyProtection="1">
      <protection locked="0"/>
    </xf>
    <xf numFmtId="0" fontId="0" fillId="0" borderId="68" xfId="0" applyBorder="1" applyProtection="1">
      <protection locked="0"/>
    </xf>
    <xf numFmtId="0" fontId="0" fillId="2" borderId="1" xfId="0" applyFill="1" applyBorder="1"/>
    <xf numFmtId="14" fontId="6" fillId="5" borderId="13" xfId="0" applyNumberFormat="1" applyFont="1" applyFill="1" applyBorder="1" applyAlignment="1" applyProtection="1">
      <alignment horizontal="center" vertical="center"/>
      <protection locked="0" hidden="1"/>
    </xf>
    <xf numFmtId="0" fontId="1" fillId="6" borderId="74" xfId="0" applyFont="1" applyFill="1" applyBorder="1" applyAlignment="1">
      <alignment horizontal="center" vertical="center"/>
    </xf>
    <xf numFmtId="0" fontId="7" fillId="3" borderId="106" xfId="0" applyFont="1" applyFill="1" applyBorder="1" applyAlignment="1">
      <alignment horizontal="center" vertical="center" wrapText="1"/>
    </xf>
    <xf numFmtId="14" fontId="11" fillId="5" borderId="107" xfId="0" applyNumberFormat="1" applyFont="1" applyFill="1" applyBorder="1" applyAlignment="1" applyProtection="1">
      <alignment horizontal="center" vertical="center"/>
      <protection locked="0" hidden="1"/>
    </xf>
    <xf numFmtId="0" fontId="2" fillId="5" borderId="75" xfId="0" applyFont="1" applyFill="1" applyBorder="1" applyAlignment="1" applyProtection="1">
      <alignment vertical="center"/>
      <protection hidden="1"/>
    </xf>
    <xf numFmtId="0" fontId="2" fillId="15" borderId="75" xfId="0" applyFont="1" applyFill="1" applyBorder="1" applyAlignment="1" applyProtection="1">
      <alignment vertical="center"/>
      <protection hidden="1"/>
    </xf>
    <xf numFmtId="0" fontId="2" fillId="5" borderId="76" xfId="0" applyFont="1" applyFill="1" applyBorder="1" applyAlignment="1" applyProtection="1">
      <alignment vertical="center"/>
      <protection hidden="1"/>
    </xf>
    <xf numFmtId="0" fontId="0" fillId="5" borderId="75" xfId="0" applyFill="1" applyBorder="1" applyAlignment="1" applyProtection="1">
      <alignment vertical="center"/>
      <protection hidden="1"/>
    </xf>
    <xf numFmtId="0" fontId="0" fillId="15" borderId="75" xfId="0" applyFill="1" applyBorder="1" applyAlignment="1" applyProtection="1">
      <alignment vertical="center"/>
      <protection hidden="1"/>
    </xf>
    <xf numFmtId="0" fontId="4" fillId="5" borderId="108" xfId="0" applyFont="1" applyFill="1" applyBorder="1" applyAlignment="1" applyProtection="1">
      <alignment vertical="center"/>
      <protection hidden="1"/>
    </xf>
    <xf numFmtId="0" fontId="14" fillId="5" borderId="109" xfId="0" applyFont="1" applyFill="1" applyBorder="1" applyAlignment="1" applyProtection="1">
      <alignment horizontal="left" vertical="center"/>
      <protection hidden="1"/>
    </xf>
    <xf numFmtId="0" fontId="15" fillId="5" borderId="109" xfId="0" applyFont="1" applyFill="1" applyBorder="1" applyAlignment="1" applyProtection="1">
      <alignment horizontal="left" vertical="center"/>
      <protection hidden="1"/>
    </xf>
    <xf numFmtId="0" fontId="4" fillId="5" borderId="109" xfId="0" applyFont="1" applyFill="1" applyBorder="1" applyAlignment="1" applyProtection="1">
      <alignment vertical="center"/>
      <protection hidden="1"/>
    </xf>
    <xf numFmtId="14" fontId="22" fillId="2" borderId="108" xfId="0" applyNumberFormat="1" applyFont="1" applyFill="1" applyBorder="1" applyAlignment="1" applyProtection="1">
      <alignment horizontal="center" vertical="center"/>
      <protection locked="0" hidden="1"/>
    </xf>
    <xf numFmtId="1" fontId="23" fillId="5" borderId="110" xfId="0" applyNumberFormat="1" applyFont="1" applyFill="1" applyBorder="1" applyAlignment="1" applyProtection="1">
      <alignment horizontal="center" vertical="center"/>
      <protection hidden="1"/>
    </xf>
    <xf numFmtId="1" fontId="11" fillId="5" borderId="109" xfId="0" applyNumberFormat="1" applyFont="1" applyFill="1" applyBorder="1" applyAlignment="1" applyProtection="1">
      <alignment horizontal="center" vertical="center"/>
      <protection hidden="1"/>
    </xf>
    <xf numFmtId="14" fontId="11" fillId="5" borderId="109" xfId="0" applyNumberFormat="1" applyFont="1" applyFill="1" applyBorder="1" applyAlignment="1" applyProtection="1">
      <alignment horizontal="center" vertical="center"/>
      <protection hidden="1"/>
    </xf>
    <xf numFmtId="14" fontId="11" fillId="5" borderId="111" xfId="0" applyNumberFormat="1" applyFont="1" applyFill="1" applyBorder="1" applyAlignment="1" applyProtection="1">
      <alignment horizontal="center" vertical="center"/>
      <protection locked="0" hidden="1"/>
    </xf>
    <xf numFmtId="0" fontId="0" fillId="2" borderId="24" xfId="0" applyFill="1" applyBorder="1"/>
    <xf numFmtId="0" fontId="2" fillId="5" borderId="112" xfId="0" applyFont="1" applyFill="1" applyBorder="1" applyAlignment="1" applyProtection="1">
      <alignment vertical="center"/>
      <protection hidden="1"/>
    </xf>
    <xf numFmtId="1" fontId="11" fillId="5" borderId="113" xfId="0" applyNumberFormat="1" applyFont="1" applyFill="1" applyBorder="1" applyAlignment="1" applyProtection="1">
      <alignment horizontal="center" vertical="center"/>
      <protection hidden="1"/>
    </xf>
    <xf numFmtId="14" fontId="21" fillId="2" borderId="110" xfId="0" applyNumberFormat="1" applyFont="1" applyFill="1" applyBorder="1" applyAlignment="1" applyProtection="1">
      <alignment horizontal="center" vertical="center"/>
      <protection locked="0" hidden="1"/>
    </xf>
    <xf numFmtId="14" fontId="21" fillId="2" borderId="109" xfId="0" applyNumberFormat="1" applyFont="1" applyFill="1" applyBorder="1" applyAlignment="1" applyProtection="1">
      <alignment horizontal="center" vertical="center"/>
      <protection locked="0" hidden="1"/>
    </xf>
    <xf numFmtId="0" fontId="29" fillId="2" borderId="24" xfId="0" applyFont="1" applyFill="1" applyBorder="1"/>
    <xf numFmtId="0" fontId="29" fillId="2" borderId="0" xfId="0" applyFont="1" applyFill="1"/>
    <xf numFmtId="14" fontId="11" fillId="2" borderId="75" xfId="0" applyNumberFormat="1" applyFont="1" applyFill="1" applyBorder="1" applyAlignment="1" applyProtection="1">
      <alignment horizontal="center" vertical="center"/>
      <protection locked="0" hidden="1"/>
    </xf>
    <xf numFmtId="0" fontId="53" fillId="2" borderId="115" xfId="0" applyFont="1" applyFill="1" applyBorder="1" applyAlignment="1" applyProtection="1">
      <alignment horizontal="left" vertical="center"/>
      <protection locked="0"/>
    </xf>
    <xf numFmtId="0" fontId="53" fillId="2" borderId="117" xfId="0" applyFont="1" applyFill="1" applyBorder="1" applyAlignment="1" applyProtection="1">
      <alignment horizontal="left" vertical="center"/>
      <protection locked="0"/>
    </xf>
    <xf numFmtId="0" fontId="53" fillId="2" borderId="119" xfId="0" applyFont="1" applyFill="1" applyBorder="1" applyAlignment="1" applyProtection="1">
      <alignment horizontal="left" vertical="center"/>
      <protection locked="0"/>
    </xf>
    <xf numFmtId="0" fontId="53" fillId="5" borderId="114" xfId="0" applyFont="1" applyFill="1" applyBorder="1" applyAlignment="1">
      <alignment horizontal="center" vertical="center"/>
    </xf>
    <xf numFmtId="0" fontId="53" fillId="5" borderId="116" xfId="0" applyFont="1" applyFill="1" applyBorder="1" applyAlignment="1">
      <alignment horizontal="center" vertical="center"/>
    </xf>
    <xf numFmtId="0" fontId="53" fillId="5" borderId="118" xfId="0" applyFont="1" applyFill="1" applyBorder="1" applyAlignment="1">
      <alignment horizontal="center" vertical="center"/>
    </xf>
    <xf numFmtId="0" fontId="31" fillId="20" borderId="122" xfId="0" applyFont="1" applyFill="1" applyBorder="1"/>
    <xf numFmtId="0" fontId="31" fillId="20" borderId="124" xfId="0" applyFont="1" applyFill="1" applyBorder="1"/>
    <xf numFmtId="0" fontId="4" fillId="17" borderId="122" xfId="0" applyFont="1" applyFill="1" applyBorder="1" applyAlignment="1">
      <alignment horizontal="center" vertical="center" wrapText="1"/>
    </xf>
    <xf numFmtId="0" fontId="4" fillId="17" borderId="124" xfId="0" applyFont="1" applyFill="1" applyBorder="1" applyAlignment="1">
      <alignment horizontal="center" vertical="center" wrapText="1"/>
    </xf>
    <xf numFmtId="0" fontId="27" fillId="5" borderId="29" xfId="0" applyFont="1" applyFill="1" applyBorder="1" applyAlignment="1">
      <alignment horizontal="left" vertical="center"/>
    </xf>
    <xf numFmtId="1" fontId="23" fillId="5" borderId="15" xfId="0" applyNumberFormat="1" applyFont="1" applyFill="1" applyBorder="1" applyAlignment="1" applyProtection="1">
      <alignment horizontal="center" vertical="center"/>
      <protection hidden="1"/>
    </xf>
    <xf numFmtId="0" fontId="31" fillId="20" borderId="123" xfId="0" applyFont="1" applyFill="1" applyBorder="1"/>
    <xf numFmtId="0" fontId="4" fillId="17" borderId="123" xfId="0" applyFont="1" applyFill="1" applyBorder="1" applyAlignment="1">
      <alignment horizontal="center" vertical="center" wrapText="1"/>
    </xf>
    <xf numFmtId="0" fontId="54" fillId="5" borderId="75" xfId="0" applyFont="1" applyFill="1" applyBorder="1" applyAlignment="1" applyProtection="1">
      <alignment vertical="center"/>
      <protection hidden="1"/>
    </xf>
    <xf numFmtId="0" fontId="55" fillId="5" borderId="13" xfId="0" applyFont="1" applyFill="1" applyBorder="1" applyAlignment="1" applyProtection="1">
      <alignment horizontal="left" vertical="center"/>
      <protection hidden="1"/>
    </xf>
    <xf numFmtId="0" fontId="55" fillId="5" borderId="33" xfId="0" applyFont="1" applyFill="1" applyBorder="1" applyAlignment="1" applyProtection="1">
      <alignment horizontal="left" vertical="center"/>
      <protection hidden="1"/>
    </xf>
    <xf numFmtId="0" fontId="54" fillId="5" borderId="33" xfId="0" applyFont="1" applyFill="1" applyBorder="1" applyAlignment="1" applyProtection="1">
      <alignment vertical="center"/>
      <protection hidden="1"/>
    </xf>
    <xf numFmtId="14" fontId="56" fillId="2" borderId="75" xfId="0" applyNumberFormat="1" applyFont="1" applyFill="1" applyBorder="1" applyAlignment="1" applyProtection="1">
      <alignment horizontal="center" vertical="center"/>
      <protection locked="0" hidden="1"/>
    </xf>
    <xf numFmtId="1" fontId="57" fillId="5" borderId="32" xfId="0" applyNumberFormat="1" applyFont="1" applyFill="1" applyBorder="1" applyAlignment="1" applyProtection="1">
      <alignment horizontal="center" vertical="center"/>
      <protection hidden="1"/>
    </xf>
    <xf numFmtId="1" fontId="57" fillId="5" borderId="31" xfId="0" applyNumberFormat="1" applyFont="1" applyFill="1" applyBorder="1" applyAlignment="1" applyProtection="1">
      <alignment horizontal="center" vertical="center"/>
      <protection hidden="1"/>
    </xf>
    <xf numFmtId="14" fontId="55" fillId="2" borderId="31" xfId="0" applyNumberFormat="1" applyFont="1" applyFill="1" applyBorder="1" applyAlignment="1" applyProtection="1">
      <alignment horizontal="center" vertical="center"/>
      <protection locked="0" hidden="1"/>
    </xf>
    <xf numFmtId="14" fontId="55" fillId="2" borderId="13" xfId="0" applyNumberFormat="1" applyFont="1" applyFill="1" applyBorder="1" applyAlignment="1" applyProtection="1">
      <alignment horizontal="center" vertical="center"/>
      <protection locked="0" hidden="1"/>
    </xf>
    <xf numFmtId="0" fontId="54" fillId="15" borderId="33" xfId="0" applyFont="1" applyFill="1" applyBorder="1" applyAlignment="1" applyProtection="1">
      <alignment vertical="center"/>
      <protection hidden="1"/>
    </xf>
    <xf numFmtId="0" fontId="52" fillId="23" borderId="0" xfId="0" applyFont="1" applyFill="1" applyProtection="1">
      <protection locked="0"/>
    </xf>
    <xf numFmtId="14" fontId="52" fillId="23" borderId="0" xfId="0" applyNumberFormat="1" applyFont="1" applyFill="1" applyProtection="1">
      <protection locked="0"/>
    </xf>
    <xf numFmtId="2" fontId="0" fillId="0" borderId="0" xfId="0" applyNumberFormat="1" applyAlignment="1">
      <alignment horizontal="right" vertical="center"/>
    </xf>
    <xf numFmtId="0" fontId="0" fillId="20" borderId="122" xfId="0" applyFill="1" applyBorder="1" applyAlignment="1">
      <alignment vertical="center" wrapText="1"/>
    </xf>
    <xf numFmtId="0" fontId="0" fillId="20" borderId="123" xfId="0" applyFill="1" applyBorder="1" applyAlignment="1">
      <alignment vertical="center" wrapText="1"/>
    </xf>
    <xf numFmtId="0" fontId="0" fillId="20" borderId="124" xfId="0" applyFill="1" applyBorder="1" applyAlignment="1">
      <alignment vertical="center" wrapText="1"/>
    </xf>
    <xf numFmtId="0" fontId="0" fillId="0" borderId="54" xfId="0" applyBorder="1" applyAlignment="1">
      <alignment horizontal="center" vertical="center" wrapText="1"/>
    </xf>
    <xf numFmtId="2" fontId="0" fillId="0" borderId="0" xfId="0" applyNumberFormat="1" applyAlignment="1">
      <alignment horizontal="right" vertical="center" wrapText="1"/>
    </xf>
    <xf numFmtId="14" fontId="0" fillId="0" borderId="0" xfId="0" applyNumberFormat="1" applyAlignment="1">
      <alignment horizontal="left" vertical="center" wrapText="1" indent="1"/>
    </xf>
    <xf numFmtId="0" fontId="0" fillId="0" borderId="63" xfId="0" applyBorder="1" applyAlignment="1">
      <alignment horizontal="center" vertical="center" wrapText="1"/>
    </xf>
    <xf numFmtId="1" fontId="0" fillId="0" borderId="0" xfId="0" applyNumberFormat="1" applyAlignment="1">
      <alignment horizontal="right" vertical="center" wrapText="1"/>
    </xf>
    <xf numFmtId="1" fontId="0" fillId="0" borderId="61" xfId="0" applyNumberFormat="1" applyBorder="1" applyAlignment="1">
      <alignment horizontal="center" vertical="center" wrapText="1"/>
    </xf>
    <xf numFmtId="1" fontId="0" fillId="0" borderId="125" xfId="0" applyNumberFormat="1" applyBorder="1" applyAlignment="1">
      <alignment horizontal="center" vertical="center" wrapText="1"/>
    </xf>
    <xf numFmtId="1" fontId="0" fillId="0" borderId="62" xfId="0" applyNumberFormat="1" applyBorder="1" applyAlignment="1">
      <alignment horizontal="center" vertical="center" wrapText="1"/>
    </xf>
    <xf numFmtId="0" fontId="0" fillId="0" borderId="0" xfId="0" pivotButton="1" applyAlignment="1">
      <alignment vertical="center" wrapText="1"/>
    </xf>
    <xf numFmtId="2" fontId="0" fillId="0" borderId="61" xfId="0" applyNumberFormat="1" applyBorder="1" applyAlignment="1">
      <alignment horizontal="right" vertical="center" wrapText="1"/>
    </xf>
    <xf numFmtId="2" fontId="0" fillId="0" borderId="125" xfId="0" applyNumberFormat="1" applyBorder="1" applyAlignment="1">
      <alignment horizontal="right" vertical="center" wrapText="1"/>
    </xf>
    <xf numFmtId="2" fontId="0" fillId="0" borderId="62" xfId="0" applyNumberFormat="1" applyBorder="1" applyAlignment="1">
      <alignment horizontal="right" vertical="center" wrapText="1"/>
    </xf>
    <xf numFmtId="1" fontId="0" fillId="0" borderId="0" xfId="0" applyNumberFormat="1" applyAlignment="1">
      <alignment horizontal="right" vertical="center"/>
    </xf>
    <xf numFmtId="0" fontId="0" fillId="0" borderId="0" xfId="0" applyAlignment="1">
      <alignment horizontal="left"/>
    </xf>
    <xf numFmtId="0" fontId="0" fillId="0" borderId="59" xfId="0" applyBorder="1" applyAlignment="1">
      <alignment horizontal="left"/>
    </xf>
    <xf numFmtId="1" fontId="0" fillId="0" borderId="0" xfId="0" applyNumberFormat="1" applyAlignment="1">
      <alignment vertical="center"/>
    </xf>
    <xf numFmtId="1" fontId="0" fillId="0" borderId="60" xfId="0" applyNumberFormat="1" applyBorder="1" applyAlignment="1">
      <alignment vertical="center"/>
    </xf>
    <xf numFmtId="1" fontId="0" fillId="0" borderId="126" xfId="0" applyNumberFormat="1" applyBorder="1" applyAlignment="1">
      <alignment horizontal="center" vertical="center"/>
    </xf>
    <xf numFmtId="1" fontId="0" fillId="0" borderId="55" xfId="0" applyNumberFormat="1" applyBorder="1" applyAlignment="1">
      <alignment vertical="center"/>
    </xf>
    <xf numFmtId="1" fontId="0" fillId="0" borderId="56" xfId="0" applyNumberFormat="1" applyBorder="1" applyAlignment="1">
      <alignment vertical="center"/>
    </xf>
    <xf numFmtId="1" fontId="0" fillId="0" borderId="57" xfId="0" applyNumberFormat="1" applyBorder="1" applyAlignment="1">
      <alignment vertical="center"/>
    </xf>
    <xf numFmtId="1" fontId="0" fillId="0" borderId="59" xfId="0" applyNumberFormat="1" applyBorder="1" applyAlignment="1">
      <alignment vertical="center"/>
    </xf>
    <xf numFmtId="1" fontId="0" fillId="0" borderId="58" xfId="0" applyNumberFormat="1" applyBorder="1" applyAlignment="1">
      <alignment horizontal="center" vertical="center"/>
    </xf>
    <xf numFmtId="0" fontId="0" fillId="0" borderId="65" xfId="0" applyBorder="1" applyAlignment="1">
      <alignment horizontal="center"/>
    </xf>
    <xf numFmtId="1" fontId="0" fillId="0" borderId="66" xfId="0" applyNumberFormat="1" applyBorder="1" applyAlignment="1">
      <alignment horizontal="center" vertical="center"/>
    </xf>
    <xf numFmtId="0" fontId="0" fillId="20" borderId="54" xfId="0" applyFill="1" applyBorder="1" applyAlignment="1">
      <alignment horizontal="center"/>
    </xf>
    <xf numFmtId="14" fontId="0" fillId="0" borderId="59" xfId="0" applyNumberFormat="1" applyBorder="1" applyAlignment="1">
      <alignment horizontal="left" indent="1"/>
    </xf>
    <xf numFmtId="2" fontId="0" fillId="0" borderId="0" xfId="0" applyNumberFormat="1" applyAlignment="1">
      <alignment vertical="center"/>
    </xf>
    <xf numFmtId="2" fontId="0" fillId="0" borderId="60" xfId="0" applyNumberFormat="1" applyBorder="1" applyAlignment="1">
      <alignment vertical="center"/>
    </xf>
    <xf numFmtId="2" fontId="0" fillId="0" borderId="126" xfId="0" applyNumberFormat="1" applyBorder="1" applyAlignment="1">
      <alignment vertical="center"/>
    </xf>
    <xf numFmtId="2" fontId="0" fillId="0" borderId="55" xfId="0" applyNumberFormat="1" applyBorder="1" applyAlignment="1">
      <alignment vertical="center"/>
    </xf>
    <xf numFmtId="2" fontId="0" fillId="0" borderId="56" xfId="0" applyNumberFormat="1" applyBorder="1" applyAlignment="1">
      <alignment vertical="center"/>
    </xf>
    <xf numFmtId="2" fontId="0" fillId="0" borderId="57" xfId="0" applyNumberFormat="1" applyBorder="1" applyAlignment="1">
      <alignment vertical="center"/>
    </xf>
    <xf numFmtId="2" fontId="0" fillId="0" borderId="59" xfId="0" applyNumberFormat="1" applyBorder="1" applyAlignment="1">
      <alignment vertical="center"/>
    </xf>
    <xf numFmtId="2" fontId="0" fillId="0" borderId="58" xfId="0" applyNumberFormat="1" applyBorder="1" applyAlignment="1">
      <alignment vertical="center"/>
    </xf>
    <xf numFmtId="0" fontId="0" fillId="0" borderId="54" xfId="0" applyBorder="1" applyAlignment="1">
      <alignment horizontal="left"/>
    </xf>
    <xf numFmtId="0" fontId="0" fillId="0" borderId="65" xfId="0" applyBorder="1" applyAlignment="1">
      <alignment horizontal="left"/>
    </xf>
    <xf numFmtId="2" fontId="0" fillId="0" borderId="66" xfId="0" applyNumberFormat="1" applyBorder="1" applyAlignment="1">
      <alignment vertical="center"/>
    </xf>
    <xf numFmtId="1" fontId="0" fillId="0" borderId="0" xfId="0" applyNumberFormat="1" applyAlignment="1">
      <alignment horizontal="right"/>
    </xf>
    <xf numFmtId="0" fontId="0" fillId="20" borderId="0" xfId="0" applyFill="1"/>
    <xf numFmtId="14" fontId="0" fillId="0" borderId="0" xfId="0" applyNumberFormat="1" applyAlignment="1">
      <alignment horizontal="left" indent="1"/>
    </xf>
    <xf numFmtId="2" fontId="0" fillId="0" borderId="0" xfId="0" applyNumberFormat="1" applyAlignment="1">
      <alignment horizontal="right"/>
    </xf>
    <xf numFmtId="0" fontId="0" fillId="0" borderId="64" xfId="0" applyBorder="1" applyAlignment="1">
      <alignment horizontal="left"/>
    </xf>
    <xf numFmtId="0" fontId="0" fillId="0" borderId="54" xfId="0" applyBorder="1"/>
    <xf numFmtId="0" fontId="0" fillId="20" borderId="122" xfId="0" applyFill="1" applyBorder="1"/>
    <xf numFmtId="0" fontId="0" fillId="20" borderId="123" xfId="0" applyFill="1" applyBorder="1"/>
    <xf numFmtId="0" fontId="0" fillId="20" borderId="124" xfId="0" applyFill="1" applyBorder="1"/>
    <xf numFmtId="164" fontId="10" fillId="16" borderId="5" xfId="0" applyNumberFormat="1" applyFont="1" applyFill="1" applyBorder="1" applyAlignment="1" applyProtection="1">
      <alignment horizontal="center" vertical="center"/>
      <protection hidden="1"/>
    </xf>
    <xf numFmtId="164" fontId="10" fillId="16" borderId="6" xfId="0" applyNumberFormat="1" applyFont="1" applyFill="1" applyBorder="1" applyAlignment="1" applyProtection="1">
      <alignment horizontal="center" vertical="center"/>
      <protection hidden="1"/>
    </xf>
    <xf numFmtId="164" fontId="10" fillId="16" borderId="7" xfId="0" applyNumberFormat="1" applyFont="1" applyFill="1" applyBorder="1" applyAlignment="1" applyProtection="1">
      <alignment horizontal="center" vertical="center"/>
      <protection hidden="1"/>
    </xf>
    <xf numFmtId="0" fontId="58" fillId="5" borderId="75" xfId="0" applyFont="1" applyFill="1" applyBorder="1" applyAlignment="1" applyProtection="1">
      <alignment vertical="center"/>
      <protection hidden="1"/>
    </xf>
    <xf numFmtId="0" fontId="58" fillId="15" borderId="75" xfId="0" applyFont="1" applyFill="1" applyBorder="1" applyAlignment="1" applyProtection="1">
      <alignment vertical="center"/>
      <protection hidden="1"/>
    </xf>
    <xf numFmtId="14" fontId="56" fillId="2" borderId="112" xfId="0" applyNumberFormat="1" applyFont="1" applyFill="1" applyBorder="1" applyAlignment="1" applyProtection="1">
      <alignment horizontal="center" vertical="center"/>
      <protection locked="0" hidden="1"/>
    </xf>
    <xf numFmtId="0" fontId="58" fillId="5" borderId="76" xfId="0" applyFont="1" applyFill="1" applyBorder="1" applyAlignment="1" applyProtection="1">
      <alignment vertical="center"/>
      <protection hidden="1"/>
    </xf>
    <xf numFmtId="14" fontId="56" fillId="2" borderId="76" xfId="0" applyNumberFormat="1" applyFont="1" applyFill="1" applyBorder="1" applyAlignment="1" applyProtection="1">
      <alignment horizontal="center" vertical="center"/>
      <protection locked="0" hidden="1"/>
    </xf>
    <xf numFmtId="0" fontId="58" fillId="5" borderId="112" xfId="0" applyFont="1" applyFill="1" applyBorder="1" applyAlignment="1" applyProtection="1">
      <alignment vertical="center"/>
      <protection hidden="1"/>
    </xf>
    <xf numFmtId="0" fontId="4" fillId="5" borderId="33" xfId="0" applyFont="1" applyFill="1" applyBorder="1" applyAlignment="1" applyProtection="1">
      <alignment horizontal="left" vertical="center"/>
      <protection hidden="1"/>
    </xf>
    <xf numFmtId="14" fontId="6" fillId="2" borderId="75" xfId="0" applyNumberFormat="1" applyFont="1" applyFill="1" applyBorder="1" applyAlignment="1" applyProtection="1">
      <alignment horizontal="center" vertical="center"/>
      <protection locked="0" hidden="1"/>
    </xf>
    <xf numFmtId="1" fontId="6" fillId="5" borderId="33" xfId="0" applyNumberFormat="1" applyFont="1" applyFill="1" applyBorder="1" applyAlignment="1" applyProtection="1">
      <alignment horizontal="center" vertical="center"/>
      <protection hidden="1"/>
    </xf>
    <xf numFmtId="14" fontId="6" fillId="5" borderId="33" xfId="0" applyNumberFormat="1" applyFont="1" applyFill="1" applyBorder="1" applyAlignment="1" applyProtection="1">
      <alignment horizontal="center" vertical="center"/>
      <protection hidden="1"/>
    </xf>
    <xf numFmtId="0" fontId="4" fillId="5" borderId="13" xfId="0" applyFont="1" applyFill="1" applyBorder="1" applyAlignment="1" applyProtection="1">
      <alignment horizontal="left" vertical="center"/>
      <protection hidden="1"/>
    </xf>
    <xf numFmtId="14" fontId="6" fillId="2" borderId="76" xfId="0" applyNumberFormat="1" applyFont="1" applyFill="1" applyBorder="1" applyAlignment="1" applyProtection="1">
      <alignment horizontal="center" vertical="center"/>
      <protection locked="0" hidden="1"/>
    </xf>
    <xf numFmtId="0" fontId="16" fillId="3" borderId="71" xfId="0" applyFont="1" applyFill="1" applyBorder="1" applyAlignment="1">
      <alignment horizontal="center" vertical="center"/>
    </xf>
    <xf numFmtId="0" fontId="16" fillId="3" borderId="72" xfId="0" applyFont="1" applyFill="1" applyBorder="1" applyAlignment="1">
      <alignment horizontal="center" vertical="center"/>
    </xf>
    <xf numFmtId="0" fontId="16" fillId="3" borderId="73" xfId="0" applyFont="1" applyFill="1" applyBorder="1" applyAlignment="1">
      <alignment horizontal="center" vertical="center"/>
    </xf>
    <xf numFmtId="0" fontId="16" fillId="3" borderId="105" xfId="0" applyFont="1" applyFill="1" applyBorder="1" applyAlignment="1">
      <alignment horizontal="center" vertical="center"/>
    </xf>
    <xf numFmtId="0" fontId="25" fillId="13" borderId="40" xfId="0" applyFont="1" applyFill="1" applyBorder="1" applyAlignment="1">
      <alignment horizontal="center" vertical="center"/>
    </xf>
    <xf numFmtId="0" fontId="26" fillId="14" borderId="23" xfId="0" applyFont="1" applyFill="1" applyBorder="1" applyAlignment="1">
      <alignment horizontal="center" vertical="center"/>
    </xf>
    <xf numFmtId="0" fontId="26" fillId="14" borderId="24" xfId="0" applyFont="1" applyFill="1" applyBorder="1" applyAlignment="1">
      <alignment horizontal="center" vertical="center"/>
    </xf>
    <xf numFmtId="0" fontId="35" fillId="21" borderId="78" xfId="0" applyFont="1" applyFill="1" applyBorder="1" applyAlignment="1">
      <alignment horizontal="center" vertical="center"/>
    </xf>
    <xf numFmtId="0" fontId="35" fillId="21" borderId="77" xfId="0" applyFont="1" applyFill="1" applyBorder="1" applyAlignment="1">
      <alignment horizontal="center" vertical="center"/>
    </xf>
    <xf numFmtId="0" fontId="13" fillId="26" borderId="120" xfId="0" applyFont="1" applyFill="1" applyBorder="1" applyAlignment="1">
      <alignment horizontal="center" vertical="center"/>
    </xf>
    <xf numFmtId="0" fontId="13" fillId="26" borderId="121" xfId="0" applyFont="1" applyFill="1" applyBorder="1" applyAlignment="1">
      <alignment horizontal="center" vertical="center"/>
    </xf>
    <xf numFmtId="0" fontId="0" fillId="2" borderId="27" xfId="0" applyFill="1" applyBorder="1" applyAlignment="1" applyProtection="1">
      <alignment horizontal="left" vertical="center"/>
      <protection hidden="1"/>
    </xf>
    <xf numFmtId="0" fontId="0" fillId="2" borderId="2" xfId="0" applyFill="1" applyBorder="1" applyAlignment="1" applyProtection="1">
      <alignment horizontal="left" vertical="center"/>
      <protection hidden="1"/>
    </xf>
    <xf numFmtId="2" fontId="19" fillId="9" borderId="38" xfId="0" applyNumberFormat="1" applyFont="1" applyFill="1" applyBorder="1" applyAlignment="1" applyProtection="1">
      <alignment horizontal="center" vertical="center"/>
      <protection hidden="1"/>
    </xf>
    <xf numFmtId="2" fontId="19" fillId="9" borderId="39" xfId="0" applyNumberFormat="1" applyFont="1" applyFill="1" applyBorder="1" applyAlignment="1" applyProtection="1">
      <alignment horizontal="center" vertical="center"/>
      <protection hidden="1"/>
    </xf>
    <xf numFmtId="0" fontId="17" fillId="4" borderId="21" xfId="0" applyFont="1" applyFill="1" applyBorder="1" applyAlignment="1" applyProtection="1">
      <alignment horizontal="center" vertical="center"/>
      <protection hidden="1"/>
    </xf>
    <xf numFmtId="0" fontId="17" fillId="4" borderId="20" xfId="0" applyFont="1" applyFill="1" applyBorder="1" applyAlignment="1" applyProtection="1">
      <alignment horizontal="center" vertical="center"/>
      <protection hidden="1"/>
    </xf>
    <xf numFmtId="0" fontId="13" fillId="5" borderId="23" xfId="0" applyFont="1" applyFill="1" applyBorder="1" applyAlignment="1" applyProtection="1">
      <alignment horizontal="center" vertical="center"/>
      <protection hidden="1"/>
    </xf>
    <xf numFmtId="0" fontId="13" fillId="5" borderId="24" xfId="0" applyFont="1" applyFill="1" applyBorder="1" applyAlignment="1" applyProtection="1">
      <alignment horizontal="center" vertical="center"/>
      <protection hidden="1"/>
    </xf>
    <xf numFmtId="0" fontId="13" fillId="5" borderId="25" xfId="0" applyFont="1" applyFill="1" applyBorder="1" applyAlignment="1" applyProtection="1">
      <alignment horizontal="center" vertical="center"/>
      <protection hidden="1"/>
    </xf>
    <xf numFmtId="0" fontId="13" fillId="5" borderId="2" xfId="0" applyFont="1" applyFill="1" applyBorder="1" applyAlignment="1" applyProtection="1">
      <alignment horizontal="center" vertical="center"/>
      <protection hidden="1"/>
    </xf>
    <xf numFmtId="0" fontId="13" fillId="5" borderId="1" xfId="0" applyFont="1" applyFill="1" applyBorder="1" applyAlignment="1" applyProtection="1">
      <alignment horizontal="center" vertical="center"/>
      <protection hidden="1"/>
    </xf>
    <xf numFmtId="0" fontId="13" fillId="5" borderId="4" xfId="0" applyFont="1" applyFill="1" applyBorder="1" applyAlignment="1" applyProtection="1">
      <alignment horizontal="center" vertical="center"/>
      <protection hidden="1"/>
    </xf>
    <xf numFmtId="0" fontId="0" fillId="2" borderId="127" xfId="0" applyFill="1" applyBorder="1" applyAlignment="1" applyProtection="1">
      <alignment horizontal="left" vertical="center"/>
      <protection hidden="1"/>
    </xf>
    <xf numFmtId="0" fontId="0" fillId="2" borderId="128" xfId="0" applyFill="1" applyBorder="1" applyAlignment="1" applyProtection="1">
      <alignment horizontal="left" vertical="center"/>
      <protection hidden="1"/>
    </xf>
    <xf numFmtId="0" fontId="0" fillId="2" borderId="29" xfId="0" applyFill="1" applyBorder="1" applyAlignment="1" applyProtection="1">
      <alignment horizontal="left" vertical="center"/>
      <protection hidden="1"/>
    </xf>
    <xf numFmtId="2" fontId="19" fillId="9" borderId="0" xfId="0" applyNumberFormat="1" applyFont="1" applyFill="1" applyAlignment="1" applyProtection="1">
      <alignment horizontal="center" vertical="center"/>
      <protection hidden="1"/>
    </xf>
    <xf numFmtId="2" fontId="19" fillId="9" borderId="1" xfId="0" applyNumberFormat="1" applyFont="1" applyFill="1" applyBorder="1" applyAlignment="1" applyProtection="1">
      <alignment horizontal="center" vertical="center"/>
      <protection hidden="1"/>
    </xf>
    <xf numFmtId="0" fontId="17" fillId="4" borderId="17" xfId="0" applyFont="1" applyFill="1" applyBorder="1" applyAlignment="1" applyProtection="1">
      <alignment horizontal="center" vertical="center"/>
      <protection hidden="1"/>
    </xf>
    <xf numFmtId="0" fontId="16" fillId="3" borderId="28" xfId="0" applyFont="1" applyFill="1" applyBorder="1" applyAlignment="1" applyProtection="1">
      <alignment horizontal="center" vertical="center" wrapText="1"/>
      <protection hidden="1"/>
    </xf>
    <xf numFmtId="0" fontId="16" fillId="3" borderId="18" xfId="0" applyFont="1" applyFill="1" applyBorder="1" applyAlignment="1" applyProtection="1">
      <alignment horizontal="center" vertical="center" wrapText="1"/>
      <protection hidden="1"/>
    </xf>
    <xf numFmtId="0" fontId="18" fillId="8" borderId="24" xfId="0" applyFont="1" applyFill="1" applyBorder="1" applyAlignment="1" applyProtection="1">
      <alignment horizontal="center" vertical="center" wrapText="1"/>
      <protection hidden="1"/>
    </xf>
    <xf numFmtId="0" fontId="18" fillId="8" borderId="14" xfId="0" applyFont="1" applyFill="1" applyBorder="1" applyAlignment="1" applyProtection="1">
      <alignment horizontal="center" vertical="center" wrapText="1"/>
      <protection hidden="1"/>
    </xf>
    <xf numFmtId="0" fontId="20" fillId="5" borderId="23" xfId="0" applyFont="1" applyFill="1" applyBorder="1" applyAlignment="1" applyProtection="1">
      <alignment horizontal="center" vertical="center"/>
      <protection hidden="1"/>
    </xf>
    <xf numFmtId="0" fontId="20" fillId="5" borderId="29" xfId="0" applyFont="1" applyFill="1" applyBorder="1" applyAlignment="1" applyProtection="1">
      <alignment horizontal="center" vertical="center"/>
      <protection hidden="1"/>
    </xf>
    <xf numFmtId="0" fontId="20" fillId="5" borderId="30" xfId="0" applyFont="1" applyFill="1" applyBorder="1" applyAlignment="1" applyProtection="1">
      <alignment horizontal="center" vertical="center"/>
      <protection hidden="1"/>
    </xf>
    <xf numFmtId="0" fontId="0" fillId="0" borderId="24" xfId="0" applyBorder="1" applyAlignment="1" applyProtection="1">
      <alignment horizontal="left" vertical="center"/>
      <protection hidden="1"/>
    </xf>
    <xf numFmtId="0" fontId="0" fillId="0" borderId="1" xfId="0" applyBorder="1" applyAlignment="1" applyProtection="1">
      <alignment horizontal="left" vertical="center"/>
      <protection hidden="1"/>
    </xf>
    <xf numFmtId="0" fontId="0" fillId="0" borderId="3" xfId="0" applyBorder="1" applyAlignment="1" applyProtection="1">
      <alignment horizontal="left" vertical="center"/>
      <protection hidden="1"/>
    </xf>
    <xf numFmtId="0" fontId="47" fillId="4" borderId="99" xfId="0" applyFont="1" applyFill="1" applyBorder="1" applyAlignment="1">
      <alignment horizontal="center" vertical="center"/>
    </xf>
    <xf numFmtId="0" fontId="47" fillId="4" borderId="100" xfId="0" applyFont="1" applyFill="1" applyBorder="1" applyAlignment="1">
      <alignment horizontal="center" vertical="center"/>
    </xf>
    <xf numFmtId="0" fontId="47" fillId="4" borderId="101" xfId="0" applyFont="1" applyFill="1" applyBorder="1" applyAlignment="1">
      <alignment horizontal="center" vertical="center"/>
    </xf>
    <xf numFmtId="0" fontId="37" fillId="23" borderId="0" xfId="0" applyFont="1" applyFill="1" applyAlignment="1">
      <alignment horizontal="center" vertical="center"/>
    </xf>
    <xf numFmtId="0" fontId="38" fillId="4" borderId="86" xfId="0" applyFont="1" applyFill="1" applyBorder="1" applyAlignment="1">
      <alignment horizontal="center" vertical="center"/>
    </xf>
    <xf numFmtId="0" fontId="38" fillId="4" borderId="87" xfId="0" applyFont="1" applyFill="1" applyBorder="1" applyAlignment="1">
      <alignment horizontal="center" vertical="center"/>
    </xf>
    <xf numFmtId="0" fontId="38" fillId="4" borderId="88" xfId="0" applyFont="1" applyFill="1" applyBorder="1" applyAlignment="1">
      <alignment horizontal="center" vertical="center"/>
    </xf>
    <xf numFmtId="0" fontId="40" fillId="24" borderId="89" xfId="0" applyFont="1" applyFill="1" applyBorder="1" applyAlignment="1">
      <alignment horizontal="center" vertical="center"/>
    </xf>
    <xf numFmtId="0" fontId="40" fillId="24" borderId="90" xfId="0" applyFont="1" applyFill="1" applyBorder="1" applyAlignment="1">
      <alignment horizontal="center" vertical="center"/>
    </xf>
    <xf numFmtId="0" fontId="41" fillId="25" borderId="85" xfId="0" applyFont="1" applyFill="1" applyBorder="1" applyAlignment="1">
      <alignment horizontal="center" vertical="center"/>
    </xf>
    <xf numFmtId="0" fontId="41" fillId="25" borderId="91" xfId="0" applyFont="1" applyFill="1" applyBorder="1" applyAlignment="1">
      <alignment horizontal="center" vertical="center"/>
    </xf>
    <xf numFmtId="2" fontId="42" fillId="4" borderId="93" xfId="0" applyNumberFormat="1" applyFont="1" applyFill="1" applyBorder="1" applyAlignment="1">
      <alignment horizontal="center" vertical="center"/>
    </xf>
    <xf numFmtId="2" fontId="42" fillId="4" borderId="0" xfId="0" applyNumberFormat="1" applyFont="1" applyFill="1" applyAlignment="1">
      <alignment horizontal="center" vertical="center"/>
    </xf>
    <xf numFmtId="2" fontId="42" fillId="4" borderId="94" xfId="0" applyNumberFormat="1" applyFont="1" applyFill="1" applyBorder="1" applyAlignment="1">
      <alignment horizontal="center" vertical="center"/>
    </xf>
    <xf numFmtId="0" fontId="43" fillId="24" borderId="89" xfId="0" applyFont="1" applyFill="1" applyBorder="1" applyAlignment="1">
      <alignment horizontal="center" vertical="center"/>
    </xf>
    <xf numFmtId="0" fontId="43" fillId="24" borderId="90" xfId="0" applyFont="1" applyFill="1" applyBorder="1" applyAlignment="1">
      <alignment horizontal="center" vertical="center"/>
    </xf>
    <xf numFmtId="0" fontId="44" fillId="25" borderId="85" xfId="0" applyFont="1" applyFill="1" applyBorder="1" applyAlignment="1">
      <alignment horizontal="center" vertical="center"/>
    </xf>
    <xf numFmtId="0" fontId="44" fillId="25" borderId="91" xfId="0" applyFont="1" applyFill="1" applyBorder="1" applyAlignment="1">
      <alignment horizontal="center" vertical="center"/>
    </xf>
    <xf numFmtId="0" fontId="26" fillId="14" borderId="0" xfId="0" applyFont="1" applyFill="1" applyAlignment="1">
      <alignment horizontal="center" vertical="center" wrapText="1"/>
    </xf>
    <xf numFmtId="0" fontId="26" fillId="14" borderId="55" xfId="0" applyFont="1" applyFill="1" applyBorder="1" applyAlignment="1">
      <alignment horizontal="center" vertical="center"/>
    </xf>
    <xf numFmtId="0" fontId="26" fillId="14" borderId="56" xfId="0" applyFont="1" applyFill="1" applyBorder="1" applyAlignment="1">
      <alignment horizontal="center" vertical="center"/>
    </xf>
    <xf numFmtId="0" fontId="26" fillId="14" borderId="57" xfId="0" applyFont="1" applyFill="1" applyBorder="1" applyAlignment="1">
      <alignment horizontal="center" vertical="center"/>
    </xf>
    <xf numFmtId="0" fontId="26" fillId="14" borderId="0" xfId="0" applyFont="1" applyFill="1" applyAlignment="1">
      <alignment horizontal="center" vertical="center"/>
    </xf>
  </cellXfs>
  <cellStyles count="1">
    <cellStyle name="Normal" xfId="0" builtinId="0"/>
  </cellStyles>
  <dxfs count="564">
    <dxf>
      <numFmt numFmtId="19" formatCode="dd/mm/yyyy"/>
    </dxf>
    <dxf>
      <font>
        <color theme="1"/>
      </font>
      <fill>
        <patternFill>
          <bgColor theme="0" tint="-0.14996795556505021"/>
        </patternFill>
      </fill>
    </dxf>
    <dxf>
      <font>
        <color theme="1"/>
      </font>
      <fill>
        <patternFill>
          <bgColor theme="0" tint="-0.14996795556505021"/>
        </patternFill>
      </fill>
    </dxf>
    <dxf>
      <font>
        <color theme="1"/>
      </font>
      <fill>
        <patternFill>
          <bgColor theme="0" tint="-0.14996795556505021"/>
        </patternFill>
      </fill>
    </dxf>
    <dxf>
      <font>
        <color theme="1"/>
      </font>
      <fill>
        <patternFill>
          <bgColor theme="0" tint="-0.14996795556505021"/>
        </patternFill>
      </fill>
    </dxf>
    <dxf>
      <font>
        <color theme="1"/>
      </font>
      <fill>
        <patternFill>
          <bgColor theme="0" tint="-0.14996795556505021"/>
        </patternFill>
      </fill>
    </dxf>
    <dxf>
      <font>
        <color theme="1"/>
      </font>
      <fill>
        <patternFill>
          <bgColor theme="0" tint="-0.14996795556505021"/>
        </patternFill>
      </fill>
    </dxf>
    <dxf>
      <font>
        <color theme="1"/>
      </font>
      <fill>
        <patternFill>
          <bgColor theme="0" tint="-0.14996795556505021"/>
        </patternFill>
      </fill>
    </dxf>
    <dxf>
      <font>
        <color theme="1"/>
      </font>
      <fill>
        <patternFill>
          <bgColor theme="0" tint="-0.14996795556505021"/>
        </patternFill>
      </fill>
    </dxf>
    <dxf>
      <font>
        <color theme="1"/>
      </font>
      <fill>
        <patternFill>
          <bgColor theme="0" tint="-0.14996795556505021"/>
        </patternFill>
      </fill>
    </dxf>
    <dxf>
      <font>
        <color theme="1"/>
      </font>
      <fill>
        <patternFill>
          <bgColor theme="0" tint="-0.14996795556505021"/>
        </patternFill>
      </fill>
    </dxf>
    <dxf>
      <font>
        <color theme="1"/>
      </font>
      <fill>
        <patternFill>
          <bgColor theme="0" tint="-0.14996795556505021"/>
        </patternFill>
      </fill>
    </dxf>
    <dxf>
      <font>
        <color theme="1"/>
      </font>
      <fill>
        <patternFill>
          <bgColor theme="0" tint="-0.14996795556505021"/>
        </patternFill>
      </fill>
    </dxf>
    <dxf>
      <font>
        <color theme="1"/>
      </font>
      <fill>
        <patternFill>
          <bgColor theme="0" tint="-0.14996795556505021"/>
        </patternFill>
      </fill>
    </dxf>
    <dxf>
      <font>
        <color theme="1"/>
      </font>
      <fill>
        <patternFill>
          <bgColor theme="0" tint="-0.14996795556505021"/>
        </patternFill>
      </fill>
    </dxf>
    <dxf>
      <font>
        <color theme="1"/>
      </font>
      <fill>
        <patternFill>
          <bgColor theme="0" tint="-0.14996795556505021"/>
        </patternFill>
      </fill>
    </dxf>
    <dxf>
      <font>
        <color theme="1"/>
      </font>
      <fill>
        <patternFill>
          <bgColor theme="0" tint="-0.14996795556505021"/>
        </patternFill>
      </fill>
    </dxf>
    <dxf>
      <font>
        <color theme="1"/>
      </font>
      <fill>
        <patternFill>
          <bgColor theme="0" tint="-0.14996795556505021"/>
        </patternFill>
      </fill>
    </dxf>
    <dxf>
      <font>
        <color theme="1"/>
      </font>
      <fill>
        <patternFill>
          <bgColor theme="0" tint="-0.14996795556505021"/>
        </patternFill>
      </fill>
    </dxf>
    <dxf>
      <font>
        <color theme="9" tint="0.39994506668294322"/>
      </font>
      <fill>
        <patternFill>
          <bgColor theme="9" tint="0.39994506668294322"/>
        </patternFill>
      </fill>
    </dxf>
    <dxf>
      <font>
        <color theme="5" tint="0.59996337778862885"/>
      </font>
      <fill>
        <patternFill>
          <bgColor theme="5" tint="0.59996337778862885"/>
        </patternFill>
      </fill>
    </dxf>
    <dxf>
      <font>
        <color theme="0"/>
      </font>
      <fill>
        <patternFill>
          <bgColor theme="0"/>
        </patternFill>
      </fill>
    </dxf>
    <dxf>
      <font>
        <color theme="1" tint="0.24994659260841701"/>
      </font>
      <fill>
        <patternFill>
          <bgColor theme="1" tint="0.24994659260841701"/>
        </patternFill>
      </fill>
    </dxf>
    <dxf>
      <font>
        <color theme="5"/>
      </font>
      <fill>
        <patternFill>
          <bgColor theme="5" tint="0.59996337778862885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color theme="6"/>
      </font>
      <fill>
        <patternFill>
          <bgColor theme="6" tint="0.59996337778862885"/>
        </patternFill>
      </fill>
    </dxf>
    <dxf>
      <font>
        <color rgb="FFC00000"/>
      </font>
      <fill>
        <patternFill>
          <bgColor rgb="FFFFBDBD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color theme="6"/>
      </font>
      <fill>
        <patternFill>
          <bgColor theme="6" tint="0.59996337778862885"/>
        </patternFill>
      </fill>
    </dxf>
    <dxf>
      <font>
        <color rgb="FFC00000"/>
      </font>
      <fill>
        <patternFill>
          <bgColor rgb="FFFFBDBD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color theme="6"/>
      </font>
      <fill>
        <patternFill>
          <bgColor theme="6" tint="0.59996337778862885"/>
        </patternFill>
      </fill>
    </dxf>
    <dxf>
      <font>
        <color rgb="FFC00000"/>
      </font>
      <fill>
        <patternFill>
          <bgColor rgb="FFFFBDBD"/>
        </patternFill>
      </fill>
    </dxf>
    <dxf>
      <font>
        <color theme="5"/>
      </font>
      <fill>
        <patternFill>
          <bgColor theme="5" tint="0.59996337778862885"/>
        </patternFill>
      </fill>
    </dxf>
    <dxf>
      <font>
        <color theme="1"/>
      </font>
      <fill>
        <patternFill>
          <bgColor theme="0" tint="-4.9989318521683403E-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border>
        <left style="thin">
          <color theme="0" tint="-0.249977111117893"/>
        </left>
        <right style="thin">
          <color theme="0" tint="-0.249977111117893"/>
        </right>
        <bottom style="thin">
          <color theme="0" tint="-0.249977111117893"/>
        </bottom>
      </border>
    </dxf>
    <dxf>
      <border>
        <left style="thin">
          <color theme="0" tint="-0.249977111117893"/>
        </left>
        <right style="thin">
          <color theme="0" tint="-0.249977111117893"/>
        </right>
        <bottom style="thin">
          <color theme="0" tint="-0.249977111117893"/>
        </bottom>
      </border>
    </dxf>
    <dxf>
      <border>
        <left style="thin">
          <color theme="0" tint="-0.249977111117893"/>
        </left>
        <right style="thin">
          <color theme="0" tint="-0.249977111117893"/>
        </right>
        <bottom style="thin">
          <color theme="0" tint="-0.249977111117893"/>
        </bottom>
      </border>
    </dxf>
    <dxf>
      <border>
        <left style="thin">
          <color theme="0" tint="-0.249977111117893"/>
        </left>
        <right style="thin">
          <color theme="0" tint="-0.249977111117893"/>
        </right>
        <bottom style="thin">
          <color theme="0" tint="-0.249977111117893"/>
        </bottom>
      </border>
    </dxf>
    <dxf>
      <border>
        <left style="thin">
          <color theme="0" tint="-0.249977111117893"/>
        </left>
        <right style="thin">
          <color theme="0" tint="-0.249977111117893"/>
        </right>
        <bottom style="thin">
          <color theme="0" tint="-0.249977111117893"/>
        </bottom>
      </border>
    </dxf>
    <dxf>
      <border>
        <left style="thin">
          <color theme="0" tint="-0.249977111117893"/>
        </left>
        <right style="thin">
          <color theme="0" tint="-0.249977111117893"/>
        </right>
        <bottom style="thin">
          <color theme="0" tint="-0.249977111117893"/>
        </bottom>
      </border>
    </dxf>
    <dxf>
      <border>
        <left style="thin">
          <color theme="0" tint="-0.249977111117893"/>
        </left>
        <right style="thin">
          <color theme="0" tint="-0.249977111117893"/>
        </right>
        <bottom style="thin">
          <color theme="0" tint="-0.249977111117893"/>
        </bottom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alignment horizontal="right"/>
    </dxf>
    <dxf>
      <font>
        <color theme="1"/>
      </font>
    </dxf>
    <dxf>
      <font>
        <color theme="1"/>
      </font>
    </dxf>
    <dxf>
      <font>
        <color theme="1"/>
      </font>
    </dxf>
    <dxf>
      <numFmt numFmtId="2" formatCode="0.00"/>
    </dxf>
    <dxf>
      <font>
        <sz val="9"/>
      </font>
      <alignment vertical="center"/>
    </dxf>
    <dxf>
      <fill>
        <patternFill patternType="solid">
          <bgColor theme="7" tint="0.39997558519241921"/>
        </patternFill>
      </fill>
    </dxf>
    <dxf>
      <font>
        <sz val="10"/>
      </font>
    </dxf>
    <dxf>
      <font>
        <sz val="10"/>
      </font>
    </dxf>
    <dxf>
      <numFmt numFmtId="2" formatCode="0.00"/>
      <alignment vertical="center"/>
    </dxf>
    <dxf>
      <alignment horizontal="center"/>
    </dxf>
    <dxf>
      <alignment horizontal="center"/>
    </dxf>
    <dxf>
      <font>
        <color theme="7" tint="0.79998168889431442"/>
      </font>
    </dxf>
    <dxf>
      <font>
        <color theme="7" tint="0.79998168889431442"/>
      </font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alignment horizontal="left"/>
    </dxf>
    <dxf>
      <alignment vertical="center"/>
    </dxf>
    <dxf>
      <alignment wrapText="1"/>
    </dxf>
    <dxf>
      <alignment wrapText="1"/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alignment horizontal="right"/>
    </dxf>
    <dxf>
      <font>
        <color theme="1"/>
      </font>
    </dxf>
    <dxf>
      <numFmt numFmtId="1" formatCode="0"/>
    </dxf>
    <dxf>
      <font>
        <sz val="9"/>
      </font>
      <alignment vertical="center"/>
    </dxf>
    <dxf>
      <fill>
        <patternFill patternType="solid">
          <bgColor theme="7" tint="0.39997558519241921"/>
        </patternFill>
      </fill>
    </dxf>
    <dxf>
      <font>
        <sz val="10"/>
      </font>
    </dxf>
    <dxf>
      <font>
        <sz val="10"/>
      </font>
    </dxf>
    <dxf>
      <numFmt numFmtId="2" formatCode="0.00"/>
      <alignment vertical="center"/>
    </dxf>
    <dxf>
      <alignment horizontal="center"/>
    </dxf>
    <dxf>
      <alignment horizontal="center"/>
    </dxf>
    <dxf>
      <font>
        <color theme="7" tint="0.79998168889431442"/>
      </font>
    </dxf>
    <dxf>
      <font>
        <color theme="7" tint="0.79998168889431442"/>
      </font>
    </dxf>
    <dxf>
      <alignment vertical="center"/>
    </dxf>
    <dxf>
      <alignment horizontal="center"/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alignment horizontal="left"/>
    </dxf>
    <dxf>
      <alignment vertical="center"/>
    </dxf>
    <dxf>
      <alignment wrapText="1"/>
    </dxf>
    <dxf>
      <alignment wrapText="1"/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border>
        <right style="medium">
          <color theme="0" tint="-0.249977111117893"/>
        </right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color theme="4"/>
      </font>
      <alignment vertical="center"/>
    </dxf>
    <dxf>
      <alignment horizontal="general"/>
    </dxf>
    <dxf>
      <font>
        <color theme="1"/>
      </font>
    </dxf>
    <dxf>
      <font>
        <color theme="1"/>
      </font>
    </dxf>
    <dxf>
      <font>
        <color theme="1"/>
      </font>
    </dxf>
    <dxf>
      <alignment horizontal="right"/>
    </dxf>
    <dxf>
      <alignment vertical="center"/>
    </dxf>
    <dxf>
      <numFmt numFmtId="2" formatCode="0.00"/>
    </dxf>
    <dxf>
      <border>
        <right style="thin">
          <color theme="1" tint="0.499984740745262"/>
        </right>
      </border>
    </dxf>
    <dxf>
      <fill>
        <patternFill patternType="solid">
          <bgColor theme="7" tint="0.39997558519241921"/>
        </patternFill>
      </fill>
    </dxf>
    <dxf>
      <font>
        <sz val="9"/>
      </font>
      <alignment vertical="center"/>
    </dxf>
    <dxf>
      <font>
        <sz val="10"/>
      </font>
    </dxf>
    <dxf>
      <font>
        <sz val="10"/>
      </font>
    </dxf>
    <dxf>
      <alignment horizontal="center"/>
    </dxf>
    <dxf>
      <font>
        <color theme="7" tint="0.79998168889431442"/>
      </font>
    </dxf>
    <dxf>
      <font>
        <color theme="7" tint="0.79998168889431442"/>
      </font>
    </dxf>
    <dxf>
      <font>
        <color theme="0"/>
      </font>
    </dxf>
    <dxf>
      <alignment horizontal="center"/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2" formatCode="0.00"/>
    </dxf>
    <dxf>
      <alignment vertical="center"/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border>
        <right style="medium">
          <color theme="0" tint="-0.249977111117893"/>
        </right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alignment horizontal="center"/>
    </dxf>
    <dxf>
      <alignment horizontal="center"/>
    </dxf>
    <dxf>
      <alignment horizontal="general"/>
    </dxf>
    <dxf>
      <font>
        <color theme="1"/>
      </font>
    </dxf>
    <dxf>
      <font>
        <color theme="1"/>
      </font>
    </dxf>
    <dxf>
      <font>
        <color theme="1"/>
      </font>
    </dxf>
    <dxf>
      <alignment horizontal="right"/>
    </dxf>
    <dxf>
      <alignment vertical="center"/>
    </dxf>
    <dxf>
      <numFmt numFmtId="1" formatCode="0"/>
    </dxf>
    <dxf>
      <border>
        <right style="thin">
          <color theme="1" tint="0.499984740745262"/>
        </right>
      </border>
    </dxf>
    <dxf>
      <fill>
        <patternFill patternType="solid">
          <bgColor theme="7" tint="0.39997558519241921"/>
        </patternFill>
      </fill>
    </dxf>
    <dxf>
      <font>
        <sz val="9"/>
      </font>
      <alignment vertical="center"/>
    </dxf>
    <dxf>
      <font>
        <sz val="10"/>
      </font>
    </dxf>
    <dxf>
      <font>
        <sz val="10"/>
      </font>
    </dxf>
    <dxf>
      <alignment horizontal="center"/>
    </dxf>
    <dxf>
      <font>
        <color theme="7" tint="0.79998168889431442"/>
      </font>
    </dxf>
    <dxf>
      <font>
        <color theme="7" tint="0.79998168889431442"/>
      </font>
    </dxf>
    <dxf>
      <font>
        <color theme="0"/>
      </font>
    </dxf>
    <dxf>
      <alignment horizontal="center"/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2" formatCode="0.00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border>
        <right style="thin">
          <color theme="0" tint="-0.249977111117893"/>
        </right>
      </border>
    </dxf>
    <dxf>
      <border>
        <right style="thin">
          <color theme="0" tint="-0.249977111117893"/>
        </right>
      </border>
    </dxf>
    <dxf>
      <border>
        <right style="thin">
          <color theme="0" tint="-0.249977111117893"/>
        </right>
      </border>
    </dxf>
    <dxf>
      <border>
        <right style="thin">
          <color theme="0" tint="-0.249977111117893"/>
        </right>
      </border>
    </dxf>
    <dxf>
      <border>
        <left style="medium">
          <color theme="0" tint="-0.249977111117893"/>
        </left>
        <right style="medium">
          <color theme="0" tint="-0.249977111117893"/>
        </right>
        <top style="medium">
          <color theme="0" tint="-0.249977111117893"/>
        </top>
        <bottom style="medium">
          <color theme="0" tint="-0.249977111117893"/>
        </bottom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color theme="4"/>
      </font>
    </dxf>
    <dxf>
      <font>
        <color theme="1"/>
      </font>
    </dxf>
    <dxf>
      <font>
        <color theme="1"/>
      </font>
    </dxf>
    <dxf>
      <font>
        <color theme="1"/>
      </font>
    </dxf>
    <dxf>
      <alignment horizontal="right"/>
    </dxf>
    <dxf>
      <alignment horizontal="center"/>
    </dxf>
    <dxf>
      <alignment horizontal="center"/>
    </dxf>
    <dxf>
      <border>
        <top style="thin">
          <color theme="1" tint="0.499984740745262"/>
        </top>
      </border>
    </dxf>
    <dxf>
      <border>
        <top style="thin">
          <color theme="1" tint="0.499984740745262"/>
        </top>
      </border>
    </dxf>
    <dxf>
      <border>
        <left style="thin">
          <color theme="1" tint="0.499984740745262"/>
        </left>
      </border>
    </dxf>
    <dxf>
      <border>
        <left style="thin">
          <color theme="1" tint="0.499984740745262"/>
        </left>
      </border>
    </dxf>
    <dxf>
      <font>
        <sz val="9"/>
      </font>
    </dxf>
    <dxf>
      <fill>
        <patternFill>
          <bgColor theme="7" tint="0.39997558519241921"/>
        </patternFill>
      </fill>
    </dxf>
    <dxf>
      <fill>
        <patternFill patternType="solid">
          <bgColor theme="7" tint="0.59999389629810485"/>
        </patternFill>
      </fill>
    </dxf>
    <dxf>
      <font>
        <color rgb="FFFF0000"/>
      </font>
    </dxf>
    <dxf>
      <font>
        <sz val="10"/>
      </font>
    </dxf>
    <dxf>
      <alignment horizontal="center"/>
    </dxf>
    <dxf>
      <font>
        <color theme="7" tint="0.79998168889431442"/>
      </font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/>
        </patternFill>
      </fill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2" formatCode="0.00"/>
    </dxf>
    <dxf>
      <border>
        <bottom/>
      </border>
    </dxf>
    <dxf>
      <border>
        <bottom/>
      </border>
    </dxf>
    <dxf>
      <alignment horizontal="center"/>
    </dxf>
    <dxf>
      <alignment horizontal="general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bottom style="thin">
          <color theme="5" tint="0.79998168889431442"/>
        </bottom>
      </border>
    </dxf>
    <dxf>
      <border>
        <bottom style="thin">
          <color theme="5" tint="0.79998168889431442"/>
        </bottom>
      </border>
    </dxf>
    <dxf>
      <border>
        <top style="thin">
          <color theme="5" tint="0.79998168889431442"/>
        </top>
      </border>
    </dxf>
    <dxf>
      <numFmt numFmtId="2" formatCode="0.00"/>
    </dxf>
    <dxf>
      <numFmt numFmtId="2" formatCode="0.00"/>
    </dxf>
    <dxf>
      <numFmt numFmtId="1" formatCode="0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sz val="9"/>
        <color theme="7" tint="0.79998168889431442"/>
      </font>
      <fill>
        <patternFill patternType="solid">
          <fgColor indexed="64"/>
          <bgColor theme="4" tint="0.59999389629810485"/>
        </patternFill>
      </fill>
      <alignment horizontal="center"/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alignment horizontal="center"/>
    </dxf>
    <dxf>
      <alignment horizontal="center"/>
    </dxf>
    <dxf>
      <border>
        <right style="thin">
          <color theme="0" tint="-0.249977111117893"/>
        </right>
      </border>
    </dxf>
    <dxf>
      <border>
        <right style="thin">
          <color theme="0" tint="-0.249977111117893"/>
        </right>
      </border>
    </dxf>
    <dxf>
      <border>
        <right style="thin">
          <color theme="0" tint="-0.249977111117893"/>
        </right>
      </border>
    </dxf>
    <dxf>
      <border>
        <right style="thin">
          <color theme="0" tint="-0.249977111117893"/>
        </right>
      </border>
    </dxf>
    <dxf>
      <border>
        <left style="medium">
          <color theme="0" tint="-0.249977111117893"/>
        </left>
        <right style="medium">
          <color theme="0" tint="-0.249977111117893"/>
        </right>
        <top style="medium">
          <color theme="0" tint="-0.249977111117893"/>
        </top>
        <bottom style="medium">
          <color theme="0" tint="-0.249977111117893"/>
        </bottom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color theme="4"/>
      </font>
    </dxf>
    <dxf>
      <font>
        <color theme="1"/>
      </font>
    </dxf>
    <dxf>
      <font>
        <color theme="1"/>
      </font>
    </dxf>
    <dxf>
      <font>
        <color theme="1"/>
      </font>
    </dxf>
    <dxf>
      <alignment horizontal="right"/>
    </dxf>
    <dxf>
      <border>
        <top style="thin">
          <color theme="1" tint="0.499984740745262"/>
        </top>
      </border>
    </dxf>
    <dxf>
      <border>
        <top style="thin">
          <color theme="1" tint="0.499984740745262"/>
        </top>
      </border>
    </dxf>
    <dxf>
      <border>
        <left style="thin">
          <color theme="1" tint="0.499984740745262"/>
        </left>
      </border>
    </dxf>
    <dxf>
      <border>
        <left style="thin">
          <color theme="1" tint="0.499984740745262"/>
        </left>
      </border>
    </dxf>
    <dxf>
      <font>
        <sz val="9"/>
      </font>
    </dxf>
    <dxf>
      <fill>
        <patternFill>
          <bgColor theme="7" tint="0.39997558519241921"/>
        </patternFill>
      </fill>
    </dxf>
    <dxf>
      <fill>
        <patternFill patternType="solid">
          <bgColor theme="7" tint="0.59999389629810485"/>
        </patternFill>
      </fill>
    </dxf>
    <dxf>
      <font>
        <color rgb="FFFF0000"/>
      </font>
    </dxf>
    <dxf>
      <font>
        <sz val="10"/>
      </font>
    </dxf>
    <dxf>
      <alignment horizontal="center"/>
    </dxf>
    <dxf>
      <font>
        <color theme="7" tint="0.79998168889431442"/>
      </font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/>
        </patternFill>
      </fill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2" formatCode="0.00"/>
    </dxf>
    <dxf>
      <border>
        <bottom/>
      </border>
    </dxf>
    <dxf>
      <border>
        <bottom/>
      </border>
    </dxf>
    <dxf>
      <alignment horizontal="center"/>
    </dxf>
    <dxf>
      <alignment horizontal="general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bottom style="thin">
          <color theme="5" tint="0.79998168889431442"/>
        </bottom>
      </border>
    </dxf>
    <dxf>
      <border>
        <bottom style="thin">
          <color theme="5" tint="0.79998168889431442"/>
        </bottom>
      </border>
    </dxf>
    <dxf>
      <border>
        <top style="thin">
          <color theme="5" tint="0.79998168889431442"/>
        </top>
      </border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>
        <left/>
        <right style="medium">
          <color theme="1"/>
        </right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9" formatCode="dd/mm/yyyy"/>
      <border diagonalUp="0" diagonalDown="0">
        <left style="medium">
          <color theme="1"/>
        </left>
        <right/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4.9989318521683403E-2"/>
        <name val="Aptos Narrow"/>
        <family val="2"/>
        <scheme val="minor"/>
      </font>
      <fill>
        <patternFill patternType="solid">
          <fgColor indexed="64"/>
          <bgColor theme="2"/>
        </patternFill>
      </fill>
      <alignment horizontal="general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  <protection locked="0" hidden="0"/>
    </dxf>
    <dxf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numFmt numFmtId="1" formatCode="0"/>
      <fill>
        <patternFill patternType="solid">
          <fgColor theme="5" tint="0.79998168889431442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5" tint="0.39997558519241921"/>
        </top>
        <bottom/>
        <vertical/>
        <horizontal/>
      </border>
    </dxf>
    <dxf>
      <border outline="0">
        <left style="thin">
          <color theme="5" tint="0.39997558519241921"/>
        </left>
        <right style="thin">
          <color theme="5" tint="0.39997558519241921"/>
        </right>
        <top style="thin">
          <color theme="5" tint="0.39997558519241921"/>
        </top>
      </border>
    </dxf>
    <dxf>
      <fill>
        <patternFill patternType="solid">
          <fgColor theme="5" tint="0.79998168889431442"/>
          <bgColor theme="5" tint="0.7999816888943144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5"/>
          <bgColor theme="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 style="thin">
          <color theme="1"/>
        </bottom>
      </border>
    </dxf>
    <dxf>
      <border>
        <top style="thin">
          <color theme="1"/>
        </top>
      </border>
    </dxf>
    <dxf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border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/>
        <bottom/>
        <vertical style="thin">
          <color theme="1"/>
        </vertical>
        <horizontal style="thin">
          <color theme="1"/>
        </horizontal>
      </border>
    </dxf>
    <dxf>
      <fill>
        <patternFill patternType="none">
          <fgColor indexed="64"/>
          <bgColor auto="1"/>
        </patternFill>
      </fill>
    </dxf>
    <dxf>
      <border outline="0">
        <top style="thin">
          <color theme="1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border>
        <top style="thin">
          <color theme="1"/>
        </top>
      </border>
    </dxf>
    <dxf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border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/>
        <bottom/>
        <vertical style="thin">
          <color theme="1"/>
        </vertical>
        <horizontal style="thin">
          <color theme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1" formatCode="0"/>
      <fill>
        <patternFill patternType="none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1" formatCode="0"/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19" formatCode="dd/mm/yyyy"/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8"/>
        <name val="Aptos Narrow"/>
        <family val="2"/>
        <scheme val="minor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8"/>
        <name val="Aptos Narrow"/>
        <family val="2"/>
        <scheme val="minor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19" formatCode="dd/mm/yyyy"/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 style="thin">
          <color theme="1"/>
        </bottom>
      </border>
      <protection locked="0" hidden="0"/>
    </dxf>
    <dxf>
      <border>
        <top style="thin">
          <color theme="1"/>
        </top>
      </border>
    </dxf>
    <dxf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strike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fill>
        <patternFill patternType="none">
          <fgColor indexed="64"/>
          <bgColor theme="0"/>
        </patternFill>
      </fill>
      <alignment vertical="center" textRotation="0" wrapText="0" indent="0" justifyLastLine="0" shrinkToFit="0" readingOrder="0"/>
      <protection locked="0" hidden="0"/>
    </dxf>
    <dxf>
      <border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/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1" formatCode="0"/>
      <fill>
        <patternFill patternType="none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1" formatCode="0"/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19" formatCode="dd/mm/yyyy"/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8"/>
        <name val="Aptos Narrow"/>
        <family val="2"/>
        <scheme val="minor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8"/>
        <name val="Aptos Narrow"/>
        <family val="2"/>
        <scheme val="minor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19" formatCode="dd/mm/yyyy"/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border>
        <top style="thin">
          <color theme="1"/>
        </top>
      </border>
    </dxf>
    <dxf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strike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fill>
        <patternFill patternType="none">
          <fgColor indexed="64"/>
          <bgColor theme="0"/>
        </patternFill>
      </fill>
      <alignment vertical="center" textRotation="0" wrapText="0" indent="0" justifyLastLine="0" shrinkToFit="0" readingOrder="0"/>
      <protection locked="0" hidden="0"/>
    </dxf>
    <dxf>
      <border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/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1" formatCode="0"/>
      <fill>
        <patternFill patternType="none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1" formatCode="0"/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19" formatCode="dd/mm/yyyy"/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8"/>
        <name val="Aptos Narrow"/>
        <family val="2"/>
        <scheme val="minor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8"/>
        <name val="Aptos Narrow"/>
        <family val="2"/>
        <scheme val="minor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19" formatCode="dd/mm/yyyy"/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border>
        <top style="thin">
          <color theme="1"/>
        </top>
      </border>
    </dxf>
    <dxf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strike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fill>
        <patternFill patternType="none">
          <fgColor indexed="64"/>
          <bgColor theme="0"/>
        </patternFill>
      </fill>
      <alignment vertical="center" textRotation="0" wrapText="0" indent="0" justifyLastLine="0" shrinkToFit="0" readingOrder="0"/>
      <protection locked="0" hidden="0"/>
    </dxf>
    <dxf>
      <border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/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1" formatCode="0"/>
      <fill>
        <patternFill patternType="none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1" formatCode="0"/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19" formatCode="dd/mm/yyyy"/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8"/>
        <name val="Aptos Narrow"/>
        <family val="2"/>
        <scheme val="minor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8"/>
        <name val="Aptos Narrow"/>
        <family val="2"/>
        <scheme val="minor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19" formatCode="dd/mm/yyyy"/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border>
        <top style="thin">
          <color theme="1"/>
        </top>
      </border>
    </dxf>
    <dxf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strike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fill>
        <patternFill patternType="none">
          <fgColor indexed="64"/>
          <bgColor theme="0"/>
        </patternFill>
      </fill>
      <alignment vertical="center" textRotation="0" wrapText="0" indent="0" justifyLastLine="0" shrinkToFit="0" readingOrder="0"/>
      <protection locked="0" hidden="0"/>
    </dxf>
    <dxf>
      <border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/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9" formatCode="dd/mm/yyyy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9" formatCode="dd/mm/yyyy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9" formatCode="dd/mm/yyyy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1"/>
        </left>
        <right/>
        <top style="thin">
          <color theme="1"/>
        </top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9" formatCode="dd/mm/yyyy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1"/>
        </left>
        <right/>
        <top style="thin">
          <color theme="1"/>
        </top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medium">
          <color theme="1"/>
        </right>
        <top style="thin">
          <color theme="1"/>
        </top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/>
        <right style="medium">
          <color theme="1"/>
        </right>
        <top style="thin">
          <color theme="1"/>
        </top>
        <bottom/>
        <vertic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9" formatCode="dd/mm/yyyy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9" formatCode="dd/mm/yyyy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9" formatCode="dd/mm/yyyy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9" formatCode="dd/mm/yyyy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1"/>
        </left>
        <right/>
        <top style="thin">
          <color theme="1"/>
        </top>
        <bottom/>
        <vertic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9" formatCode="dd/mm/yyyy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medium">
          <color indexed="64"/>
        </right>
        <top style="thin">
          <color theme="1"/>
        </top>
        <bottom style="medium">
          <color indexed="64"/>
        </bottom>
      </border>
      <protection locked="0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9" formatCode="dd/mm/yyyy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/>
      </border>
      <protection locked="0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9" formatCode="dd/mm/yyyy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medium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9" formatCode="dd/mm/yyyy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medium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medium">
          <color indexed="64"/>
        </bottom>
      </border>
      <protection locked="0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5"/>
        <name val="Aptos Narrow"/>
        <family val="2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  <protection locked="0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 style="medium">
          <color indexed="64"/>
        </bottom>
      </border>
      <protection locked="0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5"/>
        <name val="Aptos Narrow"/>
        <family val="2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  <protection locked="0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 style="medium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 style="medium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5"/>
        <name val="Aptos Narrow"/>
        <family val="2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 style="thin">
          <color theme="1"/>
        </top>
        <bottom style="medium">
          <color indexed="64"/>
        </bottom>
      </border>
      <protection locked="0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5"/>
        <name val="Aptos Narrow"/>
        <family val="2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 style="thin">
          <color theme="1"/>
        </top>
        <bottom/>
        <vertical/>
        <horizontal/>
      </border>
      <protection locked="0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medium">
          <color indexed="64"/>
        </bottom>
      </border>
      <protection locked="1" hidden="1"/>
    </dxf>
    <dxf>
      <fill>
        <patternFill patternType="solid">
          <fgColor indexed="64"/>
          <bgColor theme="0" tint="-4.9989318521683403E-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/>
        <name val="Aptos Narrow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medium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/>
        <name val="Aptos Narrow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/>
        <name val="Aptos Narrow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medium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/>
        <name val="Aptos Narrow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 style="thin">
          <color theme="1"/>
        </top>
        <bottom style="medium">
          <color indexed="64"/>
        </bottom>
      </border>
      <protection locked="1" hidden="1"/>
    </dxf>
    <dxf>
      <fill>
        <patternFill patternType="solid">
          <fgColor indexed="64"/>
          <bgColor theme="0" tint="-4.9989318521683403E-2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 style="thin">
          <color theme="1"/>
        </top>
        <bottom/>
        <vertical/>
        <horizontal/>
      </border>
      <protection locked="1" hidden="1"/>
    </dxf>
    <dxf>
      <border outline="0">
        <left style="medium">
          <color theme="1"/>
        </left>
        <right style="medium">
          <color theme="1"/>
        </right>
        <top style="thin">
          <color theme="1"/>
        </top>
        <bottom style="medium">
          <color theme="1"/>
        </bottom>
      </border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6" tint="0.79998168889431442"/>
        <name val="Aptos Narrow"/>
        <family val="2"/>
        <scheme val="minor"/>
      </font>
      <fill>
        <patternFill patternType="solid">
          <fgColor indexed="64"/>
          <bgColor theme="6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1" formatCode="0"/>
      <fill>
        <patternFill patternType="none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1" formatCode="0"/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19" formatCode="dd/mm/yyyy"/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8"/>
        <name val="Aptos Narrow"/>
        <family val="2"/>
        <scheme val="minor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8"/>
        <name val="Aptos Narrow"/>
        <family val="2"/>
        <scheme val="minor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19" formatCode="dd/mm/yyyy"/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 style="thin">
          <color theme="1"/>
        </bottom>
      </border>
      <protection locked="0" hidden="0"/>
    </dxf>
    <dxf>
      <border>
        <top style="thin">
          <color theme="1"/>
        </top>
      </border>
    </dxf>
    <dxf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strike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fill>
        <patternFill patternType="none">
          <fgColor indexed="64"/>
          <bgColor theme="0"/>
        </patternFill>
      </fill>
      <alignment vertical="center" textRotation="0" wrapText="0" indent="0" justifyLastLine="0" shrinkToFit="0" readingOrder="0"/>
      <protection locked="0" hidden="0"/>
    </dxf>
    <dxf>
      <border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/>
        <vertical/>
        <horizontal/>
      </border>
      <protection locked="1" hidden="0"/>
    </dxf>
  </dxfs>
  <tableStyles count="0" defaultTableStyle="TableStyleMedium2" defaultPivotStyle="PivotStyleLight16"/>
  <colors>
    <mruColors>
      <color rgb="FFFFBDBD"/>
      <color rgb="FFFFB9B9"/>
      <color rgb="FFFFB3B3"/>
      <color rgb="FFFFF4D1"/>
      <color rgb="FF83CCEB"/>
      <color rgb="FF35731F"/>
      <color rgb="FF8ED973"/>
      <color rgb="FF1D5185"/>
      <color rgb="FF4E95D9"/>
      <color rgb="FFAEAEA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2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28" Type="http://schemas.openxmlformats.org/officeDocument/2006/relationships/customXml" Target="../customXml/item4.xml"/><Relationship Id="rId10" Type="http://schemas.openxmlformats.org/officeDocument/2006/relationships/worksheet" Target="worksheets/sheet10.xml"/><Relationship Id="rId19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Relationship Id="rId27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118769996359945"/>
          <c:y val="8.1908460632889368E-2"/>
          <c:w val="0.80974511226698853"/>
          <c:h val="0.75050641155298259"/>
        </c:manualLayout>
      </c:layout>
      <c:lineChart>
        <c:grouping val="standard"/>
        <c:varyColors val="0"/>
        <c:ser>
          <c:idx val="1"/>
          <c:order val="0"/>
          <c:tx>
            <c:strRef>
              <c:f>t_valor!$O$2</c:f>
              <c:strCache>
                <c:ptCount val="1"/>
                <c:pt idx="0">
                  <c:v>Planificado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t_valor!$O$3:$O$7</c:f>
              <c:numCache>
                <c:formatCode>General</c:formatCode>
                <c:ptCount val="5"/>
                <c:pt idx="0">
                  <c:v>0</c:v>
                </c:pt>
                <c:pt idx="1">
                  <c:v>40</c:v>
                </c:pt>
                <c:pt idx="2">
                  <c:v>110</c:v>
                </c:pt>
                <c:pt idx="3">
                  <c:v>185</c:v>
                </c:pt>
                <c:pt idx="4">
                  <c:v>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F15-4BF6-92AB-4C4F5367AE81}"/>
            </c:ext>
          </c:extLst>
        </c:ser>
        <c:ser>
          <c:idx val="0"/>
          <c:order val="1"/>
          <c:tx>
            <c:strRef>
              <c:f>t_valor!$N$2</c:f>
              <c:strCache>
                <c:ptCount val="1"/>
                <c:pt idx="0">
                  <c:v>Real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t_valor!$N$3:$N$7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15-4BF6-92AB-4C4F5367AE81}"/>
            </c:ext>
          </c:extLst>
        </c:ser>
        <c:ser>
          <c:idx val="2"/>
          <c:order val="2"/>
          <c:tx>
            <c:strRef>
              <c:f>t_valor!$P$2</c:f>
              <c:strCache>
                <c:ptCount val="1"/>
                <c:pt idx="0">
                  <c:v>Ideal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dash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t_valor!$P$3:$P$7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15-4BF6-92AB-4C4F5367AE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7487136"/>
        <c:axId val="1827476576"/>
      </c:lineChart>
      <c:catAx>
        <c:axId val="18274871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Semanas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27476576"/>
        <c:crosses val="autoZero"/>
        <c:auto val="1"/>
        <c:lblAlgn val="ctr"/>
        <c:lblOffset val="100"/>
        <c:noMultiLvlLbl val="0"/>
      </c:catAx>
      <c:valAx>
        <c:axId val="1827476576"/>
        <c:scaling>
          <c:orientation val="minMax"/>
          <c:max val="32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\ &quot;LPs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27487136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588683283036356"/>
          <c:y val="8.9868283330917703E-2"/>
          <c:w val="0.38055276335292154"/>
          <c:h val="0.4704708009786193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1E6-4F42-AA68-CC4BE9C2993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1E6-4F42-AA68-CC4BE9C29930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1E6-4F42-AA68-CC4BE9C29930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1E6-4F42-AA68-CC4BE9C29930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375-4D4E-ABCF-D823900A1766}"/>
              </c:ext>
            </c:extLst>
          </c:dPt>
          <c:cat>
            <c:strRef>
              <c:f>t_objetivos!$U$4:$Y$4</c:f>
              <c:strCache>
                <c:ptCount val="5"/>
                <c:pt idx="0">
                  <c:v>Ciclo de vida</c:v>
                </c:pt>
                <c:pt idx="1">
                  <c:v>Ingeniería de datos</c:v>
                </c:pt>
                <c:pt idx="2">
                  <c:v>Diseño físico</c:v>
                </c:pt>
                <c:pt idx="3">
                  <c:v>Equipo</c:v>
                </c:pt>
                <c:pt idx="4">
                  <c:v>Gestión de transacciones</c:v>
                </c:pt>
              </c:strCache>
            </c:strRef>
          </c:cat>
          <c:val>
            <c:numRef>
              <c:f>t_objetivos!$U$10:$Y$10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584-46EE-A731-3CCE701C39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248602774725017"/>
          <c:y val="5.8688256551281438E-2"/>
          <c:w val="0.86077824273677683"/>
          <c:h val="0.6200918045706695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t_estudiantes!$U$4</c:f>
              <c:strCache>
                <c:ptCount val="1"/>
                <c:pt idx="0">
                  <c:v>Nombre#1 Apellido#11 Apellido#12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t_estudiantes!$T$5:$T$9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t_estudiantes!$U$5:$U$9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3D-40EB-8FED-E9B485B6BE54}"/>
            </c:ext>
          </c:extLst>
        </c:ser>
        <c:ser>
          <c:idx val="1"/>
          <c:order val="1"/>
          <c:tx>
            <c:strRef>
              <c:f>t_estudiantes!$V$4</c:f>
              <c:strCache>
                <c:ptCount val="1"/>
                <c:pt idx="0">
                  <c:v>Nombre#2 Apellido#21 Apellido#22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t_estudiantes!$V$5:$V$9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3D-40EB-8FED-E9B485B6BE54}"/>
            </c:ext>
          </c:extLst>
        </c:ser>
        <c:ser>
          <c:idx val="2"/>
          <c:order val="2"/>
          <c:tx>
            <c:strRef>
              <c:f>t_estudiantes!$W$4</c:f>
              <c:strCache>
                <c:ptCount val="1"/>
                <c:pt idx="0">
                  <c:v>Nombre#3 Apellido#31 Apellido#32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t_estudiantes!$W$5:$W$9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73D-40EB-8FED-E9B485B6BE54}"/>
            </c:ext>
          </c:extLst>
        </c:ser>
        <c:ser>
          <c:idx val="3"/>
          <c:order val="3"/>
          <c:tx>
            <c:strRef>
              <c:f>t_estudiantes!$X$4</c:f>
              <c:strCache>
                <c:ptCount val="1"/>
                <c:pt idx="0">
                  <c:v>Nombre#4 Apellido#41 Apellido#42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t_estudiantes!$X$5:$X$9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73D-40EB-8FED-E9B485B6BE54}"/>
            </c:ext>
          </c:extLst>
        </c:ser>
        <c:ser>
          <c:idx val="4"/>
          <c:order val="4"/>
          <c:tx>
            <c:strRef>
              <c:f>t_estudiantes!$Y$4</c:f>
              <c:strCache>
                <c:ptCount val="1"/>
                <c:pt idx="0">
                  <c:v>Nombre#5 Apellido#51 Apellido#52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t_estudiantes!$Y$5:$Y$9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73D-40EB-8FED-E9B485B6BE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42823487"/>
        <c:axId val="1042843647"/>
      </c:barChart>
      <c:catAx>
        <c:axId val="10428234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Semanas</a:t>
                </a:r>
              </a:p>
            </c:rich>
          </c:tx>
          <c:layout>
            <c:manualLayout>
              <c:xMode val="edge"/>
              <c:yMode val="edge"/>
              <c:x val="0.41377828500577674"/>
              <c:y val="0.7432459786513205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42843647"/>
        <c:crosses val="autoZero"/>
        <c:auto val="1"/>
        <c:lblAlgn val="ctr"/>
        <c:lblOffset val="100"/>
        <c:noMultiLvlLbl val="0"/>
      </c:catAx>
      <c:valAx>
        <c:axId val="1042843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\ &quot;h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42823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2.2652074468584742E-2"/>
          <c:y val="0.82945612964672089"/>
          <c:w val="0.94379690684851725"/>
          <c:h val="0.15878012888018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441687</xdr:colOff>
      <xdr:row>9</xdr:row>
      <xdr:rowOff>55552</xdr:rowOff>
    </xdr:from>
    <xdr:to>
      <xdr:col>6</xdr:col>
      <xdr:colOff>4</xdr:colOff>
      <xdr:row>16</xdr:row>
      <xdr:rowOff>0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29B5A2FC-3400-4158-985D-422EDCCC4E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521324</xdr:colOff>
      <xdr:row>9</xdr:row>
      <xdr:rowOff>70446</xdr:rowOff>
    </xdr:from>
    <xdr:to>
      <xdr:col>3</xdr:col>
      <xdr:colOff>16626</xdr:colOff>
      <xdr:row>16</xdr:row>
      <xdr:rowOff>0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A9E8B700-9BE8-4AE4-9F7D-6F06DED234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0</xdr:col>
      <xdr:colOff>518687</xdr:colOff>
      <xdr:row>8</xdr:row>
      <xdr:rowOff>70374</xdr:rowOff>
    </xdr:from>
    <xdr:ext cx="3579487" cy="311496"/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A91E5DEF-4F54-4AC4-BAB9-2D3F8208B6D4}"/>
            </a:ext>
          </a:extLst>
        </xdr:cNvPr>
        <xdr:cNvSpPr txBox="1"/>
      </xdr:nvSpPr>
      <xdr:spPr>
        <a:xfrm>
          <a:off x="518687" y="2497690"/>
          <a:ext cx="357948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l"/>
          <a:r>
            <a:rPr lang="es-ES" sz="1400" b="1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rPr>
            <a:t>Distribución del esfuerzo por actividad </a:t>
          </a:r>
        </a:p>
      </xdr:txBody>
    </xdr:sp>
    <xdr:clientData/>
  </xdr:oneCellAnchor>
  <xdr:oneCellAnchor>
    <xdr:from>
      <xdr:col>4</xdr:col>
      <xdr:colOff>9500</xdr:colOff>
      <xdr:row>8</xdr:row>
      <xdr:rowOff>62921</xdr:rowOff>
    </xdr:from>
    <xdr:ext cx="2126480" cy="311496"/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53CC4423-8FB2-45EB-81EC-0118DC2B28BD}"/>
            </a:ext>
          </a:extLst>
        </xdr:cNvPr>
        <xdr:cNvSpPr txBox="1"/>
      </xdr:nvSpPr>
      <xdr:spPr>
        <a:xfrm>
          <a:off x="4390307" y="2490237"/>
          <a:ext cx="212648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r>
            <a:rPr lang="es-ES" sz="1400" b="1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rPr>
            <a:t>Burnup de valor entregado</a:t>
          </a:r>
        </a:p>
      </xdr:txBody>
    </xdr:sp>
    <xdr:clientData/>
  </xdr:oneCellAnchor>
  <xdr:oneCellAnchor>
    <xdr:from>
      <xdr:col>0</xdr:col>
      <xdr:colOff>513221</xdr:colOff>
      <xdr:row>3</xdr:row>
      <xdr:rowOff>14457</xdr:rowOff>
    </xdr:from>
    <xdr:ext cx="3335571" cy="371577"/>
    <xdr:sp macro="" textlink="">
      <xdr:nvSpPr>
        <xdr:cNvPr id="20" name="CuadroTexto 19">
          <a:extLst>
            <a:ext uri="{FF2B5EF4-FFF2-40B4-BE49-F238E27FC236}">
              <a16:creationId xmlns:a16="http://schemas.microsoft.com/office/drawing/2014/main" id="{6E9D0B61-5187-4339-8096-A75E0E443A31}"/>
            </a:ext>
          </a:extLst>
        </xdr:cNvPr>
        <xdr:cNvSpPr txBox="1"/>
      </xdr:nvSpPr>
      <xdr:spPr>
        <a:xfrm>
          <a:off x="513221" y="862355"/>
          <a:ext cx="3335571" cy="3715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6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🛠️ </a:t>
          </a:r>
          <a:r>
            <a:rPr lang="es-ES" sz="1600">
              <a:solidFill>
                <a:schemeClr val="accent4">
                  <a:lumMod val="50000"/>
                </a:schemeClr>
              </a:solidFill>
            </a:rPr>
            <a:t> </a:t>
          </a:r>
          <a:r>
            <a:rPr lang="es-ES" sz="1600" b="1" i="0" baseline="0">
              <a:solidFill>
                <a:schemeClr val="accent4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Actividades finalizadas</a:t>
          </a:r>
          <a:endParaRPr lang="es-ES" sz="1600">
            <a:solidFill>
              <a:schemeClr val="accent4">
                <a:lumMod val="50000"/>
              </a:schemeClr>
            </a:solidFill>
          </a:endParaRPr>
        </a:p>
      </xdr:txBody>
    </xdr:sp>
    <xdr:clientData/>
  </xdr:oneCellAnchor>
  <xdr:oneCellAnchor>
    <xdr:from>
      <xdr:col>6</xdr:col>
      <xdr:colOff>446809</xdr:colOff>
      <xdr:row>3</xdr:row>
      <xdr:rowOff>14457</xdr:rowOff>
    </xdr:from>
    <xdr:ext cx="3517323" cy="371577"/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BDED95CC-A582-442F-91E8-4F17455151F4}"/>
            </a:ext>
          </a:extLst>
        </xdr:cNvPr>
        <xdr:cNvSpPr txBox="1"/>
      </xdr:nvSpPr>
      <xdr:spPr>
        <a:xfrm>
          <a:off x="8227522" y="862355"/>
          <a:ext cx="3517323" cy="3715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s-ES" sz="1600">
              <a:solidFill>
                <a:schemeClr val="accent2"/>
              </a:solidFill>
            </a:rPr>
            <a:t>⏱️ </a:t>
          </a:r>
          <a:r>
            <a:rPr lang="es-ES" sz="1600" b="1" i="0" baseline="0">
              <a:solidFill>
                <a:schemeClr val="accent2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Esfuerzo invertido</a:t>
          </a:r>
          <a:endParaRPr lang="es-ES" sz="1600">
            <a:solidFill>
              <a:schemeClr val="accent2">
                <a:lumMod val="50000"/>
              </a:schemeClr>
            </a:solidFill>
          </a:endParaRPr>
        </a:p>
      </xdr:txBody>
    </xdr:sp>
    <xdr:clientData/>
  </xdr:oneCellAnchor>
  <xdr:oneCellAnchor>
    <xdr:from>
      <xdr:col>4</xdr:col>
      <xdr:colOff>0</xdr:colOff>
      <xdr:row>3</xdr:row>
      <xdr:rowOff>14457</xdr:rowOff>
    </xdr:from>
    <xdr:ext cx="3318945" cy="371577"/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AFC90482-E5FC-40EA-96EC-C5961E79C8B0}"/>
            </a:ext>
          </a:extLst>
        </xdr:cNvPr>
        <xdr:cNvSpPr txBox="1"/>
      </xdr:nvSpPr>
      <xdr:spPr>
        <a:xfrm>
          <a:off x="4380807" y="862355"/>
          <a:ext cx="3318945" cy="3715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s-ES" sz="1600"/>
            <a:t>🧠</a:t>
          </a:r>
          <a:r>
            <a:rPr lang="es-ES" sz="1600" b="1" i="0" baseline="0">
              <a:solidFill>
                <a:schemeClr val="accent6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Valor entregado</a:t>
          </a:r>
          <a:endParaRPr lang="es-ES" sz="1600">
            <a:solidFill>
              <a:schemeClr val="accent6">
                <a:lumMod val="50000"/>
              </a:schemeClr>
            </a:solidFill>
          </a:endParaRPr>
        </a:p>
      </xdr:txBody>
    </xdr:sp>
    <xdr:clientData/>
  </xdr:oneCellAnchor>
  <xdr:twoCellAnchor>
    <xdr:from>
      <xdr:col>7</xdr:col>
      <xdr:colOff>0</xdr:colOff>
      <xdr:row>14</xdr:row>
      <xdr:rowOff>133001</xdr:rowOff>
    </xdr:from>
    <xdr:to>
      <xdr:col>10</xdr:col>
      <xdr:colOff>29339</xdr:colOff>
      <xdr:row>22</xdr:row>
      <xdr:rowOff>97797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43C7680-657D-C639-35C6-B7EAF30D1D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6</xdr:col>
      <xdr:colOff>421706</xdr:colOff>
      <xdr:row>13</xdr:row>
      <xdr:rowOff>123019</xdr:rowOff>
    </xdr:from>
    <xdr:ext cx="3579487" cy="311496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F4B34EC-5071-4AA7-82E8-A95C99D2FE3D}"/>
            </a:ext>
          </a:extLst>
        </xdr:cNvPr>
        <xdr:cNvSpPr txBox="1"/>
      </xdr:nvSpPr>
      <xdr:spPr>
        <a:xfrm>
          <a:off x="8202419" y="4212881"/>
          <a:ext cx="357948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l"/>
          <a:r>
            <a:rPr lang="es-ES" sz="1400" b="1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rPr>
            <a:t>Distribución del esfuerzo semanal</a:t>
          </a:r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IGUEL ANGEL MARTINEZ PRIETO" id="{FB6424B3-91AA-498E-BF57-53281DA1BD69}" userId="S::miguelamp@uva.es::40aa189e-521d-46b1-bd03-cc42e524e6dc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gumar2" refreshedDate="46070.419491550929" missingItemsLimit="0" createdVersion="8" refreshedVersion="8" minRefreshableVersion="3" recordCount="6" xr:uid="{CAE31817-277D-40BB-BB84-A0C50138934E}">
  <cacheSource type="worksheet">
    <worksheetSource name="Tabla_Registro_Tareas_Agregada"/>
  </cacheSource>
  <cacheFields count="8">
    <cacheField name="Fecha" numFmtId="14">
      <sharedItems containsSemiMixedTypes="0" containsNonDate="0" containsDate="1" containsString="0" minDate="2026-02-09T00:00:00" maxDate="2026-02-10T00:00:00" count="1">
        <d v="2026-02-09T00:00:00"/>
      </sharedItems>
    </cacheField>
    <cacheField name="Semana" numFmtId="0">
      <sharedItems containsSemiMixedTypes="0" containsString="0" containsNumber="1" containsInteger="1" minValue="1" maxValue="1" count="1">
        <n v="1"/>
      </sharedItems>
    </cacheField>
    <cacheField name="Actividad" numFmtId="0">
      <sharedItems/>
    </cacheField>
    <cacheField name="Tipo" numFmtId="0">
      <sharedItems count="6">
        <s v="Ciclo de vida"/>
        <s v="Ingeniería de datos"/>
        <s v="Diseño físico"/>
        <s v="Equipo"/>
        <s v="Gestión de transacciones"/>
        <s v="SQL avanzado"/>
      </sharedItems>
    </cacheField>
    <cacheField name="Subtipo" numFmtId="0">
      <sharedItems count="6">
        <s v="Ficticia #1"/>
        <s v="Ficticia #2"/>
        <s v="Ficticia #3"/>
        <s v="Ficticia #4"/>
        <s v="Ficticia #5"/>
        <s v="Ficticia #6"/>
      </sharedItems>
    </cacheField>
    <cacheField name="Estudiante" numFmtId="0">
      <sharedItems count="5">
        <s v="Nombre#1 Apellido#11 Apellido#12"/>
        <s v="Nombre#2 Apellido#21 Apellido#22"/>
        <s v="Nombre#3 Apellido#31 Apellido#32"/>
        <s v="Nombre#4 Apellido#41 Apellido#42"/>
        <s v="Nombre#5 Apellido#51 Apellido#52"/>
      </sharedItems>
    </cacheField>
    <cacheField name="Minutos" numFmtId="0">
      <sharedItems containsSemiMixedTypes="0" containsString="0" containsNumber="1" containsInteger="1" minValue="0" maxValue="0"/>
    </cacheField>
    <cacheField name="Horas" numFmtId="0" formula="Minutos/60" databaseField="0"/>
  </cacheFields>
  <extLst>
    <ext xmlns:x14="http://schemas.microsoft.com/office/spreadsheetml/2009/9/main" uri="{725AE2AE-9491-48be-B2B4-4EB974FC3084}">
      <x14:pivotCacheDefinition pivotCacheId="602562296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gumar2" refreshedDate="46070.419492592591" createdVersion="8" refreshedVersion="8" minRefreshableVersion="3" recordCount="49" xr:uid="{0B8D939D-9400-4691-9736-1A6D74755C8A}">
  <cacheSource type="worksheet">
    <worksheetSource name="Tabla_Plan_Actividad"/>
  </cacheSource>
  <cacheFields count="23">
    <cacheField name="Actividad" numFmtId="0">
      <sharedItems containsBlank="1"/>
    </cacheField>
    <cacheField name="Paquete de trabajo" numFmtId="0">
      <sharedItems containsBlank="1"/>
    </cacheField>
    <cacheField name="Artefacto" numFmtId="0">
      <sharedItems containsBlank="1"/>
    </cacheField>
    <cacheField name="Especificación" numFmtId="0">
      <sharedItems containsNonDate="0" containsString="0" containsBlank="1"/>
    </cacheField>
    <cacheField name="Responsable" numFmtId="14">
      <sharedItems containsNonDate="0" containsString="0" containsBlank="1"/>
    </cacheField>
    <cacheField name="LPs individuales" numFmtId="1">
      <sharedItems containsString="0" containsBlank="1" containsNumber="1" containsInteger="1" minValue="1" maxValue="12"/>
    </cacheField>
    <cacheField name="Learning Points" numFmtId="1">
      <sharedItems containsSemiMixedTypes="0" containsString="0" containsNumber="1" containsInteger="1" minValue="0" maxValue="60"/>
    </cacheField>
    <cacheField name="Fecha de inicio Plan" numFmtId="14">
      <sharedItems containsNonDate="0" containsDate="1" containsString="0" containsBlank="1" minDate="2026-02-03T00:00:00" maxDate="2026-03-14T00:00:00"/>
    </cacheField>
    <cacheField name="Fecha de fin Plan" numFmtId="14">
      <sharedItems containsNonDate="0" containsDate="1" containsString="0" containsBlank="1" minDate="2025-09-12T00:00:00" maxDate="2026-03-14T00:00:00" count="51">
        <d v="2026-02-16T00:00:00"/>
        <d v="2026-02-19T00:00:00"/>
        <d v="2026-02-20T00:00:00"/>
        <d v="2026-02-23T00:00:00"/>
        <d v="2026-02-26T00:00:00"/>
        <d v="2026-02-27T00:00:00"/>
        <d v="2026-03-02T00:00:00"/>
        <d v="2026-03-06T00:00:00"/>
        <d v="2026-03-09T00:00:00"/>
        <d v="2026-03-12T00:00:00"/>
        <d v="2026-03-11T00:00:00"/>
        <d v="2026-03-13T00:00:00"/>
        <m/>
        <d v="2026-02-03T00:00:00"/>
        <d v="2026-02-09T00:00:00" u="1"/>
        <d v="2025-11-21T00:00:00" u="1"/>
        <d v="2025-11-26T00:00:00" u="1"/>
        <d v="2025-11-28T00:00:00" u="1"/>
        <d v="2025-12-03T00:00:00" u="1"/>
        <d v="2025-12-05T00:00:00" u="1"/>
        <d v="2025-12-08T00:00:00" u="1"/>
        <d v="2025-12-10T00:00:00" u="1"/>
        <d v="2025-12-12T00:00:00" u="1"/>
        <d v="2025-12-17T00:00:00" u="1"/>
        <d v="2025-12-19T00:00:00" u="1"/>
        <d v="2025-11-19T00:00:00" u="1"/>
        <d v="2025-10-15T00:00:00" u="1"/>
        <d v="2025-10-17T00:00:00" u="1"/>
        <d v="2025-10-21T00:00:00" u="1"/>
        <d v="2025-10-22T00:00:00" u="1"/>
        <d v="2025-10-24T00:00:00" u="1"/>
        <d v="2025-10-29T00:00:00" u="1"/>
        <d v="2025-10-31T00:00:00" u="1"/>
        <d v="2025-11-04T00:00:00" u="1"/>
        <d v="2025-11-07T00:00:00" u="1"/>
        <d v="2025-11-11T00:00:00" u="1"/>
        <d v="2025-11-12T00:00:00" u="1"/>
        <d v="2025-09-15T00:00:00" u="1"/>
        <d v="2025-09-17T00:00:00" u="1"/>
        <d v="2025-09-21T00:00:00" u="1"/>
        <d v="2025-09-25T00:00:00" u="1"/>
        <d v="2025-09-29T00:00:00" u="1"/>
        <d v="2025-09-12T00:00:00" u="1"/>
        <d v="2025-09-13T00:00:00" u="1"/>
        <d v="2025-09-19T00:00:00" u="1"/>
        <d v="2025-09-24T00:00:00" u="1"/>
        <d v="2025-09-26T00:00:00" u="1"/>
        <d v="2025-10-08T00:00:00" u="1"/>
        <d v="2025-10-03T00:00:00" u="1"/>
        <d v="2025-10-07T00:00:00" u="1"/>
        <d v="2025-10-01T00:00:00" u="1"/>
      </sharedItems>
      <fieldGroup par="20"/>
    </cacheField>
    <cacheField name="SemanaP" numFmtId="1">
      <sharedItems containsSemiMixedTypes="0" containsString="0" containsNumber="1" containsInteger="1" minValue="0" maxValue="5" count="6">
        <n v="2"/>
        <n v="3"/>
        <n v="4"/>
        <n v="5"/>
        <n v="0"/>
        <n v="1"/>
      </sharedItems>
    </cacheField>
    <cacheField name="Fecha límite" numFmtId="14">
      <sharedItems containsNonDate="0" containsDate="1" containsString="0" containsBlank="1" minDate="2026-02-03T00:00:00" maxDate="2026-03-14T00:00:00"/>
    </cacheField>
    <cacheField name="Estado" numFmtId="14">
      <sharedItems containsBlank="1" count="5">
        <s v="Sin iniciar"/>
        <m u="1"/>
        <s v="En desarrollo" u="1"/>
        <s v="Finalizada" u="1"/>
        <s v="Bloqueada" u="1"/>
      </sharedItems>
    </cacheField>
    <cacheField name="Fecha de inicio Ideal" numFmtId="14">
      <sharedItems containsNonDate="0" containsDate="1" containsString="0" containsBlank="1" minDate="2025-11-21T00:00:00" maxDate="2025-12-20T00:00:00"/>
    </cacheField>
    <cacheField name="Fecha de fin Ideal" numFmtId="14">
      <sharedItems containsNonDate="0" containsDate="1" containsString="0" containsBlank="1" minDate="2025-09-12T00:00:00" maxDate="2025-12-20T00:00:00" count="32">
        <d v="2025-11-21T00:00:00"/>
        <d v="2025-11-26T00:00:00"/>
        <d v="2025-11-28T00:00:00"/>
        <d v="2025-12-03T00:00:00"/>
        <d v="2025-12-05T00:00:00"/>
        <d v="2025-12-08T00:00:00"/>
        <d v="2025-12-10T00:00:00"/>
        <d v="2025-12-12T00:00:00"/>
        <d v="2025-12-17T00:00:00"/>
        <d v="2025-12-19T00:00:00"/>
        <m/>
        <d v="2025-10-15T00:00:00" u="1"/>
        <d v="2025-10-17T00:00:00" u="1"/>
        <d v="2025-10-21T00:00:00" u="1"/>
        <d v="2025-10-22T00:00:00" u="1"/>
        <d v="2025-10-24T00:00:00" u="1"/>
        <d v="2025-10-29T00:00:00" u="1"/>
        <d v="2025-10-31T00:00:00" u="1"/>
        <d v="2025-11-05T00:00:00" u="1"/>
        <d v="2025-11-07T00:00:00" u="1"/>
        <d v="2025-11-11T00:00:00" u="1"/>
        <d v="2025-11-12T00:00:00" u="1"/>
        <d v="2025-10-30T00:00:00" u="1"/>
        <d v="2025-09-12T00:00:00" u="1"/>
        <d v="2025-09-17T00:00:00" u="1"/>
        <d v="2025-09-19T00:00:00" u="1"/>
        <d v="2025-09-24T00:00:00" u="1"/>
        <d v="2025-09-26T00:00:00" u="1"/>
        <d v="2025-10-01T00:00:00" u="1"/>
        <d v="2025-10-03T00:00:00" u="1"/>
        <d v="2025-10-07T00:00:00" u="1"/>
        <d v="2025-10-08T00:00:00" u="1"/>
      </sharedItems>
      <fieldGroup par="22"/>
    </cacheField>
    <cacheField name="SemanaI" numFmtId="1">
      <sharedItems containsSemiMixedTypes="0" containsString="0" containsNumber="1" containsInteger="1" minValue="-11" maxValue="5" count="11">
        <n v="-11"/>
        <n v="-10"/>
        <n v="-9"/>
        <n v="-8"/>
        <n v="-7"/>
        <n v="0"/>
        <n v="1" u="1"/>
        <n v="2" u="1"/>
        <n v="3" u="1"/>
        <n v="4" u="1"/>
        <n v="5" u="1"/>
      </sharedItems>
    </cacheField>
    <cacheField name="Fecha de inicio Real" numFmtId="14">
      <sharedItems/>
    </cacheField>
    <cacheField name="Fecha de fin Real" numFmtId="14">
      <sharedItems containsDate="1" containsMixedTypes="1" minDate="2025-09-10T00:00:00" maxDate="2025-11-27T00:00:00" count="11">
        <s v="×"/>
        <d v="2025-11-19T00:00:00" u="1"/>
        <d v="2025-11-26T00:00:00" u="1"/>
        <e v="#N/A" u="1"/>
        <d v="2025-10-17T00:00:00" u="1"/>
        <d v="2025-10-21T00:00:00" u="1"/>
        <d v="2025-09-17T00:00:00" u="1"/>
        <d v="2025-09-18T00:00:00" u="1"/>
        <d v="2025-10-06T00:00:00" u="1"/>
        <d v="2025-10-04T00:00:00" u="1"/>
        <d v="2025-09-10T00:00:00" u="1"/>
      </sharedItems>
    </cacheField>
    <cacheField name="SemanaR" numFmtId="1">
      <sharedItems containsSemiMixedTypes="0" containsString="0" containsNumber="1" containsInteger="1" minValue="0" maxValue="5" count="5">
        <n v="0"/>
        <n v="1" u="1"/>
        <n v="2" u="1"/>
        <n v="5" u="1"/>
        <n v="4" u="1"/>
      </sharedItems>
    </cacheField>
    <cacheField name="Horas de trabajo" numFmtId="2">
      <sharedItems containsSemiMixedTypes="0" containsString="0" containsNumber="1" containsInteger="1" minValue="0" maxValue="0"/>
    </cacheField>
    <cacheField name="Días (Fecha de fin Plan)" numFmtId="0" databaseField="0">
      <fieldGroup base="8">
        <rangePr groupBy="days" startDate="2026-02-03T00:00:00" endDate="2026-03-14T00:00:00"/>
        <groupItems count="368">
          <s v="&lt;03/02/2026"/>
          <s v="01-ene"/>
          <s v="02-ene"/>
          <s v="03-ene"/>
          <s v="04-ene"/>
          <s v="05-ene"/>
          <s v="06-ene"/>
          <s v="07-ene"/>
          <s v="08-ene"/>
          <s v="0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br"/>
          <s v="02-abr"/>
          <s v="03-abr"/>
          <s v="04-abr"/>
          <s v="05-abr"/>
          <s v="06-abr"/>
          <s v="07-abr"/>
          <s v="08-abr"/>
          <s v="0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go"/>
          <s v="02-ago"/>
          <s v="03-ago"/>
          <s v="04-ago"/>
          <s v="05-ago"/>
          <s v="06-ago"/>
          <s v="07-ago"/>
          <s v="08-ago"/>
          <s v="0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ic"/>
          <s v="02-dic"/>
          <s v="03-dic"/>
          <s v="04-dic"/>
          <s v="05-dic"/>
          <s v="06-dic"/>
          <s v="07-dic"/>
          <s v="08-dic"/>
          <s v="0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14/03/2026"/>
        </groupItems>
      </fieldGroup>
    </cacheField>
    <cacheField name="Meses (Fecha de fin Plan)" numFmtId="0" databaseField="0">
      <fieldGroup base="8">
        <rangePr groupBy="months" startDate="2026-02-03T00:00:00" endDate="2026-03-14T00:00:00"/>
        <groupItems count="14">
          <s v="&lt;03/02/2026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14/03/2026"/>
        </groupItems>
      </fieldGroup>
    </cacheField>
    <cacheField name="Días (Fecha de fin Ideal)" numFmtId="0" databaseField="0">
      <fieldGroup base="13">
        <rangePr groupBy="days" startDate="2025-11-21T00:00:00" endDate="2025-12-20T00:00:00"/>
        <groupItems count="368">
          <s v="&lt;21/11/2025"/>
          <s v="01-ene"/>
          <s v="02-ene"/>
          <s v="03-ene"/>
          <s v="04-ene"/>
          <s v="05-ene"/>
          <s v="06-ene"/>
          <s v="07-ene"/>
          <s v="08-ene"/>
          <s v="0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br"/>
          <s v="02-abr"/>
          <s v="03-abr"/>
          <s v="04-abr"/>
          <s v="05-abr"/>
          <s v="06-abr"/>
          <s v="07-abr"/>
          <s v="08-abr"/>
          <s v="0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go"/>
          <s v="02-ago"/>
          <s v="03-ago"/>
          <s v="04-ago"/>
          <s v="05-ago"/>
          <s v="06-ago"/>
          <s v="07-ago"/>
          <s v="08-ago"/>
          <s v="0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ic"/>
          <s v="02-dic"/>
          <s v="03-dic"/>
          <s v="04-dic"/>
          <s v="05-dic"/>
          <s v="06-dic"/>
          <s v="07-dic"/>
          <s v="08-dic"/>
          <s v="0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20/12/2025"/>
        </groupItems>
      </fieldGroup>
    </cacheField>
    <cacheField name="Meses (Fecha de fin Ideal)" numFmtId="0" databaseField="0">
      <fieldGroup base="13">
        <rangePr groupBy="months" startDate="2025-11-21T00:00:00" endDate="2025-12-20T00:00:00"/>
        <groupItems count="14">
          <s v="&lt;21/11/2025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20/12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s v="Ficticia #1"/>
    <x v="0"/>
    <x v="0"/>
    <x v="0"/>
    <n v="0"/>
  </r>
  <r>
    <x v="0"/>
    <x v="0"/>
    <s v="Ficticia #2"/>
    <x v="1"/>
    <x v="1"/>
    <x v="1"/>
    <n v="0"/>
  </r>
  <r>
    <x v="0"/>
    <x v="0"/>
    <s v="Ficticia #3"/>
    <x v="2"/>
    <x v="2"/>
    <x v="2"/>
    <n v="0"/>
  </r>
  <r>
    <x v="0"/>
    <x v="0"/>
    <s v="Ficticia #4"/>
    <x v="3"/>
    <x v="3"/>
    <x v="3"/>
    <n v="0"/>
  </r>
  <r>
    <x v="0"/>
    <x v="0"/>
    <s v="Ficticia #5"/>
    <x v="4"/>
    <x v="4"/>
    <x v="4"/>
    <n v="0"/>
  </r>
  <r>
    <x v="0"/>
    <x v="0"/>
    <s v="Ficticia #6"/>
    <x v="5"/>
    <x v="5"/>
    <x v="4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s v="Formación del equipo"/>
    <s v="Equipo"/>
    <s v="Gestión del proyecto"/>
    <m/>
    <m/>
    <n v="1"/>
    <n v="5"/>
    <d v="2026-02-12T00:00:00"/>
    <x v="0"/>
    <x v="0"/>
    <d v="2026-02-16T00:00:00"/>
    <x v="0"/>
    <d v="2025-11-21T00:00:00"/>
    <x v="0"/>
    <x v="0"/>
    <s v="×"/>
    <x v="0"/>
    <x v="0"/>
    <n v="0"/>
  </r>
  <r>
    <s v="Comprensión del pliego técnico"/>
    <s v="Equipo"/>
    <s v="Gestión del proyecto"/>
    <m/>
    <m/>
    <n v="4"/>
    <n v="20"/>
    <d v="2026-02-17T00:00:00"/>
    <x v="1"/>
    <x v="0"/>
    <d v="2026-02-19T00:00:00"/>
    <x v="0"/>
    <d v="2025-11-24T00:00:00"/>
    <x v="1"/>
    <x v="1"/>
    <s v="×"/>
    <x v="0"/>
    <x v="0"/>
    <n v="0"/>
  </r>
  <r>
    <s v="Reunión de inicio"/>
    <s v="Equipo"/>
    <s v="Gestión del proyecto"/>
    <m/>
    <m/>
    <n v="3"/>
    <n v="15"/>
    <d v="2026-02-20T00:00:00"/>
    <x v="2"/>
    <x v="0"/>
    <d v="2026-02-20T00:00:00"/>
    <x v="0"/>
    <d v="2025-11-27T00:00:00"/>
    <x v="2"/>
    <x v="1"/>
    <s v="×"/>
    <x v="0"/>
    <x v="0"/>
    <n v="0"/>
  </r>
  <r>
    <s v="Implementar restricciones de integridad"/>
    <s v="Ciclo de vida"/>
    <s v="Integridad avanzada"/>
    <m/>
    <m/>
    <n v="2"/>
    <n v="10"/>
    <d v="2026-02-21T00:00:00"/>
    <x v="3"/>
    <x v="1"/>
    <d v="2026-02-23T00:00:00"/>
    <x v="0"/>
    <d v="2025-11-28T00:00:00"/>
    <x v="2"/>
    <x v="1"/>
    <s v="×"/>
    <x v="0"/>
    <x v="0"/>
    <n v="0"/>
  </r>
  <r>
    <s v="Implementar procesos programados"/>
    <s v="Ciclo de vida"/>
    <s v="Procesos programados"/>
    <m/>
    <m/>
    <n v="2"/>
    <n v="10"/>
    <d v="2026-02-21T00:00:00"/>
    <x v="3"/>
    <x v="1"/>
    <d v="2026-02-23T00:00:00"/>
    <x v="0"/>
    <d v="2025-12-01T00:00:00"/>
    <x v="3"/>
    <x v="2"/>
    <s v="×"/>
    <x v="0"/>
    <x v="0"/>
    <n v="0"/>
  </r>
  <r>
    <s v="Extraer datos de las fuentes"/>
    <s v="Ingeniería de datos"/>
    <s v="ETL"/>
    <m/>
    <m/>
    <n v="5"/>
    <n v="25"/>
    <d v="2026-02-24T00:00:00"/>
    <x v="4"/>
    <x v="1"/>
    <d v="2026-02-26T00:00:00"/>
    <x v="0"/>
    <d v="2025-12-04T00:00:00"/>
    <x v="4"/>
    <x v="2"/>
    <s v="×"/>
    <x v="0"/>
    <x v="0"/>
    <n v="0"/>
  </r>
  <r>
    <s v="Crear perfiles de datos"/>
    <s v="Ingeniería de datos"/>
    <s v="ETL"/>
    <m/>
    <m/>
    <n v="4"/>
    <n v="20"/>
    <d v="2026-02-24T00:00:00"/>
    <x v="4"/>
    <x v="1"/>
    <d v="2026-02-26T00:00:00"/>
    <x v="0"/>
    <d v="2025-12-05T00:00:00"/>
    <x v="4"/>
    <x v="2"/>
    <s v="×"/>
    <x v="0"/>
    <x v="0"/>
    <n v="0"/>
  </r>
  <r>
    <s v="Reunión de sincronización #1"/>
    <s v="Equipo"/>
    <s v="Gestión del proyecto"/>
    <m/>
    <m/>
    <n v="1"/>
    <n v="5"/>
    <d v="2026-02-27T00:00:00"/>
    <x v="5"/>
    <x v="1"/>
    <d v="2026-02-27T00:00:00"/>
    <x v="0"/>
    <d v="2025-12-08T00:00:00"/>
    <x v="5"/>
    <x v="3"/>
    <s v="×"/>
    <x v="0"/>
    <x v="0"/>
    <n v="0"/>
  </r>
  <r>
    <s v="Crear mapas de datos"/>
    <s v="Ingeniería de datos"/>
    <s v="ETL"/>
    <m/>
    <m/>
    <n v="4"/>
    <n v="20"/>
    <d v="2026-02-28T00:00:00"/>
    <x v="6"/>
    <x v="2"/>
    <d v="2026-03-02T00:00:00"/>
    <x v="0"/>
    <d v="2025-12-08T00:00:00"/>
    <x v="5"/>
    <x v="3"/>
    <s v="×"/>
    <x v="0"/>
    <x v="0"/>
    <n v="0"/>
  </r>
  <r>
    <s v="Transformar datos"/>
    <s v="Ingeniería de datos"/>
    <s v="ETL"/>
    <m/>
    <m/>
    <n v="10"/>
    <n v="50"/>
    <d v="2026-03-03T00:00:00"/>
    <x v="7"/>
    <x v="2"/>
    <d v="2026-03-06T00:00:00"/>
    <x v="0"/>
    <d v="2025-12-09T00:00:00"/>
    <x v="6"/>
    <x v="3"/>
    <s v="×"/>
    <x v="0"/>
    <x v="0"/>
    <n v="0"/>
  </r>
  <r>
    <s v="Reunión de sincronización #2"/>
    <s v="Equipo"/>
    <s v="Gestión del proyecto"/>
    <m/>
    <m/>
    <n v="1"/>
    <n v="5"/>
    <d v="2026-03-06T00:00:00"/>
    <x v="7"/>
    <x v="2"/>
    <d v="2026-03-06T00:00:00"/>
    <x v="0"/>
    <d v="2025-12-11T00:00:00"/>
    <x v="7"/>
    <x v="3"/>
    <s v="×"/>
    <x v="0"/>
    <x v="0"/>
    <n v="0"/>
  </r>
  <r>
    <s v="Cargar datos en playrock2026"/>
    <s v="Ingeniería de datos"/>
    <s v="ETL"/>
    <m/>
    <m/>
    <n v="5"/>
    <n v="25"/>
    <d v="2026-03-07T00:00:00"/>
    <x v="8"/>
    <x v="3"/>
    <d v="2026-03-09T00:00:00"/>
    <x v="0"/>
    <d v="2025-12-12T00:00:00"/>
    <x v="7"/>
    <x v="3"/>
    <s v="×"/>
    <x v="0"/>
    <x v="0"/>
    <n v="0"/>
  </r>
  <r>
    <s v="Generar datos sintéticos para carga"/>
    <s v="Ingeniería de datos"/>
    <s v="Datos sintéticos"/>
    <m/>
    <m/>
    <n v="12"/>
    <n v="60"/>
    <d v="2026-03-09T00:00:00"/>
    <x v="9"/>
    <x v="3"/>
    <d v="2026-03-12T00:00:00"/>
    <x v="0"/>
    <d v="2025-12-15T00:00:00"/>
    <x v="8"/>
    <x v="4"/>
    <s v="×"/>
    <x v="0"/>
    <x v="0"/>
    <n v="0"/>
  </r>
  <r>
    <s v="Actualizar diccionario"/>
    <s v="Ciclo de vida"/>
    <s v="Diccionario"/>
    <m/>
    <m/>
    <n v="1"/>
    <n v="5"/>
    <d v="2026-03-09T00:00:00"/>
    <x v="9"/>
    <x v="3"/>
    <d v="2026-03-12T00:00:00"/>
    <x v="0"/>
    <d v="2025-12-19T00:00:00"/>
    <x v="9"/>
    <x v="4"/>
    <s v="×"/>
    <x v="0"/>
    <x v="0"/>
    <n v="0"/>
  </r>
  <r>
    <s v="Reunión de sincronización #3"/>
    <s v="Equipo"/>
    <s v="Gestión del proyecto"/>
    <m/>
    <m/>
    <n v="1"/>
    <n v="5"/>
    <d v="2026-03-11T00:00:00"/>
    <x v="10"/>
    <x v="3"/>
    <d v="2026-03-11T00:00:00"/>
    <x v="0"/>
    <d v="2025-12-19T00:00:00"/>
    <x v="9"/>
    <x v="4"/>
    <s v="×"/>
    <x v="0"/>
    <x v="0"/>
    <n v="0"/>
  </r>
  <r>
    <s v="Retrospectiva"/>
    <s v="Equipo"/>
    <s v="Gestión del proyecto"/>
    <m/>
    <m/>
    <n v="2"/>
    <n v="10"/>
    <d v="2026-03-13T00:00:00"/>
    <x v="11"/>
    <x v="3"/>
    <d v="2026-03-13T00:00:00"/>
    <x v="0"/>
    <d v="2025-12-19T00:00:00"/>
    <x v="9"/>
    <x v="4"/>
    <s v="×"/>
    <x v="0"/>
    <x v="0"/>
    <n v="0"/>
  </r>
  <r>
    <s v="Evaluación de la actividad del equipo"/>
    <s v="Equipo"/>
    <s v="Evaluación de la actividad"/>
    <m/>
    <m/>
    <n v="1"/>
    <n v="5"/>
    <d v="2026-03-13T00:00:00"/>
    <x v="11"/>
    <x v="3"/>
    <d v="2026-03-13T00:00:00"/>
    <x v="0"/>
    <m/>
    <x v="10"/>
    <x v="5"/>
    <s v="×"/>
    <x v="0"/>
    <x v="0"/>
    <n v="0"/>
  </r>
  <r>
    <s v="Entrega del incremento"/>
    <s v="Equipo"/>
    <s v="Incremento"/>
    <m/>
    <m/>
    <n v="1"/>
    <n v="5"/>
    <d v="2026-03-13T00:00:00"/>
    <x v="11"/>
    <x v="3"/>
    <d v="2026-03-13T00:00:00"/>
    <x v="0"/>
    <m/>
    <x v="10"/>
    <x v="5"/>
    <s v="×"/>
    <x v="0"/>
    <x v="0"/>
    <n v="0"/>
  </r>
  <r>
    <s v="Reuniones no planificadas"/>
    <s v="Equipo"/>
    <s v="Gestión del proyecto"/>
    <m/>
    <m/>
    <m/>
    <n v="0"/>
    <m/>
    <x v="12"/>
    <x v="4"/>
    <m/>
    <x v="0"/>
    <m/>
    <x v="10"/>
    <x v="5"/>
    <s v="×"/>
    <x v="0"/>
    <x v="0"/>
    <n v="0"/>
  </r>
  <r>
    <m/>
    <m/>
    <m/>
    <m/>
    <m/>
    <m/>
    <n v="0"/>
    <m/>
    <x v="12"/>
    <x v="4"/>
    <m/>
    <x v="0"/>
    <m/>
    <x v="10"/>
    <x v="5"/>
    <s v="×"/>
    <x v="0"/>
    <x v="0"/>
    <n v="0"/>
  </r>
  <r>
    <m/>
    <m/>
    <m/>
    <m/>
    <m/>
    <m/>
    <n v="0"/>
    <m/>
    <x v="12"/>
    <x v="4"/>
    <m/>
    <x v="0"/>
    <m/>
    <x v="10"/>
    <x v="5"/>
    <s v="×"/>
    <x v="0"/>
    <x v="0"/>
    <n v="0"/>
  </r>
  <r>
    <m/>
    <m/>
    <m/>
    <m/>
    <m/>
    <m/>
    <n v="0"/>
    <m/>
    <x v="12"/>
    <x v="4"/>
    <m/>
    <x v="0"/>
    <m/>
    <x v="10"/>
    <x v="5"/>
    <s v="×"/>
    <x v="0"/>
    <x v="0"/>
    <n v="0"/>
  </r>
  <r>
    <m/>
    <m/>
    <m/>
    <m/>
    <m/>
    <m/>
    <n v="0"/>
    <m/>
    <x v="12"/>
    <x v="4"/>
    <m/>
    <x v="0"/>
    <m/>
    <x v="10"/>
    <x v="5"/>
    <s v="×"/>
    <x v="0"/>
    <x v="0"/>
    <n v="0"/>
  </r>
  <r>
    <m/>
    <m/>
    <m/>
    <m/>
    <m/>
    <m/>
    <n v="0"/>
    <m/>
    <x v="12"/>
    <x v="4"/>
    <m/>
    <x v="0"/>
    <m/>
    <x v="10"/>
    <x v="5"/>
    <s v="×"/>
    <x v="0"/>
    <x v="0"/>
    <n v="0"/>
  </r>
  <r>
    <m/>
    <m/>
    <m/>
    <m/>
    <m/>
    <m/>
    <n v="0"/>
    <m/>
    <x v="12"/>
    <x v="4"/>
    <m/>
    <x v="0"/>
    <m/>
    <x v="10"/>
    <x v="5"/>
    <s v="×"/>
    <x v="0"/>
    <x v="0"/>
    <n v="0"/>
  </r>
  <r>
    <m/>
    <m/>
    <m/>
    <m/>
    <m/>
    <m/>
    <n v="0"/>
    <m/>
    <x v="12"/>
    <x v="4"/>
    <m/>
    <x v="0"/>
    <m/>
    <x v="10"/>
    <x v="5"/>
    <s v="×"/>
    <x v="0"/>
    <x v="0"/>
    <n v="0"/>
  </r>
  <r>
    <m/>
    <m/>
    <m/>
    <m/>
    <m/>
    <m/>
    <n v="0"/>
    <m/>
    <x v="12"/>
    <x v="4"/>
    <m/>
    <x v="0"/>
    <m/>
    <x v="10"/>
    <x v="5"/>
    <s v="×"/>
    <x v="0"/>
    <x v="0"/>
    <n v="0"/>
  </r>
  <r>
    <m/>
    <m/>
    <m/>
    <m/>
    <m/>
    <m/>
    <n v="0"/>
    <m/>
    <x v="12"/>
    <x v="4"/>
    <m/>
    <x v="0"/>
    <m/>
    <x v="10"/>
    <x v="5"/>
    <s v="×"/>
    <x v="0"/>
    <x v="0"/>
    <n v="0"/>
  </r>
  <r>
    <m/>
    <m/>
    <m/>
    <m/>
    <m/>
    <m/>
    <n v="0"/>
    <m/>
    <x v="12"/>
    <x v="4"/>
    <m/>
    <x v="0"/>
    <m/>
    <x v="10"/>
    <x v="5"/>
    <s v="×"/>
    <x v="0"/>
    <x v="0"/>
    <n v="0"/>
  </r>
  <r>
    <m/>
    <m/>
    <m/>
    <m/>
    <m/>
    <m/>
    <n v="0"/>
    <m/>
    <x v="12"/>
    <x v="4"/>
    <m/>
    <x v="0"/>
    <m/>
    <x v="10"/>
    <x v="5"/>
    <s v="×"/>
    <x v="0"/>
    <x v="0"/>
    <n v="0"/>
  </r>
  <r>
    <m/>
    <m/>
    <m/>
    <m/>
    <m/>
    <m/>
    <n v="0"/>
    <m/>
    <x v="12"/>
    <x v="4"/>
    <m/>
    <x v="0"/>
    <m/>
    <x v="10"/>
    <x v="5"/>
    <s v="×"/>
    <x v="0"/>
    <x v="0"/>
    <n v="0"/>
  </r>
  <r>
    <m/>
    <m/>
    <m/>
    <m/>
    <m/>
    <m/>
    <n v="0"/>
    <m/>
    <x v="12"/>
    <x v="4"/>
    <m/>
    <x v="0"/>
    <m/>
    <x v="10"/>
    <x v="5"/>
    <s v="×"/>
    <x v="0"/>
    <x v="0"/>
    <n v="0"/>
  </r>
  <r>
    <m/>
    <m/>
    <m/>
    <m/>
    <m/>
    <m/>
    <n v="0"/>
    <m/>
    <x v="12"/>
    <x v="4"/>
    <m/>
    <x v="0"/>
    <m/>
    <x v="10"/>
    <x v="5"/>
    <s v="×"/>
    <x v="0"/>
    <x v="0"/>
    <n v="0"/>
  </r>
  <r>
    <m/>
    <m/>
    <m/>
    <m/>
    <m/>
    <m/>
    <n v="0"/>
    <m/>
    <x v="12"/>
    <x v="4"/>
    <m/>
    <x v="0"/>
    <m/>
    <x v="10"/>
    <x v="5"/>
    <s v="×"/>
    <x v="0"/>
    <x v="0"/>
    <n v="0"/>
  </r>
  <r>
    <m/>
    <m/>
    <m/>
    <m/>
    <m/>
    <m/>
    <n v="0"/>
    <m/>
    <x v="12"/>
    <x v="4"/>
    <m/>
    <x v="0"/>
    <m/>
    <x v="10"/>
    <x v="5"/>
    <s v="×"/>
    <x v="0"/>
    <x v="0"/>
    <n v="0"/>
  </r>
  <r>
    <m/>
    <m/>
    <m/>
    <m/>
    <m/>
    <m/>
    <n v="0"/>
    <m/>
    <x v="12"/>
    <x v="4"/>
    <m/>
    <x v="0"/>
    <m/>
    <x v="10"/>
    <x v="5"/>
    <s v="×"/>
    <x v="0"/>
    <x v="0"/>
    <n v="0"/>
  </r>
  <r>
    <m/>
    <m/>
    <m/>
    <m/>
    <m/>
    <m/>
    <n v="0"/>
    <m/>
    <x v="12"/>
    <x v="4"/>
    <m/>
    <x v="0"/>
    <m/>
    <x v="10"/>
    <x v="5"/>
    <s v="×"/>
    <x v="0"/>
    <x v="0"/>
    <n v="0"/>
  </r>
  <r>
    <m/>
    <m/>
    <m/>
    <m/>
    <m/>
    <m/>
    <n v="0"/>
    <m/>
    <x v="12"/>
    <x v="4"/>
    <m/>
    <x v="0"/>
    <m/>
    <x v="10"/>
    <x v="5"/>
    <s v="×"/>
    <x v="0"/>
    <x v="0"/>
    <n v="0"/>
  </r>
  <r>
    <m/>
    <m/>
    <m/>
    <m/>
    <m/>
    <m/>
    <n v="0"/>
    <m/>
    <x v="12"/>
    <x v="4"/>
    <m/>
    <x v="0"/>
    <m/>
    <x v="10"/>
    <x v="5"/>
    <s v="×"/>
    <x v="0"/>
    <x v="0"/>
    <n v="0"/>
  </r>
  <r>
    <m/>
    <m/>
    <m/>
    <m/>
    <m/>
    <m/>
    <n v="0"/>
    <m/>
    <x v="12"/>
    <x v="4"/>
    <m/>
    <x v="0"/>
    <m/>
    <x v="10"/>
    <x v="5"/>
    <s v="×"/>
    <x v="0"/>
    <x v="0"/>
    <n v="0"/>
  </r>
  <r>
    <m/>
    <m/>
    <m/>
    <m/>
    <m/>
    <m/>
    <n v="0"/>
    <m/>
    <x v="12"/>
    <x v="4"/>
    <m/>
    <x v="0"/>
    <m/>
    <x v="10"/>
    <x v="5"/>
    <s v="×"/>
    <x v="0"/>
    <x v="0"/>
    <n v="0"/>
  </r>
  <r>
    <m/>
    <m/>
    <m/>
    <m/>
    <m/>
    <m/>
    <n v="0"/>
    <m/>
    <x v="12"/>
    <x v="4"/>
    <m/>
    <x v="0"/>
    <m/>
    <x v="10"/>
    <x v="5"/>
    <s v="×"/>
    <x v="0"/>
    <x v="0"/>
    <n v="0"/>
  </r>
  <r>
    <m/>
    <m/>
    <m/>
    <m/>
    <m/>
    <m/>
    <n v="0"/>
    <m/>
    <x v="12"/>
    <x v="4"/>
    <m/>
    <x v="0"/>
    <m/>
    <x v="10"/>
    <x v="5"/>
    <s v="×"/>
    <x v="0"/>
    <x v="0"/>
    <n v="0"/>
  </r>
  <r>
    <s v="Ficticia #1"/>
    <s v="Ciclo de vida"/>
    <s v="Ficticia #1"/>
    <m/>
    <m/>
    <m/>
    <n v="0"/>
    <d v="2026-02-03T00:00:00"/>
    <x v="13"/>
    <x v="5"/>
    <d v="2026-02-03T00:00:00"/>
    <x v="0"/>
    <m/>
    <x v="10"/>
    <x v="5"/>
    <s v="×"/>
    <x v="0"/>
    <x v="0"/>
    <n v="0"/>
  </r>
  <r>
    <s v="Ficticia #2"/>
    <s v="Ingeniería de datos"/>
    <s v="Ficticia #2"/>
    <m/>
    <m/>
    <m/>
    <n v="0"/>
    <d v="2026-02-03T00:00:00"/>
    <x v="13"/>
    <x v="5"/>
    <d v="2026-02-03T00:00:00"/>
    <x v="0"/>
    <m/>
    <x v="10"/>
    <x v="5"/>
    <s v="×"/>
    <x v="0"/>
    <x v="0"/>
    <n v="0"/>
  </r>
  <r>
    <s v="Ficticia #3"/>
    <s v="Diseño físico"/>
    <s v="Ficticia #3"/>
    <m/>
    <m/>
    <m/>
    <n v="0"/>
    <d v="2026-02-03T00:00:00"/>
    <x v="13"/>
    <x v="5"/>
    <d v="2026-02-03T00:00:00"/>
    <x v="0"/>
    <m/>
    <x v="10"/>
    <x v="5"/>
    <s v="×"/>
    <x v="0"/>
    <x v="0"/>
    <n v="0"/>
  </r>
  <r>
    <s v="Ficticia #4"/>
    <s v="Equipo"/>
    <s v="Ficticia #4"/>
    <m/>
    <m/>
    <m/>
    <n v="0"/>
    <d v="2026-02-03T00:00:00"/>
    <x v="13"/>
    <x v="5"/>
    <d v="2026-02-03T00:00:00"/>
    <x v="0"/>
    <m/>
    <x v="10"/>
    <x v="5"/>
    <s v="×"/>
    <x v="0"/>
    <x v="0"/>
    <n v="0"/>
  </r>
  <r>
    <s v="Ficticia #5"/>
    <s v="Gestión de transacciones"/>
    <s v="Ficticia #5"/>
    <m/>
    <m/>
    <m/>
    <n v="0"/>
    <d v="2026-02-03T00:00:00"/>
    <x v="13"/>
    <x v="5"/>
    <d v="2026-02-03T00:00:00"/>
    <x v="0"/>
    <m/>
    <x v="10"/>
    <x v="5"/>
    <s v="×"/>
    <x v="0"/>
    <x v="0"/>
    <n v="0"/>
  </r>
  <r>
    <s v="Ficticia #6"/>
    <s v="SQL avanzado"/>
    <s v="Ficticia #6"/>
    <m/>
    <m/>
    <m/>
    <n v="0"/>
    <d v="2026-02-03T00:00:00"/>
    <x v="13"/>
    <x v="5"/>
    <d v="2026-02-03T00:00:00"/>
    <x v="0"/>
    <m/>
    <x v="10"/>
    <x v="5"/>
    <s v="×"/>
    <x v="0"/>
    <x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6707E9-C8D9-4E93-B1B9-69FEDDC2AD84}" name="Tiempo por estudiante" cacheId="2" applyNumberFormats="0" applyBorderFormats="0" applyFontFormats="0" applyPatternFormats="0" applyAlignmentFormats="0" applyWidthHeightFormats="1" dataCaption="Valores" grandTotalCaption="Total general" updatedVersion="8" minRefreshableVersion="3" useAutoFormatting="1" itemPrintTitles="1" createdVersion="8" indent="0" outline="1" outlineData="1" multipleFieldFilters="0" chartFormat="22" rowHeaderCaption="Semana" colHeaderCaption="Estudiante">
  <location ref="B3:H7" firstHeaderRow="1" firstDataRow="2" firstDataCol="1"/>
  <pivotFields count="8">
    <pivotField axis="axisRow" numFmtId="14" showAll="0">
      <items count="2">
        <item x="0"/>
        <item t="default"/>
      </items>
    </pivotField>
    <pivotField axis="axisRow" sortType="ascending">
      <items count="2">
        <item x="0"/>
        <item t="default" sd="0"/>
      </items>
    </pivotField>
    <pivotField showAll="0"/>
    <pivotField showAll="0"/>
    <pivotField showAll="0"/>
    <pivotField axis="axisCol" showAll="0" nonAutoSortDefault="1">
      <items count="6">
        <item x="0"/>
        <item x="1"/>
        <item x="2"/>
        <item x="3"/>
        <item x="4"/>
        <item t="default"/>
      </items>
    </pivotField>
    <pivotField showAll="0"/>
    <pivotField dataField="1" dragToRow="0" dragToCol="0" dragToPage="0" showAll="0" defaultSubtotal="0"/>
  </pivotFields>
  <rowFields count="2">
    <field x="1"/>
    <field x="0"/>
  </rowFields>
  <rowItems count="3">
    <i>
      <x/>
    </i>
    <i r="1">
      <x/>
    </i>
    <i t="grand">
      <x/>
    </i>
  </rowItems>
  <colFields count="1">
    <field x="5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Tiempo" fld="7" baseField="1" baseItem="0" numFmtId="2"/>
  </dataFields>
  <formats count="82">
    <format dxfId="323">
      <pivotArea collapsedLevelsAreSubtotals="1" fieldPosition="0">
        <references count="1">
          <reference field="1" count="0"/>
        </references>
      </pivotArea>
    </format>
    <format dxfId="322">
      <pivotArea grandRow="1" outline="0" collapsedLevelsAreSubtotals="1" fieldPosition="0"/>
    </format>
    <format dxfId="321">
      <pivotArea type="origin" dataOnly="0" labelOnly="1" outline="0" fieldPosition="0"/>
    </format>
    <format dxfId="320">
      <pivotArea field="1" type="button" dataOnly="0" labelOnly="1" outline="0" axis="axisRow" fieldPosition="0"/>
    </format>
    <format dxfId="319">
      <pivotArea dataOnly="0" labelOnly="1" grandCol="1" outline="0" fieldPosition="0"/>
    </format>
    <format dxfId="318">
      <pivotArea type="all" dataOnly="0" outline="0" fieldPosition="0"/>
    </format>
    <format dxfId="317">
      <pivotArea outline="0" collapsedLevelsAreSubtotals="1" fieldPosition="0"/>
    </format>
    <format dxfId="316">
      <pivotArea type="origin" dataOnly="0" labelOnly="1" outline="0" fieldPosition="0"/>
    </format>
    <format dxfId="315">
      <pivotArea type="topRight" dataOnly="0" labelOnly="1" outline="0" fieldPosition="0"/>
    </format>
    <format dxfId="314">
      <pivotArea field="1" type="button" dataOnly="0" labelOnly="1" outline="0" axis="axisRow" fieldPosition="0"/>
    </format>
    <format dxfId="313">
      <pivotArea dataOnly="0" labelOnly="1" fieldPosition="0">
        <references count="1">
          <reference field="1" count="0"/>
        </references>
      </pivotArea>
    </format>
    <format dxfId="312">
      <pivotArea dataOnly="0" labelOnly="1" grandRow="1" outline="0" fieldPosition="0"/>
    </format>
    <format dxfId="311">
      <pivotArea dataOnly="0" labelOnly="1" grandCol="1" outline="0" fieldPosition="0"/>
    </format>
    <format dxfId="310">
      <pivotArea dataOnly="0" labelOnly="1" fieldPosition="0">
        <references count="1">
          <reference field="1" count="0"/>
        </references>
      </pivotArea>
    </format>
    <format dxfId="309">
      <pivotArea dataOnly="0" labelOnly="1" grandRow="1" outline="0" fieldPosition="0"/>
    </format>
    <format dxfId="308">
      <pivotArea dataOnly="0" grandCol="1" outline="0" fieldPosition="0"/>
    </format>
    <format dxfId="307">
      <pivotArea dataOnly="0" labelOnly="1" grandCol="1" outline="0" fieldPosition="0"/>
    </format>
    <format dxfId="306">
      <pivotArea field="1" type="button" dataOnly="0" labelOnly="1" outline="0" axis="axisRow" fieldPosition="0"/>
    </format>
    <format dxfId="305">
      <pivotArea dataOnly="0" labelOnly="1" grandCol="1" outline="0" fieldPosition="0"/>
    </format>
    <format dxfId="304">
      <pivotArea outline="0" collapsedLevelsAreSubtotals="1" fieldPosition="0"/>
    </format>
    <format dxfId="303">
      <pivotArea field="1" type="button" dataOnly="0" labelOnly="1" outline="0" axis="axisRow" fieldPosition="0"/>
    </format>
    <format dxfId="302">
      <pivotArea dataOnly="0" labelOnly="1" grandCol="1" outline="0" fieldPosition="0"/>
    </format>
    <format dxfId="301">
      <pivotArea field="1" type="button" dataOnly="0" labelOnly="1" outline="0" axis="axisRow" fieldPosition="0"/>
    </format>
    <format dxfId="300">
      <pivotArea dataOnly="0" labelOnly="1" grandCol="1" outline="0" fieldPosition="0"/>
    </format>
    <format dxfId="299">
      <pivotArea type="origin" dataOnly="0" labelOnly="1" outline="0" fieldPosition="0"/>
    </format>
    <format dxfId="298">
      <pivotArea type="topRight" dataOnly="0" labelOnly="1" outline="0" offset="E1" fieldPosition="0"/>
    </format>
    <format dxfId="297">
      <pivotArea dataOnly="0" labelOnly="1" grandCol="1" outline="0" fieldPosition="0"/>
    </format>
    <format dxfId="296">
      <pivotArea type="origin" dataOnly="0" labelOnly="1" outline="0" fieldPosition="0"/>
    </format>
    <format dxfId="295">
      <pivotArea field="1" type="button" dataOnly="0" labelOnly="1" outline="0" axis="axisRow" fieldPosition="0"/>
    </format>
    <format dxfId="294">
      <pivotArea type="topRight" dataOnly="0" labelOnly="1" outline="0" fieldPosition="0"/>
    </format>
    <format dxfId="293">
      <pivotArea field="1" type="button" dataOnly="0" labelOnly="1" outline="0" axis="axisRow" fieldPosition="0"/>
    </format>
    <format dxfId="292">
      <pivotArea type="origin" dataOnly="0" labelOnly="1" outline="0" fieldPosition="0"/>
    </format>
    <format dxfId="291">
      <pivotArea dataOnly="0" labelOnly="1" grandCol="1" outline="0" fieldPosition="0"/>
    </format>
    <format dxfId="290">
      <pivotArea type="origin" dataOnly="0" labelOnly="1" outline="0" fieldPosition="0"/>
    </format>
    <format dxfId="289">
      <pivotArea field="-2" type="button" dataOnly="0" labelOnly="1" outline="0" axis="axisValues" fieldPosition="0"/>
    </format>
    <format dxfId="288">
      <pivotArea field="-2" type="button" dataOnly="0" labelOnly="1" outline="0" axis="axisValues" fieldPosition="0"/>
    </format>
    <format dxfId="287">
      <pivotArea field="1" type="button" dataOnly="0" labelOnly="1" outline="0" axis="axisRow" fieldPosition="0"/>
    </format>
    <format dxfId="286">
      <pivotArea type="origin" dataOnly="0" labelOnly="1" outline="0" fieldPosition="0"/>
    </format>
    <format dxfId="285">
      <pivotArea dataOnly="0" labelOnly="1" fieldPosition="0">
        <references count="1">
          <reference field="1" count="0"/>
        </references>
      </pivotArea>
    </format>
    <format dxfId="284">
      <pivotArea type="origin" dataOnly="0" labelOnly="1" outline="0" offset="A1" fieldPosition="0"/>
    </format>
    <format dxfId="283">
      <pivotArea field="-2" type="button" dataOnly="0" labelOnly="1" outline="0" axis="axisValues" fieldPosition="0"/>
    </format>
    <format dxfId="282">
      <pivotArea grandRow="1" grandCol="1"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81">
      <pivotArea grandRow="1" outline="0" collapsedLevelsAreSubtotals="1" fieldPosition="0"/>
    </format>
    <format dxfId="280">
      <pivotArea outline="0" collapsedLevelsAreSubtotals="1" fieldPosition="0"/>
    </format>
    <format dxfId="279">
      <pivotArea outline="0" collapsedLevelsAreSubtotals="1" fieldPosition="0"/>
    </format>
    <format dxfId="278">
      <pivotArea dataOnly="0" labelOnly="1" fieldPosition="0">
        <references count="1">
          <reference field="1" count="0"/>
        </references>
      </pivotArea>
    </format>
    <format dxfId="277">
      <pivotArea dataOnly="0" labelOnly="1" grandRow="1" outline="0" fieldPosition="0"/>
    </format>
    <format dxfId="276">
      <pivotArea type="origin" dataOnly="0" labelOnly="1" outline="0" fieldPosition="0"/>
    </format>
    <format dxfId="275">
      <pivotArea type="origin" dataOnly="0" labelOnly="1" outline="0" fieldPosition="0"/>
    </format>
    <format dxfId="274">
      <pivotArea type="topRight" dataOnly="0" labelOnly="1" outline="0" fieldPosition="0"/>
    </format>
    <format dxfId="273">
      <pivotArea field="1" type="button" dataOnly="0" labelOnly="1" outline="0" axis="axisRow" fieldPosition="0"/>
    </format>
    <format dxfId="272">
      <pivotArea dataOnly="0" labelOnly="1" fieldPosition="0">
        <references count="1">
          <reference field="1" count="0"/>
        </references>
      </pivotArea>
    </format>
    <format dxfId="271">
      <pivotArea dataOnly="0" labelOnly="1" grandCol="1" outline="0" fieldPosition="0"/>
    </format>
    <format dxfId="270">
      <pivotArea field="0" dataOnly="0" grandRow="1" axis="axisRow" fieldPosition="1">
        <references count="1">
          <reference field="0" count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269">
      <pivotArea type="origin" dataOnly="0" labelOnly="1" outline="0" fieldPosition="0"/>
    </format>
    <format dxfId="268">
      <pivotArea field="1" type="button" dataOnly="0" labelOnly="1" outline="0" axis="axisRow" fieldPosition="0"/>
    </format>
    <format dxfId="267">
      <pivotArea dataOnly="0" labelOnly="1" fieldPosition="0">
        <references count="1">
          <reference field="1" count="0"/>
        </references>
      </pivotArea>
    </format>
    <format dxfId="266">
      <pivotArea dataOnly="0" labelOnly="1" grandRow="1" outline="0" fieldPosition="0"/>
    </format>
    <format dxfId="265">
      <pivotArea type="all" dataOnly="0" outline="0" fieldPosition="0"/>
    </format>
    <format dxfId="264">
      <pivotArea outline="0" collapsedLevelsAreSubtotals="1" fieldPosition="0"/>
    </format>
    <format dxfId="263">
      <pivotArea type="origin" dataOnly="0" labelOnly="1" outline="0" fieldPosition="0"/>
    </format>
    <format dxfId="262">
      <pivotArea type="topRight" dataOnly="0" labelOnly="1" outline="0" fieldPosition="0"/>
    </format>
    <format dxfId="261">
      <pivotArea field="1" type="button" dataOnly="0" labelOnly="1" outline="0" axis="axisRow" fieldPosition="0"/>
    </format>
    <format dxfId="260">
      <pivotArea dataOnly="0" labelOnly="1" fieldPosition="0">
        <references count="1">
          <reference field="1" count="0"/>
        </references>
      </pivotArea>
    </format>
    <format dxfId="259">
      <pivotArea dataOnly="0" labelOnly="1" grandRow="1" outline="0" fieldPosition="0"/>
    </format>
    <format dxfId="258">
      <pivotArea dataOnly="0" labelOnly="1" grandCol="1" outline="0" fieldPosition="0"/>
    </format>
    <format dxfId="257">
      <pivotArea type="all" dataOnly="0" outline="0" fieldPosition="0"/>
    </format>
    <format dxfId="256">
      <pivotArea outline="0" collapsedLevelsAreSubtotals="1" fieldPosition="0"/>
    </format>
    <format dxfId="255">
      <pivotArea type="origin" dataOnly="0" labelOnly="1" outline="0" fieldPosition="0"/>
    </format>
    <format dxfId="254">
      <pivotArea field="5" type="button" dataOnly="0" labelOnly="1" outline="0" axis="axisCol" fieldPosition="0"/>
    </format>
    <format dxfId="253">
      <pivotArea type="topRight" dataOnly="0" labelOnly="1" outline="0" fieldPosition="0"/>
    </format>
    <format dxfId="252">
      <pivotArea field="1" type="button" dataOnly="0" labelOnly="1" outline="0" axis="axisRow" fieldPosition="0"/>
    </format>
    <format dxfId="251">
      <pivotArea dataOnly="0" labelOnly="1" fieldPosition="0">
        <references count="1">
          <reference field="1" count="0"/>
        </references>
      </pivotArea>
    </format>
    <format dxfId="250">
      <pivotArea dataOnly="0" labelOnly="1" grandRow="1" outline="0" fieldPosition="0"/>
    </format>
    <format dxfId="249">
      <pivotArea dataOnly="0" labelOnly="1" fieldPosition="0">
        <references count="1">
          <reference field="5" count="0"/>
        </references>
      </pivotArea>
    </format>
    <format dxfId="248">
      <pivotArea dataOnly="0" labelOnly="1" grandCol="1" outline="0" fieldPosition="0"/>
    </format>
    <format dxfId="247">
      <pivotArea field="1" type="button" dataOnly="0" labelOnly="1" outline="0" axis="axisRow" fieldPosition="0"/>
    </format>
    <format dxfId="246">
      <pivotArea dataOnly="0" labelOnly="1" fieldPosition="0">
        <references count="1">
          <reference field="5" count="0"/>
        </references>
      </pivotArea>
    </format>
    <format dxfId="245">
      <pivotArea dataOnly="0" labelOnly="1" grandCol="1" outline="0" fieldPosition="0"/>
    </format>
    <format dxfId="244">
      <pivotArea field="1" type="button" dataOnly="0" labelOnly="1" outline="0" axis="axisRow" fieldPosition="0"/>
    </format>
    <format dxfId="243">
      <pivotArea dataOnly="0" labelOnly="1" fieldPosition="0">
        <references count="1">
          <reference field="5" count="0"/>
        </references>
      </pivotArea>
    </format>
    <format dxfId="242">
      <pivotArea dataOnly="0" labelOnly="1" grandCol="1" outline="0" fieldPosition="0"/>
    </format>
  </formats>
  <pivotTableStyleInfo name="PivotStyleLight8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218BC5-7E44-40AC-9E8C-42A3145AFC1A}" name="Tareas por estudiante" cacheId="2" applyNumberFormats="0" applyBorderFormats="0" applyFontFormats="0" applyPatternFormats="0" applyAlignmentFormats="0" applyWidthHeightFormats="1" dataCaption="Valores" grandTotalCaption="Total general" updatedVersion="8" minRefreshableVersion="3" useAutoFormatting="1" itemPrintTitles="1" createdVersion="8" indent="0" outline="1" outlineData="1" multipleFieldFilters="0" chartFormat="7" rowHeaderCaption="Semana" colHeaderCaption="Estudiante">
  <location ref="K3:Q7" firstHeaderRow="1" firstDataRow="2" firstDataCol="1"/>
  <pivotFields count="8">
    <pivotField axis="axisRow" numFmtId="14" showAll="0">
      <items count="2">
        <item x="0"/>
        <item t="default"/>
      </items>
    </pivotField>
    <pivotField axis="axisRow" sortType="ascending">
      <items count="2">
        <item x="0"/>
        <item t="default" sd="0"/>
      </items>
    </pivotField>
    <pivotField dataField="1" showAll="0"/>
    <pivotField showAll="0"/>
    <pivotField showAll="0"/>
    <pivotField axis="axisCol" showAll="0" nonAutoSortDefault="1">
      <items count="6">
        <item x="0"/>
        <item x="1"/>
        <item x="2"/>
        <item x="3"/>
        <item x="4"/>
        <item t="default"/>
      </items>
    </pivotField>
    <pivotField showAll="0"/>
    <pivotField dragToRow="0" dragToCol="0" dragToPage="0" showAll="0" defaultSubtotal="0"/>
  </pivotFields>
  <rowFields count="2">
    <field x="1"/>
    <field x="0"/>
  </rowFields>
  <rowItems count="3">
    <i>
      <x/>
    </i>
    <i r="1">
      <x/>
    </i>
    <i t="grand">
      <x/>
    </i>
  </rowItems>
  <colFields count="1">
    <field x="5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Tareas" fld="2" subtotal="count" baseField="1" baseItem="0" numFmtId="1"/>
  </dataFields>
  <formats count="84">
    <format dxfId="407">
      <pivotArea collapsedLevelsAreSubtotals="1" fieldPosition="0">
        <references count="1">
          <reference field="1" count="0"/>
        </references>
      </pivotArea>
    </format>
    <format dxfId="406">
      <pivotArea grandRow="1" outline="0" collapsedLevelsAreSubtotals="1" fieldPosition="0"/>
    </format>
    <format dxfId="405">
      <pivotArea type="origin" dataOnly="0" labelOnly="1" outline="0" fieldPosition="0"/>
    </format>
    <format dxfId="404">
      <pivotArea field="1" type="button" dataOnly="0" labelOnly="1" outline="0" axis="axisRow" fieldPosition="0"/>
    </format>
    <format dxfId="403">
      <pivotArea dataOnly="0" labelOnly="1" grandCol="1" outline="0" fieldPosition="0"/>
    </format>
    <format dxfId="402">
      <pivotArea type="all" dataOnly="0" outline="0" fieldPosition="0"/>
    </format>
    <format dxfId="401">
      <pivotArea outline="0" collapsedLevelsAreSubtotals="1" fieldPosition="0"/>
    </format>
    <format dxfId="400">
      <pivotArea type="origin" dataOnly="0" labelOnly="1" outline="0" fieldPosition="0"/>
    </format>
    <format dxfId="399">
      <pivotArea type="topRight" dataOnly="0" labelOnly="1" outline="0" fieldPosition="0"/>
    </format>
    <format dxfId="398">
      <pivotArea field="1" type="button" dataOnly="0" labelOnly="1" outline="0" axis="axisRow" fieldPosition="0"/>
    </format>
    <format dxfId="397">
      <pivotArea dataOnly="0" labelOnly="1" fieldPosition="0">
        <references count="1">
          <reference field="1" count="0"/>
        </references>
      </pivotArea>
    </format>
    <format dxfId="396">
      <pivotArea dataOnly="0" labelOnly="1" grandRow="1" outline="0" fieldPosition="0"/>
    </format>
    <format dxfId="395">
      <pivotArea dataOnly="0" labelOnly="1" grandCol="1" outline="0" fieldPosition="0"/>
    </format>
    <format dxfId="394">
      <pivotArea dataOnly="0" labelOnly="1" fieldPosition="0">
        <references count="1">
          <reference field="1" count="0"/>
        </references>
      </pivotArea>
    </format>
    <format dxfId="393">
      <pivotArea dataOnly="0" labelOnly="1" grandRow="1" outline="0" fieldPosition="0"/>
    </format>
    <format dxfId="392">
      <pivotArea dataOnly="0" grandCol="1" outline="0" fieldPosition="0"/>
    </format>
    <format dxfId="391">
      <pivotArea dataOnly="0" labelOnly="1" grandCol="1" outline="0" fieldPosition="0"/>
    </format>
    <format dxfId="390">
      <pivotArea field="1" type="button" dataOnly="0" labelOnly="1" outline="0" axis="axisRow" fieldPosition="0"/>
    </format>
    <format dxfId="389">
      <pivotArea dataOnly="0" labelOnly="1" grandCol="1" outline="0" fieldPosition="0"/>
    </format>
    <format dxfId="388">
      <pivotArea outline="0" collapsedLevelsAreSubtotals="1" fieldPosition="0"/>
    </format>
    <format dxfId="387">
      <pivotArea field="1" type="button" dataOnly="0" labelOnly="1" outline="0" axis="axisRow" fieldPosition="0"/>
    </format>
    <format dxfId="386">
      <pivotArea dataOnly="0" labelOnly="1" grandCol="1" outline="0" fieldPosition="0"/>
    </format>
    <format dxfId="385">
      <pivotArea field="1" type="button" dataOnly="0" labelOnly="1" outline="0" axis="axisRow" fieldPosition="0"/>
    </format>
    <format dxfId="384">
      <pivotArea dataOnly="0" labelOnly="1" grandCol="1" outline="0" fieldPosition="0"/>
    </format>
    <format dxfId="383">
      <pivotArea type="origin" dataOnly="0" labelOnly="1" outline="0" fieldPosition="0"/>
    </format>
    <format dxfId="382">
      <pivotArea type="topRight" dataOnly="0" labelOnly="1" outline="0" offset="E1" fieldPosition="0"/>
    </format>
    <format dxfId="381">
      <pivotArea dataOnly="0" labelOnly="1" grandCol="1" outline="0" fieldPosition="0"/>
    </format>
    <format dxfId="380">
      <pivotArea type="origin" dataOnly="0" labelOnly="1" outline="0" fieldPosition="0"/>
    </format>
    <format dxfId="379">
      <pivotArea field="1" type="button" dataOnly="0" labelOnly="1" outline="0" axis="axisRow" fieldPosition="0"/>
    </format>
    <format dxfId="378">
      <pivotArea type="topRight" dataOnly="0" labelOnly="1" outline="0" fieldPosition="0"/>
    </format>
    <format dxfId="377">
      <pivotArea field="1" type="button" dataOnly="0" labelOnly="1" outline="0" axis="axisRow" fieldPosition="0"/>
    </format>
    <format dxfId="376">
      <pivotArea type="origin" dataOnly="0" labelOnly="1" outline="0" fieldPosition="0"/>
    </format>
    <format dxfId="375">
      <pivotArea dataOnly="0" labelOnly="1" grandCol="1" outline="0" fieldPosition="0"/>
    </format>
    <format dxfId="374">
      <pivotArea type="origin" dataOnly="0" labelOnly="1" outline="0" fieldPosition="0"/>
    </format>
    <format dxfId="373">
      <pivotArea field="-2" type="button" dataOnly="0" labelOnly="1" outline="0" axis="axisValues" fieldPosition="0"/>
    </format>
    <format dxfId="372">
      <pivotArea field="-2" type="button" dataOnly="0" labelOnly="1" outline="0" axis="axisValues" fieldPosition="0"/>
    </format>
    <format dxfId="371">
      <pivotArea field="1" type="button" dataOnly="0" labelOnly="1" outline="0" axis="axisRow" fieldPosition="0"/>
    </format>
    <format dxfId="370">
      <pivotArea type="origin" dataOnly="0" labelOnly="1" outline="0" fieldPosition="0"/>
    </format>
    <format dxfId="369">
      <pivotArea dataOnly="0" labelOnly="1" fieldPosition="0">
        <references count="1">
          <reference field="1" count="0"/>
        </references>
      </pivotArea>
    </format>
    <format dxfId="368">
      <pivotArea type="origin" dataOnly="0" labelOnly="1" outline="0" offset="A1" fieldPosition="0"/>
    </format>
    <format dxfId="367">
      <pivotArea field="-2" type="button" dataOnly="0" labelOnly="1" outline="0" axis="axisValues" fieldPosition="0"/>
    </format>
    <format dxfId="366">
      <pivotArea outline="0" collapsedLevelsAreSubtotals="1" fieldPosition="0"/>
    </format>
    <format dxfId="365">
      <pivotArea outline="0" collapsedLevelsAreSubtotals="1" fieldPosition="0"/>
    </format>
    <format dxfId="364">
      <pivotArea dataOnly="0" labelOnly="1" fieldPosition="0">
        <references count="1">
          <reference field="1" count="0"/>
        </references>
      </pivotArea>
    </format>
    <format dxfId="363">
      <pivotArea dataOnly="0" labelOnly="1" grandRow="1" outline="0" fieldPosition="0"/>
    </format>
    <format dxfId="362">
      <pivotArea type="origin" dataOnly="0" labelOnly="1" outline="0" fieldPosition="0"/>
    </format>
    <format dxfId="361">
      <pivotArea type="origin" dataOnly="0" labelOnly="1" outline="0" fieldPosition="0"/>
    </format>
    <format dxfId="360">
      <pivotArea type="topRight" dataOnly="0" labelOnly="1" outline="0" fieldPosition="0"/>
    </format>
    <format dxfId="359">
      <pivotArea field="1" type="button" dataOnly="0" labelOnly="1" outline="0" axis="axisRow" fieldPosition="0"/>
    </format>
    <format dxfId="358">
      <pivotArea dataOnly="0" labelOnly="1" fieldPosition="0">
        <references count="1">
          <reference field="1" count="0"/>
        </references>
      </pivotArea>
    </format>
    <format dxfId="357">
      <pivotArea dataOnly="0" labelOnly="1" grandCol="1" outline="0" fieldPosition="0"/>
    </format>
    <format dxfId="356">
      <pivotArea dataOnly="0" grandRow="1" axis="axisRow" fieldPosition="0"/>
    </format>
    <format dxfId="355">
      <pivotArea type="origin" dataOnly="0" labelOnly="1" outline="0" fieldPosition="0"/>
    </format>
    <format dxfId="354">
      <pivotArea field="1" type="button" dataOnly="0" labelOnly="1" outline="0" axis="axisRow" fieldPosition="0"/>
    </format>
    <format dxfId="353">
      <pivotArea dataOnly="0" labelOnly="1" fieldPosition="0">
        <references count="1">
          <reference field="1" count="0"/>
        </references>
      </pivotArea>
    </format>
    <format dxfId="352">
      <pivotArea dataOnly="0" labelOnly="1" grandRow="1" outline="0" fieldPosition="0"/>
    </format>
    <format dxfId="351">
      <pivotArea grandRow="1" outline="0" collapsedLevelsAreSubtotals="1" fieldPosition="0"/>
    </format>
    <format dxfId="350">
      <pivotArea dataOnly="0" labelOnly="1" grandRow="1" outline="0" fieldPosition="0"/>
    </format>
    <format dxfId="349">
      <pivotArea type="all" dataOnly="0" outline="0" fieldPosition="0"/>
    </format>
    <format dxfId="348">
      <pivotArea outline="0" collapsedLevelsAreSubtotals="1" fieldPosition="0"/>
    </format>
    <format dxfId="347">
      <pivotArea type="origin" dataOnly="0" labelOnly="1" outline="0" fieldPosition="0"/>
    </format>
    <format dxfId="346">
      <pivotArea type="topRight" dataOnly="0" labelOnly="1" outline="0" fieldPosition="0"/>
    </format>
    <format dxfId="345">
      <pivotArea field="1" type="button" dataOnly="0" labelOnly="1" outline="0" axis="axisRow" fieldPosition="0"/>
    </format>
    <format dxfId="344">
      <pivotArea dataOnly="0" labelOnly="1" fieldPosition="0">
        <references count="1">
          <reference field="1" count="0"/>
        </references>
      </pivotArea>
    </format>
    <format dxfId="343">
      <pivotArea dataOnly="0" labelOnly="1" grandRow="1" outline="0" fieldPosition="0"/>
    </format>
    <format dxfId="342">
      <pivotArea dataOnly="0" labelOnly="1" grandCol="1" outline="0" fieldPosition="0"/>
    </format>
    <format dxfId="341">
      <pivotArea field="5" type="button" dataOnly="0" labelOnly="1" outline="0" axis="axisCol" fieldPosition="0"/>
    </format>
    <format dxfId="340">
      <pivotArea type="all" dataOnly="0" outline="0" fieldPosition="0"/>
    </format>
    <format dxfId="339">
      <pivotArea outline="0" collapsedLevelsAreSubtotals="1" fieldPosition="0"/>
    </format>
    <format dxfId="338">
      <pivotArea type="origin" dataOnly="0" labelOnly="1" outline="0" fieldPosition="0"/>
    </format>
    <format dxfId="337">
      <pivotArea field="5" type="button" dataOnly="0" labelOnly="1" outline="0" axis="axisCol" fieldPosition="0"/>
    </format>
    <format dxfId="336">
      <pivotArea type="topRight" dataOnly="0" labelOnly="1" outline="0" fieldPosition="0"/>
    </format>
    <format dxfId="335">
      <pivotArea field="1" type="button" dataOnly="0" labelOnly="1" outline="0" axis="axisRow" fieldPosition="0"/>
    </format>
    <format dxfId="334">
      <pivotArea dataOnly="0" labelOnly="1" fieldPosition="0">
        <references count="1">
          <reference field="1" count="0"/>
        </references>
      </pivotArea>
    </format>
    <format dxfId="333">
      <pivotArea dataOnly="0" labelOnly="1" grandRow="1" outline="0" fieldPosition="0"/>
    </format>
    <format dxfId="332">
      <pivotArea dataOnly="0" labelOnly="1" fieldPosition="0">
        <references count="1">
          <reference field="5" count="0"/>
        </references>
      </pivotArea>
    </format>
    <format dxfId="331">
      <pivotArea dataOnly="0" labelOnly="1" grandCol="1" outline="0" fieldPosition="0"/>
    </format>
    <format dxfId="330">
      <pivotArea field="1" type="button" dataOnly="0" labelOnly="1" outline="0" axis="axisRow" fieldPosition="0"/>
    </format>
    <format dxfId="329">
      <pivotArea dataOnly="0" labelOnly="1" fieldPosition="0">
        <references count="1">
          <reference field="5" count="0"/>
        </references>
      </pivotArea>
    </format>
    <format dxfId="328">
      <pivotArea dataOnly="0" labelOnly="1" grandCol="1" outline="0" fieldPosition="0"/>
    </format>
    <format dxfId="327">
      <pivotArea field="1" type="button" dataOnly="0" labelOnly="1" outline="0" axis="axisRow" fieldPosition="0"/>
    </format>
    <format dxfId="326">
      <pivotArea dataOnly="0" labelOnly="1" fieldPosition="0">
        <references count="1">
          <reference field="5" count="0"/>
        </references>
      </pivotArea>
    </format>
    <format dxfId="325">
      <pivotArea dataOnly="0" labelOnly="1" grandCol="1" outline="0" fieldPosition="0"/>
    </format>
    <format dxfId="324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8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F3C686-44D9-45A0-8814-D9EA4B89EA4A}" name="Tiempo por objetivo" cacheId="2" applyNumberFormats="0" applyBorderFormats="0" applyFontFormats="0" applyPatternFormats="0" applyAlignmentFormats="0" applyWidthHeightFormats="1" dataCaption="Valores" grandTotalCaption="Total General" updatedVersion="8" minRefreshableVersion="3" useAutoFormatting="1" itemPrintTitles="1" createdVersion="8" indent="0" outline="1" outlineData="1" multipleFieldFilters="0" rowHeaderCaption="Semana" colHeaderCaption="Objetivo">
  <location ref="B3:I7" firstHeaderRow="1" firstDataRow="2" firstDataCol="1"/>
  <pivotFields count="8">
    <pivotField axis="axisRow" numFmtId="14" showAll="0">
      <items count="2">
        <item x="0"/>
        <item t="default"/>
      </items>
    </pivotField>
    <pivotField axis="axisRow" showAll="0" sortType="ascending">
      <items count="2">
        <item x="0"/>
        <item t="default"/>
      </items>
    </pivotField>
    <pivotField showAll="0"/>
    <pivotField axis="axisCol" showAll="0" sortType="ascending">
      <items count="7">
        <item x="0"/>
        <item x="2"/>
        <item x="3"/>
        <item x="4"/>
        <item x="1"/>
        <item x="5"/>
        <item t="default"/>
      </items>
    </pivotField>
    <pivotField showAll="0"/>
    <pivotField showAll="0"/>
    <pivotField showAll="0"/>
    <pivotField dataField="1" dragToRow="0" dragToCol="0" dragToPage="0" showAll="0" defaultSubtotal="0"/>
  </pivotFields>
  <rowFields count="2">
    <field x="1"/>
    <field x="0"/>
  </rowFields>
  <rowItems count="3">
    <i>
      <x/>
    </i>
    <i r="1">
      <x/>
    </i>
    <i t="grand">
      <x/>
    </i>
  </rowItems>
  <colFields count="1">
    <field x="3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Tiempo" fld="7" baseField="1" baseItem="0" numFmtId="2"/>
  </dataFields>
  <formats count="55">
    <format dxfId="186">
      <pivotArea grandRow="1" outline="0" collapsedLevelsAreSubtotals="1" fieldPosition="0"/>
    </format>
    <format dxfId="185">
      <pivotArea grandRow="1" outline="0" collapsedLevelsAreSubtotals="1" fieldPosition="0"/>
    </format>
    <format dxfId="184">
      <pivotArea dataOnly="0" labelOnly="1" fieldPosition="0">
        <references count="1">
          <reference field="3" count="0"/>
        </references>
      </pivotArea>
    </format>
    <format dxfId="183">
      <pivotArea dataOnly="0" labelOnly="1" grandCol="1" outline="0" fieldPosition="0"/>
    </format>
    <format dxfId="182">
      <pivotArea field="1" type="button" dataOnly="0" labelOnly="1" outline="0" axis="axisRow" fieldPosition="0"/>
    </format>
    <format dxfId="181">
      <pivotArea dataOnly="0" labelOnly="1" fieldPosition="0">
        <references count="1">
          <reference field="3" count="0"/>
        </references>
      </pivotArea>
    </format>
    <format dxfId="180">
      <pivotArea dataOnly="0" labelOnly="1" grandCol="1" outline="0" fieldPosition="0"/>
    </format>
    <format dxfId="179">
      <pivotArea field="1" type="button" dataOnly="0" labelOnly="1" outline="0" axis="axisRow" fieldPosition="0"/>
    </format>
    <format dxfId="178">
      <pivotArea dataOnly="0" labelOnly="1" fieldPosition="0">
        <references count="1">
          <reference field="3" count="0"/>
        </references>
      </pivotArea>
    </format>
    <format dxfId="177">
      <pivotArea dataOnly="0" labelOnly="1" grandCol="1" outline="0" fieldPosition="0"/>
    </format>
    <format dxfId="176">
      <pivotArea type="origin" dataOnly="0" labelOnly="1" outline="0" fieldPosition="0"/>
    </format>
    <format dxfId="175">
      <pivotArea field="1" type="button" dataOnly="0" labelOnly="1" outline="0" axis="axisRow" fieldPosition="0"/>
    </format>
    <format dxfId="174">
      <pivotArea field="3" type="button" dataOnly="0" labelOnly="1" outline="0" axis="axisCol" fieldPosition="0"/>
    </format>
    <format dxfId="173">
      <pivotArea type="topRight" dataOnly="0" labelOnly="1" outline="0" fieldPosition="0"/>
    </format>
    <format dxfId="172">
      <pivotArea dataOnly="0" labelOnly="1" fieldPosition="0">
        <references count="1">
          <reference field="3" count="0"/>
        </references>
      </pivotArea>
    </format>
    <format dxfId="171">
      <pivotArea dataOnly="0" labelOnly="1" grandCol="1" outline="0" fieldPosition="0"/>
    </format>
    <format dxfId="170">
      <pivotArea field="3" type="button" dataOnly="0" labelOnly="1" outline="0" axis="axisCol" fieldPosition="0"/>
    </format>
    <format dxfId="169">
      <pivotArea type="topRight" dataOnly="0" labelOnly="1" outline="0" fieldPosition="0"/>
    </format>
    <format dxfId="168">
      <pivotArea field="3" type="button" dataOnly="0" labelOnly="1" outline="0" axis="axisCol" fieldPosition="0"/>
    </format>
    <format dxfId="167">
      <pivotArea field="1" type="button" dataOnly="0" labelOnly="1" outline="0" axis="axisRow" fieldPosition="0"/>
    </format>
    <format dxfId="166">
      <pivotArea type="origin" dataOnly="0" labelOnly="1" outline="0" fieldPosition="0"/>
    </format>
    <format dxfId="165">
      <pivotArea dataOnly="0" labelOnly="1" fieldPosition="0">
        <references count="1">
          <reference field="3" count="0"/>
        </references>
      </pivotArea>
    </format>
    <format dxfId="164">
      <pivotArea dataOnly="0" labelOnly="1" grandCol="1" outline="0" fieldPosition="0"/>
    </format>
    <format dxfId="163">
      <pivotArea field="3" type="button" dataOnly="0" labelOnly="1" outline="0" axis="axisCol" fieldPosition="0"/>
    </format>
    <format dxfId="162">
      <pivotArea field="-2" type="button" dataOnly="0" labelOnly="1" outline="0" axis="axisValues" fieldPosition="0"/>
    </format>
    <format dxfId="161">
      <pivotArea field="3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60">
      <pivotArea outline="0" fieldPosition="0">
        <references count="1">
          <reference field="4294967294" count="1">
            <x v="0"/>
          </reference>
        </references>
      </pivotArea>
    </format>
    <format dxfId="159">
      <pivotArea outline="0" collapsedLevelsAreSubtotals="1" fieldPosition="0"/>
    </format>
    <format dxfId="158">
      <pivotArea outline="0" collapsedLevelsAreSubtotals="1" fieldPosition="0"/>
    </format>
    <format dxfId="157">
      <pivotArea outline="0" collapsedLevelsAreSubtotals="1" fieldPosition="0"/>
    </format>
    <format dxfId="156">
      <pivotArea dataOnly="0" labelOnly="1" fieldPosition="0">
        <references count="1">
          <reference field="1" count="0"/>
        </references>
      </pivotArea>
    </format>
    <format dxfId="155">
      <pivotArea dataOnly="0" labelOnly="1" grandRow="1" outline="0" fieldPosition="0"/>
    </format>
    <format dxfId="154">
      <pivotArea outline="0" collapsedLevelsAreSubtotals="1" fieldPosition="0"/>
    </format>
    <format dxfId="153">
      <pivotArea type="origin" dataOnly="0" labelOnly="1" outline="0" fieldPosition="0"/>
    </format>
    <format dxfId="152">
      <pivotArea type="all" dataOnly="0" outline="0" fieldPosition="0"/>
    </format>
    <format dxfId="151">
      <pivotArea outline="0" collapsedLevelsAreSubtotals="1" fieldPosition="0"/>
    </format>
    <format dxfId="150">
      <pivotArea type="origin" dataOnly="0" labelOnly="1" outline="0" fieldPosition="0"/>
    </format>
    <format dxfId="149">
      <pivotArea field="3" type="button" dataOnly="0" labelOnly="1" outline="0" axis="axisCol" fieldPosition="0"/>
    </format>
    <format dxfId="148">
      <pivotArea type="topRight" dataOnly="0" labelOnly="1" outline="0" fieldPosition="0"/>
    </format>
    <format dxfId="147">
      <pivotArea field="1" type="button" dataOnly="0" labelOnly="1" outline="0" axis="axisRow" fieldPosition="0"/>
    </format>
    <format dxfId="146">
      <pivotArea dataOnly="0" labelOnly="1" fieldPosition="0">
        <references count="1">
          <reference field="1" count="0"/>
        </references>
      </pivotArea>
    </format>
    <format dxfId="145">
      <pivotArea dataOnly="0" labelOnly="1" grandRow="1" outline="0" fieldPosition="0"/>
    </format>
    <format dxfId="144">
      <pivotArea dataOnly="0" labelOnly="1" fieldPosition="0">
        <references count="1">
          <reference field="3" count="0"/>
        </references>
      </pivotArea>
    </format>
    <format dxfId="143">
      <pivotArea dataOnly="0" labelOnly="1" grandCol="1" outline="0" fieldPosition="0"/>
    </format>
    <format dxfId="142">
      <pivotArea dataOnly="0" grandRow="1" fieldPosition="0"/>
    </format>
    <format dxfId="141">
      <pivotArea type="all" dataOnly="0" outline="0" fieldPosition="0"/>
    </format>
    <format dxfId="140">
      <pivotArea outline="0" collapsedLevelsAreSubtotals="1" fieldPosition="0"/>
    </format>
    <format dxfId="139">
      <pivotArea type="origin" dataOnly="0" labelOnly="1" outline="0" fieldPosition="0"/>
    </format>
    <format dxfId="138">
      <pivotArea field="3" type="button" dataOnly="0" labelOnly="1" outline="0" axis="axisCol" fieldPosition="0"/>
    </format>
    <format dxfId="137">
      <pivotArea type="topRight" dataOnly="0" labelOnly="1" outline="0" fieldPosition="0"/>
    </format>
    <format dxfId="136">
      <pivotArea field="1" type="button" dataOnly="0" labelOnly="1" outline="0" axis="axisRow" fieldPosition="0"/>
    </format>
    <format dxfId="135">
      <pivotArea dataOnly="0" labelOnly="1" fieldPosition="0">
        <references count="1">
          <reference field="1" count="0"/>
        </references>
      </pivotArea>
    </format>
    <format dxfId="134">
      <pivotArea dataOnly="0" labelOnly="1" grandRow="1" outline="0" fieldPosition="0"/>
    </format>
    <format dxfId="133">
      <pivotArea dataOnly="0" labelOnly="1" fieldPosition="0">
        <references count="1">
          <reference field="3" count="0"/>
        </references>
      </pivotArea>
    </format>
    <format dxfId="132">
      <pivotArea dataOnly="0" labelOnly="1" grandCol="1" outline="0" fieldPosition="0"/>
    </format>
  </formats>
  <pivotTableStyleInfo name="PivotStyleLight8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A1DEC6-FF3D-4A61-93D5-6D7115CF8D5C}" name="Tareas por objetivo" cacheId="2" applyNumberFormats="0" applyBorderFormats="0" applyFontFormats="0" applyPatternFormats="0" applyAlignmentFormats="0" applyWidthHeightFormats="1" dataCaption="Valores" grandTotalCaption="Total" updatedVersion="8" minRefreshableVersion="3" useAutoFormatting="1" itemPrintTitles="1" createdVersion="8" indent="0" outline="1" outlineData="1" multipleFieldFilters="0" rowHeaderCaption="Semana" colHeaderCaption="Objetivo">
  <location ref="K3:R7" firstHeaderRow="1" firstDataRow="2" firstDataCol="1"/>
  <pivotFields count="8">
    <pivotField axis="axisRow" numFmtId="14" showAll="0">
      <items count="2">
        <item x="0"/>
        <item t="default"/>
      </items>
    </pivotField>
    <pivotField axis="axisRow" showAll="0" sortType="ascending">
      <items count="2">
        <item x="0"/>
        <item t="default"/>
      </items>
    </pivotField>
    <pivotField showAll="0"/>
    <pivotField axis="axisCol" dataField="1" showAll="0" sortType="ascending">
      <items count="7">
        <item x="0"/>
        <item x="2"/>
        <item x="3"/>
        <item x="4"/>
        <item x="1"/>
        <item x="5"/>
        <item t="default"/>
      </items>
    </pivotField>
    <pivotField showAll="0"/>
    <pivotField showAll="0"/>
    <pivotField showAll="0"/>
    <pivotField dragToRow="0" dragToCol="0" dragToPage="0" showAll="0" defaultSubtotal="0"/>
  </pivotFields>
  <rowFields count="2">
    <field x="1"/>
    <field x="0"/>
  </rowFields>
  <rowItems count="3">
    <i>
      <x/>
    </i>
    <i r="1">
      <x/>
    </i>
    <i t="grand">
      <x/>
    </i>
  </rowItems>
  <colFields count="1">
    <field x="3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Tareas" fld="3" subtotal="count" baseField="1" baseItem="0" numFmtId="1"/>
  </dataFields>
  <formats count="55">
    <format dxfId="241">
      <pivotArea grandRow="1" outline="0" collapsedLevelsAreSubtotals="1" fieldPosition="0"/>
    </format>
    <format dxfId="240">
      <pivotArea grandRow="1" outline="0" collapsedLevelsAreSubtotals="1" fieldPosition="0"/>
    </format>
    <format dxfId="239">
      <pivotArea dataOnly="0" labelOnly="1" fieldPosition="0">
        <references count="1">
          <reference field="3" count="0"/>
        </references>
      </pivotArea>
    </format>
    <format dxfId="238">
      <pivotArea dataOnly="0" labelOnly="1" grandCol="1" outline="0" fieldPosition="0"/>
    </format>
    <format dxfId="237">
      <pivotArea field="1" type="button" dataOnly="0" labelOnly="1" outline="0" axis="axisRow" fieldPosition="0"/>
    </format>
    <format dxfId="236">
      <pivotArea dataOnly="0" labelOnly="1" fieldPosition="0">
        <references count="1">
          <reference field="3" count="0"/>
        </references>
      </pivotArea>
    </format>
    <format dxfId="235">
      <pivotArea dataOnly="0" labelOnly="1" grandCol="1" outline="0" fieldPosition="0"/>
    </format>
    <format dxfId="234">
      <pivotArea field="1" type="button" dataOnly="0" labelOnly="1" outline="0" axis="axisRow" fieldPosition="0"/>
    </format>
    <format dxfId="233">
      <pivotArea dataOnly="0" labelOnly="1" fieldPosition="0">
        <references count="1">
          <reference field="3" count="0"/>
        </references>
      </pivotArea>
    </format>
    <format dxfId="232">
      <pivotArea dataOnly="0" labelOnly="1" grandCol="1" outline="0" fieldPosition="0"/>
    </format>
    <format dxfId="231">
      <pivotArea type="origin" dataOnly="0" labelOnly="1" outline="0" fieldPosition="0"/>
    </format>
    <format dxfId="230">
      <pivotArea field="1" type="button" dataOnly="0" labelOnly="1" outline="0" axis="axisRow" fieldPosition="0"/>
    </format>
    <format dxfId="229">
      <pivotArea field="3" type="button" dataOnly="0" labelOnly="1" outline="0" axis="axisCol" fieldPosition="0"/>
    </format>
    <format dxfId="228">
      <pivotArea type="topRight" dataOnly="0" labelOnly="1" outline="0" fieldPosition="0"/>
    </format>
    <format dxfId="227">
      <pivotArea dataOnly="0" labelOnly="1" fieldPosition="0">
        <references count="1">
          <reference field="3" count="0"/>
        </references>
      </pivotArea>
    </format>
    <format dxfId="226">
      <pivotArea dataOnly="0" labelOnly="1" grandCol="1" outline="0" fieldPosition="0"/>
    </format>
    <format dxfId="225">
      <pivotArea field="3" type="button" dataOnly="0" labelOnly="1" outline="0" axis="axisCol" fieldPosition="0"/>
    </format>
    <format dxfId="224">
      <pivotArea type="topRight" dataOnly="0" labelOnly="1" outline="0" fieldPosition="0"/>
    </format>
    <format dxfId="223">
      <pivotArea field="3" type="button" dataOnly="0" labelOnly="1" outline="0" axis="axisCol" fieldPosition="0"/>
    </format>
    <format dxfId="222">
      <pivotArea field="1" type="button" dataOnly="0" labelOnly="1" outline="0" axis="axisRow" fieldPosition="0"/>
    </format>
    <format dxfId="221">
      <pivotArea type="origin" dataOnly="0" labelOnly="1" outline="0" fieldPosition="0"/>
    </format>
    <format dxfId="220">
      <pivotArea dataOnly="0" labelOnly="1" fieldPosition="0">
        <references count="1">
          <reference field="3" count="0"/>
        </references>
      </pivotArea>
    </format>
    <format dxfId="219">
      <pivotArea dataOnly="0" labelOnly="1" grandCol="1" outline="0" fieldPosition="0"/>
    </format>
    <format dxfId="218">
      <pivotArea field="3" type="button" dataOnly="0" labelOnly="1" outline="0" axis="axisCol" fieldPosition="0"/>
    </format>
    <format dxfId="217">
      <pivotArea field="-2" type="button" dataOnly="0" labelOnly="1" outline="0" axis="axisValues" fieldPosition="0"/>
    </format>
    <format dxfId="216">
      <pivotArea field="3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15">
      <pivotArea outline="0" fieldPosition="0">
        <references count="1">
          <reference field="4294967294" count="1">
            <x v="0"/>
          </reference>
        </references>
      </pivotArea>
    </format>
    <format dxfId="214">
      <pivotArea outline="0" collapsedLevelsAreSubtotals="1" fieldPosition="0"/>
    </format>
    <format dxfId="213">
      <pivotArea outline="0" collapsedLevelsAreSubtotals="1" fieldPosition="0"/>
    </format>
    <format dxfId="212">
      <pivotArea outline="0" collapsedLevelsAreSubtotals="1" fieldPosition="0"/>
    </format>
    <format dxfId="211">
      <pivotArea dataOnly="0" labelOnly="1" fieldPosition="0">
        <references count="1">
          <reference field="1" count="0"/>
        </references>
      </pivotArea>
    </format>
    <format dxfId="210">
      <pivotArea dataOnly="0" labelOnly="1" grandRow="1" outline="0" fieldPosition="0"/>
    </format>
    <format dxfId="209">
      <pivotArea outline="0" collapsedLevelsAreSubtotals="1" fieldPosition="0"/>
    </format>
    <format dxfId="208">
      <pivotArea grandRow="1" outline="0" collapsedLevelsAreSubtotals="1" fieldPosition="0"/>
    </format>
    <format dxfId="207">
      <pivotArea dataOnly="0" labelOnly="1" grandRow="1" outline="0" fieldPosition="0"/>
    </format>
    <format dxfId="206">
      <pivotArea type="all" dataOnly="0" outline="0" fieldPosition="0"/>
    </format>
    <format dxfId="205">
      <pivotArea outline="0" collapsedLevelsAreSubtotals="1" fieldPosition="0"/>
    </format>
    <format dxfId="204">
      <pivotArea type="origin" dataOnly="0" labelOnly="1" outline="0" fieldPosition="0"/>
    </format>
    <format dxfId="203">
      <pivotArea field="3" type="button" dataOnly="0" labelOnly="1" outline="0" axis="axisCol" fieldPosition="0"/>
    </format>
    <format dxfId="202">
      <pivotArea type="topRight" dataOnly="0" labelOnly="1" outline="0" fieldPosition="0"/>
    </format>
    <format dxfId="201">
      <pivotArea field="1" type="button" dataOnly="0" labelOnly="1" outline="0" axis="axisRow" fieldPosition="0"/>
    </format>
    <format dxfId="200">
      <pivotArea dataOnly="0" labelOnly="1" grandRow="1" outline="0" fieldPosition="0"/>
    </format>
    <format dxfId="199">
      <pivotArea dataOnly="0" labelOnly="1" fieldPosition="0">
        <references count="1">
          <reference field="3" count="0"/>
        </references>
      </pivotArea>
    </format>
    <format dxfId="198">
      <pivotArea dataOnly="0" labelOnly="1" grandCol="1" outline="0" fieldPosition="0"/>
    </format>
    <format dxfId="197">
      <pivotArea dataOnly="0" grandRow="1" axis="axisRow" fieldPosition="0"/>
    </format>
    <format dxfId="196">
      <pivotArea type="all" dataOnly="0" outline="0" fieldPosition="0"/>
    </format>
    <format dxfId="195">
      <pivotArea outline="0" collapsedLevelsAreSubtotals="1" fieldPosition="0"/>
    </format>
    <format dxfId="194">
      <pivotArea type="origin" dataOnly="0" labelOnly="1" outline="0" fieldPosition="0"/>
    </format>
    <format dxfId="193">
      <pivotArea field="3" type="button" dataOnly="0" labelOnly="1" outline="0" axis="axisCol" fieldPosition="0"/>
    </format>
    <format dxfId="192">
      <pivotArea type="topRight" dataOnly="0" labelOnly="1" outline="0" fieldPosition="0"/>
    </format>
    <format dxfId="191">
      <pivotArea field="1" type="button" dataOnly="0" labelOnly="1" outline="0" axis="axisRow" fieldPosition="0"/>
    </format>
    <format dxfId="190">
      <pivotArea dataOnly="0" labelOnly="1" fieldPosition="0">
        <references count="1">
          <reference field="1" count="0"/>
        </references>
      </pivotArea>
    </format>
    <format dxfId="189">
      <pivotArea dataOnly="0" labelOnly="1" grandRow="1" outline="0" fieldPosition="0"/>
    </format>
    <format dxfId="188">
      <pivotArea dataOnly="0" labelOnly="1" fieldPosition="0">
        <references count="1">
          <reference field="3" count="0"/>
        </references>
      </pivotArea>
    </format>
    <format dxfId="187">
      <pivotArea dataOnly="0" labelOnly="1" grandCol="1" outline="0" fieldPosition="0"/>
    </format>
  </formats>
  <pivotTableStyleInfo name="PivotStyleLight8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D09A7D-2074-43F6-B165-ADA24E298615}" name="Tiempo por actividad" cacheId="2" applyNumberFormats="0" applyBorderFormats="0" applyFontFormats="0" applyPatternFormats="0" applyAlignmentFormats="0" applyWidthHeightFormats="1" dataCaption="Valores" grandTotalCaption="Total" updatedVersion="8" minRefreshableVersion="3" useAutoFormatting="1" itemPrintTitles="1" createdVersion="8" indent="0" outline="1" outlineData="1" multipleFieldFilters="0" rowHeaderCaption="Semana" colHeaderCaption="Actividad">
  <location ref="B3:I7" firstHeaderRow="1" firstDataRow="2" firstDataCol="1"/>
  <pivotFields count="8">
    <pivotField axis="axisRow" numFmtId="14" showAll="0">
      <items count="2">
        <item x="0"/>
        <item t="default"/>
      </items>
    </pivotField>
    <pivotField axis="axisRow" showAll="0" sortType="ascending">
      <items count="2">
        <item x="0"/>
        <item t="default"/>
      </items>
    </pivotField>
    <pivotField showAll="0"/>
    <pivotField showAll="0"/>
    <pivotField axis="axisCol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dataField="1" dragToRow="0" dragToCol="0" dragToPage="0" showAll="0" defaultSubtotal="0"/>
  </pivotFields>
  <rowFields count="2">
    <field x="1"/>
    <field x="0"/>
  </rowFields>
  <rowItems count="3">
    <i>
      <x/>
    </i>
    <i r="1">
      <x/>
    </i>
    <i t="grand">
      <x/>
    </i>
  </rowItems>
  <colFields count="1">
    <field x="4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Tiempo" fld="7" baseField="1" baseItem="0" numFmtId="2"/>
  </dataFields>
  <formats count="51">
    <format dxfId="89">
      <pivotArea dataOnly="0" labelOnly="1" fieldPosition="0">
        <references count="1">
          <reference field="4" count="0"/>
        </references>
      </pivotArea>
    </format>
    <format dxfId="88">
      <pivotArea dataOnly="0" labelOnly="1" grandCol="1" outline="0" fieldPosition="0"/>
    </format>
    <format dxfId="87">
      <pivotArea dataOnly="0" labelOnly="1" fieldPosition="0">
        <references count="1">
          <reference field="4" count="0"/>
        </references>
      </pivotArea>
    </format>
    <format dxfId="86">
      <pivotArea dataOnly="0" labelOnly="1" grandCol="1" outline="0" fieldPosition="0"/>
    </format>
    <format dxfId="85">
      <pivotArea dataOnly="0" labelOnly="1" fieldPosition="0">
        <references count="1">
          <reference field="4" count="0"/>
        </references>
      </pivotArea>
    </format>
    <format dxfId="84">
      <pivotArea dataOnly="0" labelOnly="1" grandCol="1" outline="0" fieldPosition="0"/>
    </format>
    <format dxfId="83">
      <pivotArea field="1" type="button" dataOnly="0" labelOnly="1" outline="0" axis="axisRow" fieldPosition="0"/>
    </format>
    <format dxfId="82">
      <pivotArea field="1" type="button" dataOnly="0" labelOnly="1" outline="0" axis="axisRow" fieldPosition="0"/>
    </format>
    <format dxfId="81">
      <pivotArea field="1" type="button" dataOnly="0" labelOnly="1" outline="0" axis="axisRow" fieldPosition="0"/>
    </format>
    <format dxfId="80">
      <pivotArea field="4" type="button" dataOnly="0" labelOnly="1" outline="0" axis="axisCol" fieldPosition="0"/>
    </format>
    <format dxfId="79">
      <pivotArea type="topRight" dataOnly="0" labelOnly="1" outline="0" fieldPosition="0"/>
    </format>
    <format dxfId="78">
      <pivotArea dataOnly="0" labelOnly="1" fieldPosition="0">
        <references count="1">
          <reference field="4" count="0"/>
        </references>
      </pivotArea>
    </format>
    <format dxfId="77">
      <pivotArea dataOnly="0" labelOnly="1" grandCol="1" outline="0" fieldPosition="0"/>
    </format>
    <format dxfId="76">
      <pivotArea field="1" type="button" dataOnly="0" labelOnly="1" outline="0" axis="axisRow" fieldPosition="0"/>
    </format>
    <format dxfId="75">
      <pivotArea field="4" type="button" dataOnly="0" labelOnly="1" outline="0" axis="axisCol" fieldPosition="0"/>
    </format>
    <format dxfId="74">
      <pivotArea field="1" type="button" dataOnly="0" labelOnly="1" outline="0" axis="axisRow" fieldPosition="0"/>
    </format>
    <format dxfId="73">
      <pivotArea field="4" type="button" dataOnly="0" labelOnly="1" outline="0" axis="axisCol" fieldPosition="0"/>
    </format>
    <format dxfId="72">
      <pivotArea grandRow="1" outline="0" collapsedLevelsAreSubtotals="1" fieldPosition="0"/>
    </format>
    <format dxfId="71">
      <pivotArea dataOnly="0" labelOnly="1" fieldPosition="0">
        <references count="1">
          <reference field="4" count="0"/>
        </references>
      </pivotArea>
    </format>
    <format dxfId="70">
      <pivotArea dataOnly="0" labelOnly="1" grandCol="1" outline="0" fieldPosition="0"/>
    </format>
    <format dxfId="69">
      <pivotArea field="-2" type="button" dataOnly="0" labelOnly="1" outline="0" axis="axisValues" fieldPosition="0"/>
    </format>
    <format dxfId="68">
      <pivotArea field="4" type="button" dataOnly="0" labelOnly="1" outline="0" axis="axisCol" fieldPosition="0"/>
    </format>
    <format dxfId="67">
      <pivotArea outline="0" fieldPosition="0">
        <references count="1">
          <reference field="4294967294" count="1">
            <x v="0"/>
          </reference>
        </references>
      </pivotArea>
    </format>
    <format dxfId="66">
      <pivotArea outline="0" collapsedLevelsAreSubtotals="1" fieldPosition="0"/>
    </format>
    <format dxfId="65">
      <pivotArea dataOnly="0" labelOnly="1" fieldPosition="0">
        <references count="1">
          <reference field="1" count="0"/>
        </references>
      </pivotArea>
    </format>
    <format dxfId="64">
      <pivotArea dataOnly="0" labelOnly="1" grandRow="1" outline="0" fieldPosition="0"/>
    </format>
    <format dxfId="63">
      <pivotArea outline="0" collapsedLevelsAreSubtotals="1" fieldPosition="0"/>
    </format>
    <format dxfId="62">
      <pivotArea type="origin" dataOnly="0" labelOnly="1" outline="0" fieldPosition="0"/>
    </format>
    <format dxfId="61">
      <pivotArea type="origin" dataOnly="0" labelOnly="1" outline="0" fieldPosition="0"/>
    </format>
    <format dxfId="60">
      <pivotArea field="4" type="button" dataOnly="0" labelOnly="1" outline="0" axis="axisCol" fieldPosition="0"/>
    </format>
    <format dxfId="59">
      <pivotArea type="topRight" dataOnly="0" labelOnly="1" outline="0" fieldPosition="0"/>
    </format>
    <format dxfId="58">
      <pivotArea field="1" type="button" dataOnly="0" labelOnly="1" outline="0" axis="axisRow" fieldPosition="0"/>
    </format>
    <format dxfId="57">
      <pivotArea dataOnly="0" labelOnly="1" fieldPosition="0">
        <references count="1">
          <reference field="4" count="0"/>
        </references>
      </pivotArea>
    </format>
    <format dxfId="56">
      <pivotArea dataOnly="0" labelOnly="1" grandCol="1" outline="0" fieldPosition="0"/>
    </format>
    <format dxfId="55">
      <pivotArea type="origin" dataOnly="0" labelOnly="1" outline="0" fieldPosition="0"/>
    </format>
    <format dxfId="54">
      <pivotArea field="4" type="button" dataOnly="0" labelOnly="1" outline="0" axis="axisCol" fieldPosition="0"/>
    </format>
    <format dxfId="53">
      <pivotArea type="topRight" dataOnly="0" labelOnly="1" outline="0" fieldPosition="0"/>
    </format>
    <format dxfId="52">
      <pivotArea field="1" type="button" dataOnly="0" labelOnly="1" outline="0" axis="axisRow" fieldPosition="0"/>
    </format>
    <format dxfId="51">
      <pivotArea dataOnly="0" labelOnly="1" fieldPosition="0">
        <references count="1">
          <reference field="1" count="0"/>
        </references>
      </pivotArea>
    </format>
    <format dxfId="50">
      <pivotArea dataOnly="0" labelOnly="1" fieldPosition="0">
        <references count="1">
          <reference field="4" count="0"/>
        </references>
      </pivotArea>
    </format>
    <format dxfId="49">
      <pivotArea dataOnly="0" labelOnly="1" grandCol="1" outline="0" fieldPosition="0"/>
    </format>
    <format dxfId="48">
      <pivotArea type="all" dataOnly="0" outline="0" fieldPosition="0"/>
    </format>
    <format dxfId="47">
      <pivotArea outline="0" collapsedLevelsAreSubtotals="1" fieldPosition="0"/>
    </format>
    <format dxfId="46">
      <pivotArea type="origin" dataOnly="0" labelOnly="1" outline="0" fieldPosition="0"/>
    </format>
    <format dxfId="45">
      <pivotArea field="4" type="button" dataOnly="0" labelOnly="1" outline="0" axis="axisCol" fieldPosition="0"/>
    </format>
    <format dxfId="44">
      <pivotArea type="topRight" dataOnly="0" labelOnly="1" outline="0" fieldPosition="0"/>
    </format>
    <format dxfId="43">
      <pivotArea field="1" type="button" dataOnly="0" labelOnly="1" outline="0" axis="axisRow" fieldPosition="0"/>
    </format>
    <format dxfId="42">
      <pivotArea dataOnly="0" labelOnly="1" fieldPosition="0">
        <references count="1">
          <reference field="1" count="0"/>
        </references>
      </pivotArea>
    </format>
    <format dxfId="41">
      <pivotArea dataOnly="0" labelOnly="1" grandRow="1" outline="0" fieldPosition="0"/>
    </format>
    <format dxfId="40">
      <pivotArea dataOnly="0" labelOnly="1" fieldPosition="0">
        <references count="1">
          <reference field="4" count="0"/>
        </references>
      </pivotArea>
    </format>
    <format dxfId="39">
      <pivotArea dataOnly="0" labelOnly="1" grandCol="1" outline="0" fieldPosition="0"/>
    </format>
  </formats>
  <pivotTableStyleInfo name="PivotStyleLight8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013D0E-ACDC-4D77-9133-0AA7D5345FED}" name="Tareas por objetivo" cacheId="2" applyNumberFormats="0" applyBorderFormats="0" applyFontFormats="0" applyPatternFormats="0" applyAlignmentFormats="0" applyWidthHeightFormats="1" dataCaption="Valores" grandTotalCaption="Total" updatedVersion="8" minRefreshableVersion="3" useAutoFormatting="1" itemPrintTitles="1" createdVersion="8" indent="0" outline="1" outlineData="1" multipleFieldFilters="0" rowHeaderCaption="Semana" colHeaderCaption="Actividad">
  <location ref="B58:I62" firstHeaderRow="1" firstDataRow="2" firstDataCol="1"/>
  <pivotFields count="8">
    <pivotField axis="axisRow" numFmtId="14" showAll="0">
      <items count="2">
        <item x="0"/>
        <item t="default"/>
      </items>
    </pivotField>
    <pivotField axis="axisRow" showAll="0" sortType="ascending">
      <items count="2">
        <item x="0"/>
        <item t="default"/>
      </items>
    </pivotField>
    <pivotField showAll="0"/>
    <pivotField showAll="0"/>
    <pivotField axis="axisCol" dataField="1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dragToRow="0" dragToCol="0" dragToPage="0" showAll="0" defaultSubtotal="0"/>
  </pivotFields>
  <rowFields count="2">
    <field x="1"/>
    <field x="0"/>
  </rowFields>
  <rowItems count="3">
    <i>
      <x/>
    </i>
    <i r="1">
      <x/>
    </i>
    <i t="grand">
      <x/>
    </i>
  </rowItems>
  <colFields count="1">
    <field x="4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Tareas" fld="4" subtotal="count" baseField="1" baseItem="0" numFmtId="1"/>
  </dataFields>
  <formats count="42">
    <format dxfId="131">
      <pivotArea dataOnly="0" labelOnly="1" fieldPosition="0">
        <references count="1">
          <reference field="4" count="0"/>
        </references>
      </pivotArea>
    </format>
    <format dxfId="130">
      <pivotArea dataOnly="0" labelOnly="1" grandCol="1" outline="0" fieldPosition="0"/>
    </format>
    <format dxfId="129">
      <pivotArea dataOnly="0" labelOnly="1" fieldPosition="0">
        <references count="1">
          <reference field="4" count="0"/>
        </references>
      </pivotArea>
    </format>
    <format dxfId="128">
      <pivotArea dataOnly="0" labelOnly="1" grandCol="1" outline="0" fieldPosition="0"/>
    </format>
    <format dxfId="127">
      <pivotArea dataOnly="0" labelOnly="1" fieldPosition="0">
        <references count="1">
          <reference field="4" count="0"/>
        </references>
      </pivotArea>
    </format>
    <format dxfId="126">
      <pivotArea dataOnly="0" labelOnly="1" grandCol="1" outline="0" fieldPosition="0"/>
    </format>
    <format dxfId="125">
      <pivotArea field="1" type="button" dataOnly="0" labelOnly="1" outline="0" axis="axisRow" fieldPosition="0"/>
    </format>
    <format dxfId="124">
      <pivotArea field="1" type="button" dataOnly="0" labelOnly="1" outline="0" axis="axisRow" fieldPosition="0"/>
    </format>
    <format dxfId="123">
      <pivotArea type="origin" dataOnly="0" labelOnly="1" outline="0" fieldPosition="0"/>
    </format>
    <format dxfId="122">
      <pivotArea field="1" type="button" dataOnly="0" labelOnly="1" outline="0" axis="axisRow" fieldPosition="0"/>
    </format>
    <format dxfId="121">
      <pivotArea field="4" type="button" dataOnly="0" labelOnly="1" outline="0" axis="axisCol" fieldPosition="0"/>
    </format>
    <format dxfId="120">
      <pivotArea type="topRight" dataOnly="0" labelOnly="1" outline="0" fieldPosition="0"/>
    </format>
    <format dxfId="119">
      <pivotArea dataOnly="0" labelOnly="1" fieldPosition="0">
        <references count="1">
          <reference field="4" count="0"/>
        </references>
      </pivotArea>
    </format>
    <format dxfId="118">
      <pivotArea dataOnly="0" labelOnly="1" grandCol="1" outline="0" fieldPosition="0"/>
    </format>
    <format dxfId="117">
      <pivotArea type="origin" dataOnly="0" labelOnly="1" outline="0" fieldPosition="0"/>
    </format>
    <format dxfId="116">
      <pivotArea type="origin" dataOnly="0" labelOnly="1" outline="0" fieldPosition="0"/>
    </format>
    <format dxfId="115">
      <pivotArea field="1" type="button" dataOnly="0" labelOnly="1" outline="0" axis="axisRow" fieldPosition="0"/>
    </format>
    <format dxfId="114">
      <pivotArea field="4" type="button" dataOnly="0" labelOnly="1" outline="0" axis="axisCol" fieldPosition="0"/>
    </format>
    <format dxfId="113">
      <pivotArea field="1" type="button" dataOnly="0" labelOnly="1" outline="0" axis="axisRow" fieldPosition="0"/>
    </format>
    <format dxfId="112">
      <pivotArea field="4" type="button" dataOnly="0" labelOnly="1" outline="0" axis="axisCol" fieldPosition="0"/>
    </format>
    <format dxfId="111">
      <pivotArea grandRow="1" outline="0" collapsedLevelsAreSubtotals="1" fieldPosition="0"/>
    </format>
    <format dxfId="110">
      <pivotArea dataOnly="0" labelOnly="1" fieldPosition="0">
        <references count="1">
          <reference field="4" count="0"/>
        </references>
      </pivotArea>
    </format>
    <format dxfId="109">
      <pivotArea dataOnly="0" labelOnly="1" grandCol="1" outline="0" fieldPosition="0"/>
    </format>
    <format dxfId="108">
      <pivotArea field="-2" type="button" dataOnly="0" labelOnly="1" outline="0" axis="axisValues" fieldPosition="0"/>
    </format>
    <format dxfId="107">
      <pivotArea field="4" type="button" dataOnly="0" labelOnly="1" outline="0" axis="axisCol" fieldPosition="0"/>
    </format>
    <format dxfId="106">
      <pivotArea outline="0" fieldPosition="0">
        <references count="1">
          <reference field="4294967294" count="1">
            <x v="0"/>
          </reference>
        </references>
      </pivotArea>
    </format>
    <format dxfId="105">
      <pivotArea outline="0" collapsedLevelsAreSubtotals="1" fieldPosition="0"/>
    </format>
    <format dxfId="104">
      <pivotArea outline="0" collapsedLevelsAreSubtotals="1" fieldPosition="0"/>
    </format>
    <format dxfId="103">
      <pivotArea type="origin" dataOnly="0" labelOnly="1" outline="0" fieldPosition="0"/>
    </format>
    <format dxfId="102">
      <pivotArea field="1" type="button" dataOnly="0" labelOnly="1" outline="0" axis="axisRow" fieldPosition="0"/>
    </format>
    <format dxfId="101">
      <pivotArea dataOnly="0" labelOnly="1" fieldPosition="0">
        <references count="1">
          <reference field="1" count="0"/>
        </references>
      </pivotArea>
    </format>
    <format dxfId="100">
      <pivotArea dataOnly="0" labelOnly="1" grandRow="1" outline="0" fieldPosition="0"/>
    </format>
    <format dxfId="99">
      <pivotArea type="all" dataOnly="0" outline="0" fieldPosition="0"/>
    </format>
    <format dxfId="98">
      <pivotArea outline="0" collapsedLevelsAreSubtotals="1" fieldPosition="0"/>
    </format>
    <format dxfId="97">
      <pivotArea type="origin" dataOnly="0" labelOnly="1" outline="0" fieldPosition="0"/>
    </format>
    <format dxfId="96">
      <pivotArea field="4" type="button" dataOnly="0" labelOnly="1" outline="0" axis="axisCol" fieldPosition="0"/>
    </format>
    <format dxfId="95">
      <pivotArea type="topRight" dataOnly="0" labelOnly="1" outline="0" fieldPosition="0"/>
    </format>
    <format dxfId="94">
      <pivotArea field="1" type="button" dataOnly="0" labelOnly="1" outline="0" axis="axisRow" fieldPosition="0"/>
    </format>
    <format dxfId="93">
      <pivotArea dataOnly="0" labelOnly="1" fieldPosition="0">
        <references count="1">
          <reference field="1" count="0"/>
        </references>
      </pivotArea>
    </format>
    <format dxfId="92">
      <pivotArea dataOnly="0" labelOnly="1" grandRow="1" outline="0" fieldPosition="0"/>
    </format>
    <format dxfId="91">
      <pivotArea dataOnly="0" labelOnly="1" fieldPosition="0">
        <references count="1">
          <reference field="4" count="0"/>
        </references>
      </pivotArea>
    </format>
    <format dxfId="90">
      <pivotArea dataOnly="0" labelOnly="1" grandCol="1" outline="0" fieldPosition="0"/>
    </format>
  </formats>
  <pivotTableStyleInfo name="PivotStyleLight8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5E1F4C-43F8-4549-8799-0CA5D0F701B3}" name="TablaDinámica5" cacheId="3" applyNumberFormats="0" applyBorderFormats="0" applyFontFormats="0" applyPatternFormats="0" applyAlignmentFormats="0" applyWidthHeightFormats="1" dataCaption="Valores" showMissing="0" updatedVersion="8" minRefreshableVersion="3" useAutoFormatting="1" itemPrintTitles="1" createdVersion="8" indent="0" outline="1" outlineData="1" multipleFieldFilters="0" chartFormat="2" rowHeaderCaption="Semana">
  <location ref="C4:D6" firstHeaderRow="1" firstDataRow="1" firstDataCol="1" rowPageCount="1" colPageCount="1"/>
  <pivotFields count="23">
    <pivotField showAll="0"/>
    <pivotField showAll="0"/>
    <pivotField showAll="0"/>
    <pivotField showAll="0"/>
    <pivotField showAll="0"/>
    <pivotField showAll="0"/>
    <pivotField dataField="1" showAll="0"/>
    <pivotField numFmtId="14" showAll="0"/>
    <pivotField showAll="0">
      <items count="52">
        <item m="1" x="42"/>
        <item m="1" x="38"/>
        <item m="1" x="44"/>
        <item m="1" x="45"/>
        <item m="1" x="46"/>
        <item m="1" x="50"/>
        <item m="1" x="48"/>
        <item m="1" x="49"/>
        <item m="1" x="47"/>
        <item x="12"/>
        <item m="1" x="43"/>
        <item m="1" x="40"/>
        <item m="1" x="41"/>
        <item m="1" x="37"/>
        <item m="1" x="39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25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m="1" x="14"/>
        <item x="13"/>
        <item t="default"/>
      </items>
    </pivotField>
    <pivotField numFmtId="1" showAll="0"/>
    <pivotField showAll="0"/>
    <pivotField axis="axisPage" showAll="0">
      <items count="6">
        <item m="1" x="2"/>
        <item m="1" x="3"/>
        <item x="0"/>
        <item m="1" x="4"/>
        <item m="1" x="1"/>
        <item t="default"/>
      </items>
    </pivotField>
    <pivotField showAll="0"/>
    <pivotField showAll="0">
      <items count="33">
        <item m="1" x="23"/>
        <item m="1" x="24"/>
        <item m="1" x="25"/>
        <item m="1" x="26"/>
        <item m="1" x="27"/>
        <item m="1" x="28"/>
        <item m="1" x="29"/>
        <item m="1" x="30"/>
        <item m="1" x="31"/>
        <item x="10"/>
        <item m="1" x="11"/>
        <item m="1" x="12"/>
        <item m="1" x="14"/>
        <item m="1" x="15"/>
        <item m="1" x="16"/>
        <item m="1" x="22"/>
        <item m="1" x="17"/>
        <item m="1" x="18"/>
        <item m="1" x="19"/>
        <item m="1" x="20"/>
        <item m="1" x="21"/>
        <item m="1" x="13"/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umFmtId="1" showAll="0"/>
    <pivotField showAll="0"/>
    <pivotField axis="axisRow" showAll="0">
      <items count="12">
        <item x="0"/>
        <item m="1" x="10"/>
        <item m="1" x="6"/>
        <item m="1" x="7"/>
        <item m="1" x="9"/>
        <item m="1" x="8"/>
        <item m="1" x="4"/>
        <item m="1" x="5"/>
        <item m="1" x="3"/>
        <item m="1" x="2"/>
        <item m="1" x="1"/>
        <item t="default"/>
      </items>
    </pivotField>
    <pivotField axis="axisRow" numFmtId="1" showAll="0">
      <items count="6">
        <item sd="0" x="0"/>
        <item sd="0" m="1" x="1"/>
        <item sd="0" m="1" x="2"/>
        <item sd="0" m="1" x="4"/>
        <item sd="0" m="1" x="3"/>
        <item t="default"/>
      </items>
    </pivotField>
    <pivotField numFmtId="2"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17"/>
    <field x="16"/>
  </rowFields>
  <rowItems count="2">
    <i>
      <x/>
    </i>
    <i t="grand">
      <x/>
    </i>
  </rowItems>
  <colItems count="1">
    <i/>
  </colItems>
  <pageFields count="1">
    <pageField fld="11" item="2" hier="-1"/>
  </pageFields>
  <dataFields count="1">
    <dataField name="LPs reales" fld="6" showDataAs="runTotal" baseField="17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94622E-0E80-404E-961A-DBD9E32C81DA}" name="TablaDiná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 rowHeaderCaption="Semana">
  <location ref="I2:J3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dataField="1" showAll="0"/>
    <pivotField numFmtId="14" showAll="0"/>
    <pivotField showAll="0">
      <items count="52">
        <item m="1" x="42"/>
        <item m="1" x="38"/>
        <item m="1" x="44"/>
        <item m="1" x="45"/>
        <item m="1" x="46"/>
        <item m="1" x="50"/>
        <item m="1" x="48"/>
        <item m="1" x="49"/>
        <item m="1" x="47"/>
        <item x="12"/>
        <item m="1" x="43"/>
        <item m="1" x="40"/>
        <item m="1" x="41"/>
        <item m="1" x="37"/>
        <item m="1" x="39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25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m="1" x="14"/>
        <item x="13"/>
        <item t="default"/>
      </items>
    </pivotField>
    <pivotField numFmtId="1" multipleItemSelectionAllowed="1" showAll="0"/>
    <pivotField showAll="0"/>
    <pivotField showAll="0"/>
    <pivotField showAll="0"/>
    <pivotField axis="axisRow" showAll="0">
      <items count="33">
        <item m="1" x="23"/>
        <item m="1" x="24"/>
        <item m="1" x="25"/>
        <item m="1" x="26"/>
        <item m="1" x="27"/>
        <item m="1" x="28"/>
        <item m="1" x="29"/>
        <item m="1" x="30"/>
        <item m="1" x="31"/>
        <item x="10"/>
        <item m="1" x="11"/>
        <item m="1" x="12"/>
        <item m="1" x="14"/>
        <item m="1" x="15"/>
        <item m="1" x="16"/>
        <item m="1" x="22"/>
        <item m="1" x="17"/>
        <item m="1" x="18"/>
        <item m="1" x="19"/>
        <item m="1" x="20"/>
        <item m="1" x="21"/>
        <item m="1" x="13"/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numFmtId="1" showAll="0">
      <items count="12">
        <item h="1" sd="0" x="5"/>
        <item sd="0" m="1" x="6"/>
        <item sd="0" m="1" x="7"/>
        <item sd="0" m="1" x="8"/>
        <item sd="0" m="1" x="9"/>
        <item sd="0" m="1" x="10"/>
        <item h="1" x="0"/>
        <item h="1" x="1"/>
        <item h="1" x="2"/>
        <item h="1" x="3"/>
        <item h="1" x="4"/>
        <item t="default"/>
      </items>
    </pivotField>
    <pivotField showAll="0"/>
    <pivotField showAll="0"/>
    <pivotField numFmtId="1" showAll="0"/>
    <pivotField numFmtId="2" showAl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  <item x="0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14"/>
    <field x="13"/>
  </rowFields>
  <rowItems count="1">
    <i t="grand">
      <x/>
    </i>
  </rowItems>
  <colItems count="1">
    <i/>
  </colItems>
  <dataFields count="1">
    <dataField name="LPs ideales" fld="6" showDataAs="runTotal" baseField="14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35A681-DBA1-4574-9D54-6994B3224067}" name="TablaDinámica6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 rowHeaderCaption="Semana">
  <location ref="F2:G8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dataField="1" showAll="0"/>
    <pivotField numFmtId="14" showAll="0"/>
    <pivotField axis="axisRow" showAll="0">
      <items count="52">
        <item m="1" x="42"/>
        <item m="1" x="38"/>
        <item m="1" x="44"/>
        <item m="1" x="45"/>
        <item m="1" x="46"/>
        <item m="1" x="50"/>
        <item m="1" x="48"/>
        <item m="1" x="49"/>
        <item m="1" x="47"/>
        <item x="12"/>
        <item m="1" x="43"/>
        <item m="1" x="40"/>
        <item m="1" x="41"/>
        <item m="1" x="37"/>
        <item m="1" x="39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25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m="1" x="14"/>
        <item x="13"/>
        <item t="default"/>
      </items>
    </pivotField>
    <pivotField axis="axisRow" numFmtId="1" multipleItemSelectionAllowed="1" showAll="0">
      <items count="7">
        <item h="1" x="4"/>
        <item sd="0" x="5"/>
        <item sd="0" x="0"/>
        <item sd="0" x="1"/>
        <item sd="0" x="2"/>
        <item sd="0" x="3"/>
        <item t="default"/>
      </items>
    </pivotField>
    <pivotField showAll="0"/>
    <pivotField showAll="0"/>
    <pivotField showAll="0"/>
    <pivotField showAll="0">
      <items count="33">
        <item m="1" x="23"/>
        <item m="1" x="24"/>
        <item m="1" x="25"/>
        <item m="1" x="26"/>
        <item m="1" x="27"/>
        <item m="1" x="28"/>
        <item m="1" x="29"/>
        <item m="1" x="30"/>
        <item m="1" x="31"/>
        <item x="10"/>
        <item m="1" x="11"/>
        <item m="1" x="12"/>
        <item m="1" x="14"/>
        <item m="1" x="15"/>
        <item m="1" x="16"/>
        <item m="1" x="22"/>
        <item m="1" x="17"/>
        <item m="1" x="18"/>
        <item m="1" x="19"/>
        <item m="1" x="20"/>
        <item m="1" x="21"/>
        <item m="1" x="13"/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umFmtId="1" showAll="0"/>
    <pivotField showAll="0"/>
    <pivotField showAll="0"/>
    <pivotField numFmtId="1" showAll="0"/>
    <pivotField numFmtId="2" showAl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  <item x="0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9"/>
    <field x="8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LPs planificados" fld="6" showDataAs="runTotal" baseField="9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C1986B33-CAC5-4056-91CF-A6F75934B94A}" autoFormatId="16" applyNumberFormats="0" applyBorderFormats="0" applyFontFormats="0" applyPatternFormats="0" applyAlignmentFormats="0" applyWidthHeightFormats="0">
  <queryTableRefresh nextId="16">
    <queryTableFields count="9">
      <queryTableField id="7" name="Responsable" tableColumnId="7"/>
      <queryTableField id="1" name="Fecha" tableColumnId="1"/>
      <queryTableField id="12" name="Semana" tableColumnId="11"/>
      <queryTableField id="14" name="Actividad" tableColumnId="12"/>
      <queryTableField id="3" name="Tipo" tableColumnId="3"/>
      <queryTableField id="4" name="Subtipo" tableColumnId="4"/>
      <queryTableField id="8" name="Tarea realizada" tableColumnId="8"/>
      <queryTableField id="9" name="Tiempo (minutos)" tableColumnId="9"/>
      <queryTableField id="10" name="Consideraciones adicionales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refreshOnLoad="1" connectionId="5" xr16:uid="{2F04D02D-C50B-48CE-B830-A73A94DB5679}" autoFormatId="16" applyNumberFormats="0" applyBorderFormats="0" applyFontFormats="0" applyPatternFormats="0" applyAlignmentFormats="0" applyWidthHeightFormats="0">
  <queryTableRefresh nextId="14">
    <queryTableFields count="7">
      <queryTableField id="1" name="Fecha" tableColumnId="1"/>
      <queryTableField id="9" name="Semana" tableColumnId="9"/>
      <queryTableField id="2" name="Actividad" tableColumnId="2"/>
      <queryTableField id="3" name="Tipo" tableColumnId="3"/>
      <queryTableField id="4" name="Subtipo" tableColumnId="4"/>
      <queryTableField id="12" name="Estudiante" tableColumnId="5"/>
      <queryTableField id="11" name="Minutos" tableColumnId="10"/>
    </queryTableFields>
  </queryTableRefresh>
</queryTable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D0DBCF65-29E5-45B2-AA9C-EB93CCC812EF}" name="Tabla_Plan_Actividad" displayName="Tabla_Plan_Actividad" ref="C3:U53" totalsRowCount="1" headerRowDxfId="550" headerRowBorderDxfId="549" tableBorderDxfId="548">
  <autoFilter ref="C3:U52" xr:uid="{D0DBCF65-29E5-45B2-AA9C-EB93CCC812EF}"/>
  <tableColumns count="19">
    <tableColumn id="1" xr3:uid="{BF2F8D58-DBA4-4150-BAB6-355BCA76C70C}" name="Actividad" totalsRowFunction="custom" dataDxfId="547" totalsRowDxfId="546">
      <totalsRowFormula>COUNTA(Tabla_Plan_Actividad[Actividad])</totalsRowFormula>
    </tableColumn>
    <tableColumn id="2" xr3:uid="{C32A534A-5235-4867-ACB3-9076F64383B9}" name="Paquete de trabajo" dataDxfId="545" totalsRowDxfId="544"/>
    <tableColumn id="3" xr3:uid="{425A294C-EF8E-480B-B9B8-8F11AC295E70}" name="Artefacto" dataDxfId="543" totalsRowDxfId="542"/>
    <tableColumn id="4" xr3:uid="{5E19943A-3F5F-4F96-8F4B-E53187083FD7}" name="Especificación" dataDxfId="541" totalsRowDxfId="540"/>
    <tableColumn id="5" xr3:uid="{7845E43D-639E-4877-A302-060263D93A59}" name="Responsable" dataDxfId="539" totalsRowDxfId="538"/>
    <tableColumn id="19" xr3:uid="{2C8C8122-24C8-470A-B31E-4B38A696CD2A}" name="LPs individuales" dataDxfId="537" totalsRowDxfId="536"/>
    <tableColumn id="6" xr3:uid="{F0EB5EBA-EC91-4361-A530-BB47AE161B36}" name="Learning Points" totalsRowFunction="custom" dataDxfId="535" totalsRowDxfId="534">
      <totalsRowFormula>SUM(Tabla_Plan_Actividad[Learning Points])</totalsRowFormula>
    </tableColumn>
    <tableColumn id="7" xr3:uid="{012F8192-609E-4589-A734-863981175E7F}" name="Fecha de inicio Plan" dataDxfId="533" totalsRowDxfId="532">
      <calculatedColumnFormula>Indice_Plan_FechaFin</calculatedColumnFormula>
    </tableColumn>
    <tableColumn id="8" xr3:uid="{4BFD26C2-BEBE-4C52-BF7F-61F906C39F6E}" name="Fecha de fin Plan" dataDxfId="531" totalsRowDxfId="530"/>
    <tableColumn id="15" xr3:uid="{B79E9B8C-801E-4952-AE7F-863D878D4B54}" name="SemanaP" dataDxfId="529" totalsRowDxfId="528">
      <calculatedColumnFormula>IF(K4&lt;&gt;"",1+INT((Tabla_Plan_Actividad[[#This Row],[Fecha de fin Plan]]-Indice_Plan_FechaInicio)/7),)</calculatedColumnFormula>
    </tableColumn>
    <tableColumn id="9" xr3:uid="{68C33B26-1DF9-4830-9324-49B9AA77682F}" name="Fecha límite" dataDxfId="527" totalsRowDxfId="526"/>
    <tableColumn id="10" xr3:uid="{B5A02FC5-2FFC-4E8B-B6CA-BD3CBC589182}" name="Estado" dataDxfId="525" totalsRowDxfId="524">
      <calculatedColumnFormula>IF(ISNUMBER(MATCH(plan!$C4, Tabla_Registro_Tareas1[Actividad], 0)),Indice_PROBLAM_Aux_Estado_Desarrollo,Indice_PROBLAM_Aux_Estado_SinIniciar)</calculatedColumnFormula>
    </tableColumn>
    <tableColumn id="17" xr3:uid="{B7B29C7F-6C21-4FD5-BC50-545FCD16220E}" name="Fecha de inicio Ideal" dataDxfId="523" totalsRowDxfId="522"/>
    <tableColumn id="18" xr3:uid="{496A719F-80D4-41F3-AC2D-C13DA7A7639E}" name="Fecha de fin Ideal" dataDxfId="521" totalsRowDxfId="520"/>
    <tableColumn id="16" xr3:uid="{2A19EE5D-660B-4FAA-881B-67006858096A}" name="SemanaI" dataDxfId="519" totalsRowDxfId="518">
      <calculatedColumnFormula>IF(P4&lt;&gt;"",1+INT((Tabla_Plan_Actividad[[#This Row],[Fecha de fin Ideal]]-Indice_Plan_FechaInicio)/7),)</calculatedColumnFormula>
    </tableColumn>
    <tableColumn id="11" xr3:uid="{D35118A8-9EDA-44A1-95C8-FB0A02F51AC8}" name="Fecha de inicio Real" dataDxfId="517" totalsRowDxfId="516">
      <calculatedColumnFormula array="1">IF(plan!$N4&lt;&gt;Indice_PROBLAM_Aux_Estado_SinIniciar,INDEX(cronograma!$F$4:$AN$4,1,_xlfn.XMATCH(TRUE,cronograma!$F6:$AN6&lt;&gt;0,0)),Indice_Aux_SinFecha)</calculatedColumnFormula>
    </tableColumn>
    <tableColumn id="12" xr3:uid="{B425A005-6D37-4A96-BD63-881802129963}" name="Fecha de fin Real" dataDxfId="515" totalsRowDxfId="514">
      <calculatedColumnFormula array="1">IF(plan!$N4=Indice_PROBLAM_Aux_Estado_Finalizada,INDEX(cronograma!$F$4:$AL$4,1,_xlfn.XMATCH(TRUE,cronograma!$F6:$AL6&lt;&gt;0,0,-1)),Indice_Aux_SinFecha)</calculatedColumnFormula>
    </tableColumn>
    <tableColumn id="13" xr3:uid="{62FFABB4-7DEB-4635-99D3-0FEDEC1C3B6C}" name="SemanaR" dataDxfId="513" totalsRowDxfId="512">
      <calculatedColumnFormula array="1">IF(S4&lt;&gt;Indice_Aux_SinFecha,1+INT((Tabla_Plan_Actividad[[#This Row],[Fecha de fin Real]]-Indice_Plan_FechaInicio)/7),)</calculatedColumnFormula>
    </tableColumn>
    <tableColumn id="14" xr3:uid="{11BC8304-E2C6-4161-A336-EA4702441DEB}" name="Horas de trabajo" totalsRowFunction="custom" dataDxfId="511" totalsRowDxfId="510">
      <calculatedColumnFormula>SUMIFS(Tabla_Registro_Tareas_Agregada[Minutos],Tabla_Registro_Tareas_Agregada[Actividad],plan!$C4)/60</calculatedColumnFormula>
      <totalsRowFormula>SUM(Tabla_Plan_Actividad[Horas de trabajo])</totalsRow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C31299F-0866-4FF8-BBAA-6FF6FC61D4F8}" name="Tabla_Registro_Tareas1" displayName="Tabla_Registro_Tareas1" ref="B2:I250" totalsRowShown="0" headerRowDxfId="563" dataDxfId="561" headerRowBorderDxfId="562" tableBorderDxfId="560" totalsRowBorderDxfId="559">
  <autoFilter ref="B2:I250" xr:uid="{1C31299F-0866-4FF8-BBAA-6FF6FC61D4F8}">
    <filterColumn colId="6">
      <filters blank="1">
        <filter val="28"/>
      </filters>
    </filterColumn>
  </autoFilter>
  <sortState xmlns:xlrd2="http://schemas.microsoft.com/office/spreadsheetml/2017/richdata2" ref="B3:I250">
    <sortCondition ref="B2:B250"/>
  </sortState>
  <tableColumns count="8">
    <tableColumn id="1" xr3:uid="{B7BF47BD-6502-48A8-8530-BC35C2C6ECA9}" name="Fecha" dataDxfId="558">
      <calculatedColumnFormula>Indice_Plan_FechaInicio</calculatedColumnFormula>
    </tableColumn>
    <tableColumn id="6" xr3:uid="{6A22BFE2-B6D2-4C59-B745-625B5AD16F37}" name="Actividad" dataDxfId="557"/>
    <tableColumn id="3" xr3:uid="{2F966893-49A6-4ED8-8A84-4BD50F3FA30C}" name="Tipo" dataDxfId="556">
      <calculatedColumnFormula>IF(Tabla_Registro_Tareas1[[#This Row],[Actividad]]=Indice_Aux_Vacio,"",IFERROR(INDEX(plan!$D$4:$D$52,MATCH(Tabla_Registro_Tareas1[[#This Row],[Actividad]],plan!$C$4:$C$52,0)),""))</calculatedColumnFormula>
    </tableColumn>
    <tableColumn id="7" xr3:uid="{29432F7B-96FB-4738-8C7A-B6F867DA6DB4}" name="Subtipo" dataDxfId="555">
      <calculatedColumnFormula>IFERROR(INDEX(plan!$E$4:$E$52,MATCH(Tabla_Registro_Tareas1[[#This Row],[Actividad]],plan!$C$4:$C$52,0)),"")</calculatedColumnFormula>
    </tableColumn>
    <tableColumn id="9" xr3:uid="{7F5C1260-4FCD-4244-A6AB-6A0AF328DCC0}" name="Responsable" dataDxfId="554">
      <calculatedColumnFormula>IF(Tabla_Registro_Tareas1[[#This Row],[Actividad]]=Indice_Aux_Vacio,"",Indice_PROBLAM_Estudiante1)</calculatedColumnFormula>
    </tableColumn>
    <tableColumn id="8" xr3:uid="{0281F77F-FC91-4729-B905-F2DB8301B136}" name="Tarea realizada" dataDxfId="553"/>
    <tableColumn id="4" xr3:uid="{40BB8F84-1AAE-49DE-8F11-7FC7337102AE}" name="Tiempo (minutos)" dataDxfId="552"/>
    <tableColumn id="5" xr3:uid="{845CBDA6-5C50-4969-BE51-AE50647B23C4}" name="Consideraciones adicionales" dataDxfId="551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FB63530-BF3B-4402-A7AD-5D221B2F24A3}" name="Tabla_Registro_Tareas2" displayName="Tabla_Registro_Tareas2" ref="B2:I250" totalsRowShown="0" headerRowDxfId="509" dataDxfId="507" headerRowBorderDxfId="508" tableBorderDxfId="506" totalsRowBorderDxfId="505">
  <autoFilter ref="B2:I250" xr:uid="{0FB63530-BF3B-4402-A7AD-5D221B2F24A3}">
    <filterColumn colId="6">
      <filters blank="1"/>
    </filterColumn>
  </autoFilter>
  <sortState xmlns:xlrd2="http://schemas.microsoft.com/office/spreadsheetml/2017/richdata2" ref="B3:I100">
    <sortCondition ref="B2:B100"/>
  </sortState>
  <tableColumns count="8">
    <tableColumn id="1" xr3:uid="{C3AB1192-9BDE-4807-93BC-F44EFB60685E}" name="Fecha" dataDxfId="504"/>
    <tableColumn id="6" xr3:uid="{3744BFF5-DE64-463A-8EF9-097FC8DAAEAB}" name="Actividad" dataDxfId="503"/>
    <tableColumn id="3" xr3:uid="{5250063B-6C53-46DE-BB17-27A3AFD80373}" name="Tipo" dataDxfId="502">
      <calculatedColumnFormula>IF(Tabla_Registro_Tareas2[[#This Row],[Actividad]]=Indice_Aux_Vacio,"",IFERROR(INDEX(plan!$D$4:$D$52,MATCH(Tabla_Registro_Tareas2[[#This Row],[Actividad]],plan!$C$4:$C$52,0)),""))</calculatedColumnFormula>
    </tableColumn>
    <tableColumn id="7" xr3:uid="{D70CDC53-3F5F-467B-BD19-EC3A68F60910}" name="Subtipo" dataDxfId="501">
      <calculatedColumnFormula>IFERROR(INDEX(plan!$E$4:$E$52,MATCH(Tabla_Registro_Tareas2[[#This Row],[Actividad]],plan!$C$4:$C$52,0)),"")</calculatedColumnFormula>
    </tableColumn>
    <tableColumn id="9" xr3:uid="{C0AB242A-2A1A-4E85-8B0A-5D7C88F9D187}" name="Responsable" dataDxfId="500">
      <calculatedColumnFormula>IF(Tabla_Registro_Tareas2[[#This Row],[Actividad]]=Indice_Aux_Vacio,"",Indice_PROBLAM_Estudiante2)</calculatedColumnFormula>
    </tableColumn>
    <tableColumn id="8" xr3:uid="{3B8B0E2C-674E-453F-A509-1EEBAA38670C}" name="Tarea realizada" dataDxfId="499"/>
    <tableColumn id="4" xr3:uid="{5C3713DF-8E71-40EB-B11F-2A1DCFDDCF1F}" name="Tiempo (minutos)" dataDxfId="498"/>
    <tableColumn id="5" xr3:uid="{6958D7E7-6D0B-4BC2-804F-6F01C23A603C}" name="Consideraciones adicionales" dataDxfId="497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DCD6481-0DA4-491E-9A76-B85DC37FD74C}" name="Tabla_Registro_Tareas3" displayName="Tabla_Registro_Tareas3" ref="B2:I250" totalsRowShown="0" headerRowDxfId="496" dataDxfId="494" headerRowBorderDxfId="495" tableBorderDxfId="493" totalsRowBorderDxfId="492">
  <autoFilter ref="B2:I250" xr:uid="{CDCD6481-0DA4-491E-9A76-B85DC37FD74C}">
    <filterColumn colId="6">
      <filters blank="1"/>
    </filterColumn>
  </autoFilter>
  <sortState xmlns:xlrd2="http://schemas.microsoft.com/office/spreadsheetml/2017/richdata2" ref="B3:I100">
    <sortCondition ref="B2:B100"/>
  </sortState>
  <tableColumns count="8">
    <tableColumn id="1" xr3:uid="{E05CCD89-7C2B-41A4-8B7B-C7339151AD79}" name="Fecha" dataDxfId="491"/>
    <tableColumn id="6" xr3:uid="{69137D11-87B9-4F98-93B4-36BE30907931}" name="Actividad" dataDxfId="490"/>
    <tableColumn id="3" xr3:uid="{59DA2BE4-03DC-4951-B394-67C0329C02C3}" name="Tipo" dataDxfId="489">
      <calculatedColumnFormula>IF(Tabla_Registro_Tareas3[[#This Row],[Actividad]]=Indice_Aux_Vacio,"",IFERROR(INDEX(plan!$D$4:$D$52,MATCH(Tabla_Registro_Tareas3[[#This Row],[Actividad]],plan!$C$4:$C$52,0)),""))</calculatedColumnFormula>
    </tableColumn>
    <tableColumn id="7" xr3:uid="{42F35F27-CB4E-4EF3-8CB8-9D1ADB763AB8}" name="Subtipo" dataDxfId="488">
      <calculatedColumnFormula>IFERROR(INDEX(plan!$E$4:$E$52,MATCH(Tabla_Registro_Tareas3[[#This Row],[Actividad]],plan!$C$4:$C$52,0)),"")</calculatedColumnFormula>
    </tableColumn>
    <tableColumn id="9" xr3:uid="{34106619-A56B-4B0F-B0E4-33F748937468}" name="Responsable" dataDxfId="487">
      <calculatedColumnFormula>IF(Tabla_Registro_Tareas3[[#This Row],[Actividad]]=Indice_Aux_Vacio,"",Indice_PROBLAM_Estudiante3)</calculatedColumnFormula>
    </tableColumn>
    <tableColumn id="8" xr3:uid="{46B8BD4F-C7E7-4669-8108-FFE10D1659D9}" name="Tarea realizada" dataDxfId="486"/>
    <tableColumn id="4" xr3:uid="{D2EF9EC7-6B8B-4347-AFBA-A306FD8AF9B9}" name="Tiempo (minutos)" dataDxfId="485"/>
    <tableColumn id="5" xr3:uid="{D97D0583-B648-4B1E-9F20-6B4A0C94ED65}" name="Consideraciones adicionales" dataDxfId="484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3C320CFD-D5FE-4184-9A77-1D9C12832429}" name="Tabla_Registro_Tareas4" displayName="Tabla_Registro_Tareas4" ref="B2:I250" totalsRowShown="0" headerRowDxfId="483" dataDxfId="481" headerRowBorderDxfId="482" tableBorderDxfId="480" totalsRowBorderDxfId="479">
  <autoFilter ref="B2:I250" xr:uid="{3C320CFD-D5FE-4184-9A77-1D9C12832429}">
    <filterColumn colId="6">
      <filters blank="1"/>
    </filterColumn>
  </autoFilter>
  <sortState xmlns:xlrd2="http://schemas.microsoft.com/office/spreadsheetml/2017/richdata2" ref="B3:I250">
    <sortCondition ref="B2:B250"/>
  </sortState>
  <tableColumns count="8">
    <tableColumn id="1" xr3:uid="{B1B2014B-5314-4F63-9E32-EACF0353C43E}" name="Fecha" dataDxfId="478"/>
    <tableColumn id="6" xr3:uid="{41B1A305-B128-46FA-9354-18C1C06E6775}" name="Actividad" dataDxfId="477"/>
    <tableColumn id="3" xr3:uid="{15AC17FE-F289-42FE-BFCA-E2A52256B618}" name="Tipo" dataDxfId="476">
      <calculatedColumnFormula>IF(Tabla_Registro_Tareas4[[#This Row],[Actividad]]=Indice_Aux_Vacio,"",IFERROR(INDEX(plan!$D$4:$D$52,MATCH(Tabla_Registro_Tareas4[[#This Row],[Actividad]],plan!$C$4:$C$52,0)),""))</calculatedColumnFormula>
    </tableColumn>
    <tableColumn id="7" xr3:uid="{C4C1121F-BF16-43AA-BF83-5D75598B6AA6}" name="Subtipo" dataDxfId="475">
      <calculatedColumnFormula>IFERROR(INDEX(plan!$E$4:$E$52,MATCH(Tabla_Registro_Tareas4[[#This Row],[Actividad]],plan!$C$4:$C$52,0)),"")</calculatedColumnFormula>
    </tableColumn>
    <tableColumn id="9" xr3:uid="{E7FEDBBA-00BF-41BD-B4ED-0E6EDDA4200C}" name="Responsable" dataDxfId="474">
      <calculatedColumnFormula>IF(Tabla_Registro_Tareas4[[#This Row],[Actividad]]=Indice_Aux_Vacio,"",Indice_PROBLAM_Estudiante4)</calculatedColumnFormula>
    </tableColumn>
    <tableColumn id="8" xr3:uid="{BBEBC59F-2A6B-4D29-B6B4-2CC5AFA918AA}" name="Tarea realizada" dataDxfId="473"/>
    <tableColumn id="4" xr3:uid="{F73740C7-30DA-4438-BCD9-582DFDA02B38}" name="Tiempo (minutos)" dataDxfId="472"/>
    <tableColumn id="5" xr3:uid="{BB713F88-564C-4385-88BF-CD7784D9272F}" name="Consideraciones adicionales" dataDxfId="471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95A0E2DA-0B6E-41EB-9D48-867750D91161}" name="Tabla_Registro_Tareas5" displayName="Tabla_Registro_Tareas5" ref="B2:I250" totalsRowShown="0" headerRowDxfId="470" dataDxfId="468" headerRowBorderDxfId="469" tableBorderDxfId="467" totalsRowBorderDxfId="466">
  <autoFilter ref="B2:I250" xr:uid="{95A0E2DA-0B6E-41EB-9D48-867750D91161}">
    <filterColumn colId="6">
      <filters blank="1"/>
    </filterColumn>
  </autoFilter>
  <sortState xmlns:xlrd2="http://schemas.microsoft.com/office/spreadsheetml/2017/richdata2" ref="B3:I100">
    <sortCondition ref="B2:B100"/>
  </sortState>
  <tableColumns count="8">
    <tableColumn id="1" xr3:uid="{3CCF2844-8504-4BFC-9726-6E8CA5F0B6E3}" name="Fecha" dataDxfId="465">
      <calculatedColumnFormula>Indice_Plan_FechaInicio+16</calculatedColumnFormula>
    </tableColumn>
    <tableColumn id="6" xr3:uid="{B7CACCE0-97BE-444F-AF9E-7904D7094474}" name="Actividad" dataDxfId="464"/>
    <tableColumn id="3" xr3:uid="{FA3FF01F-A0DB-432C-9095-9FA76F2E8A86}" name="Tipo" dataDxfId="463">
      <calculatedColumnFormula>IF(Tabla_Registro_Tareas5[[#This Row],[Actividad]]=Indice_Aux_Vacio,"",IFERROR(INDEX(plan!$D$4:$D$52,MATCH(Tabla_Registro_Tareas5[[#This Row],[Actividad]],plan!$C$4:$C$52,0)),""))</calculatedColumnFormula>
    </tableColumn>
    <tableColumn id="7" xr3:uid="{021B4F0C-2B85-40BF-882B-FAD87B782C87}" name="Subtipo" dataDxfId="462">
      <calculatedColumnFormula>IFERROR(INDEX(plan!$E$4:$E$52,MATCH(Tabla_Registro_Tareas5[[#This Row],[Actividad]],plan!$C$4:$C$52,0)),"")</calculatedColumnFormula>
    </tableColumn>
    <tableColumn id="9" xr3:uid="{BB2A07B1-09F0-4784-B00C-B46C82260B19}" name="Responsable" dataDxfId="461">
      <calculatedColumnFormula>IF(Tabla_Registro_Tareas5[[#This Row],[Actividad]]=Indice_Aux_Vacio,"",Indice_PROBLAM_Estudiante5)</calculatedColumnFormula>
    </tableColumn>
    <tableColumn id="8" xr3:uid="{1DB5CB1B-6F79-489D-B0A3-2312670368E7}" name="Tarea realizada" dataDxfId="460"/>
    <tableColumn id="4" xr3:uid="{F73B110A-D75A-46F6-8C30-164113FE11D0}" name="Tiempo (minutos)" dataDxfId="459"/>
    <tableColumn id="5" xr3:uid="{6BE1E2B6-369A-4604-B057-51441CBBC0F1}" name="Consideraciones adicionales" dataDxfId="458"/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25785BF-F7A8-4341-A20A-233401F23042}" name="Tabla_PROBLAM_Artefactos5" displayName="Tabla_PROBLAM_Artefactos5" ref="L2:L4" totalsRowShown="0" headerRowDxfId="457" dataDxfId="456">
  <autoFilter ref="L2:L4" xr:uid="{B25785BF-F7A8-4341-A20A-233401F23042}"/>
  <sortState xmlns:xlrd2="http://schemas.microsoft.com/office/spreadsheetml/2017/richdata2" ref="L3:L6">
    <sortCondition ref="L2:L6"/>
  </sortState>
  <tableColumns count="1">
    <tableColumn id="1" xr3:uid="{5B4C9D55-94BF-46F4-B450-1AF2716D2EEE}" name="Gestión de transacciones" dataDxfId="455"/>
  </tableColumns>
  <tableStyleInfo name="TableStyleMedium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64461AC-D200-48B2-A135-7693F3D9A04D}" name="Tabla_PROBLAM_Artefactos3" displayName="Tabla_PROBLAM_Artefactos3" ref="H2:H6" totalsRowShown="0" headerRowDxfId="454" dataDxfId="453">
  <autoFilter ref="H2:H6" xr:uid="{B64461AC-D200-48B2-A135-7693F3D9A04D}"/>
  <tableColumns count="1">
    <tableColumn id="1" xr3:uid="{7248F40A-0F38-48C1-B492-326449F6EBC6}" name="Diseño físico" dataDxfId="452"/>
  </tableColumns>
  <tableStyleInfo name="TableStyleMedium4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818E5AFA-D6C8-4EEA-8414-4A86B5EAB1B6}" name="Tabla_PROBLAM_Artefactos2" displayName="Tabla_PROBLAM_Artefactos2" ref="F2:F5" totalsRowShown="0" headerRowDxfId="451" dataDxfId="450">
  <autoFilter ref="F2:F5" xr:uid="{818E5AFA-D6C8-4EEA-8414-4A86B5EAB1B6}"/>
  <sortState xmlns:xlrd2="http://schemas.microsoft.com/office/spreadsheetml/2017/richdata2" ref="F3:F6">
    <sortCondition ref="F2:F6"/>
  </sortState>
  <tableColumns count="1">
    <tableColumn id="1" xr3:uid="{890AE5E1-90C6-40AC-992D-2EBBD5F6878D}" name="Ingeniería de datos" dataDxfId="449"/>
  </tableColumns>
  <tableStyleInfo name="TableStyleMedium4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661795B-B6FB-4C8A-AE17-9D09207643E9}" name="Tabla_PROBLAM_Artefactos1" displayName="Tabla_PROBLAM_Artefactos1" ref="D2:D6" totalsRowShown="0" headerRowDxfId="448" dataDxfId="447">
  <autoFilter ref="D2:D6" xr:uid="{8661795B-B6FB-4C8A-AE17-9D09207643E9}"/>
  <sortState xmlns:xlrd2="http://schemas.microsoft.com/office/spreadsheetml/2017/richdata2" ref="D3:D8">
    <sortCondition ref="D2:D8"/>
  </sortState>
  <tableColumns count="1">
    <tableColumn id="1" xr3:uid="{05548B07-7EB9-47CB-9C91-570C2CD22F62}" name="Ciclo de vida" dataDxfId="446"/>
  </tableColumns>
  <tableStyleInfo name="TableStyleMedium4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08998DE-3C78-4998-84D6-067989A2CE47}" name="Tabla_PROBLAM_Paquetes" displayName="Tabla_PROBLAM_Paquetes" ref="B2:B8" totalsRowShown="0" headerRowDxfId="445" dataDxfId="443" headerRowBorderDxfId="444" tableBorderDxfId="442" totalsRowBorderDxfId="441">
  <autoFilter ref="B2:B8" xr:uid="{608998DE-3C78-4998-84D6-067989A2CE47}"/>
  <sortState xmlns:xlrd2="http://schemas.microsoft.com/office/spreadsheetml/2017/richdata2" ref="B3:B7">
    <sortCondition ref="B2:B7"/>
  </sortState>
  <tableColumns count="1">
    <tableColumn id="1" xr3:uid="{6E0C0E38-B469-445E-856A-E423C78C840C}" name="Paquetes" dataDxfId="440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DC2E13-E888-4CE4-9FFD-469CDA21810C}" name="Tabla_PROBLAM_Artefactos4" displayName="Tabla_PROBLAM_Artefactos4" ref="J2:J7" totalsRowShown="0" headerRowDxfId="439" dataDxfId="438">
  <autoFilter ref="J2:J7" xr:uid="{98DC2E13-E888-4CE4-9FFD-469CDA21810C}"/>
  <sortState xmlns:xlrd2="http://schemas.microsoft.com/office/spreadsheetml/2017/richdata2" ref="J3:J7">
    <sortCondition ref="J2:J7"/>
  </sortState>
  <tableColumns count="1">
    <tableColumn id="1" xr3:uid="{90701703-CFAF-4D05-A540-D2308128D188}" name="Equipo" dataDxfId="437"/>
  </tableColumns>
  <tableStyleInfo name="TableStyleMedium4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F5A08B9-C45E-4B54-8A5F-0619427F429F}" name="Tabla_PROBLAM_Aux_Estados" displayName="Tabla_PROBLAM_Aux_Estados" ref="B10:B14" totalsRowShown="0" headerRowDxfId="436" dataDxfId="434" headerRowBorderDxfId="435" tableBorderDxfId="433">
  <autoFilter ref="B10:B14" xr:uid="{DF5A08B9-C45E-4B54-8A5F-0619427F429F}"/>
  <sortState xmlns:xlrd2="http://schemas.microsoft.com/office/spreadsheetml/2017/richdata2" ref="B11:B14">
    <sortCondition ref="B10:B14"/>
  </sortState>
  <tableColumns count="1">
    <tableColumn id="1" xr3:uid="{9CFBC949-E4F5-47CC-BA68-8FF56CF260BA}" name="Estado" dataDxfId="432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3B1B2DFF-0687-4D53-BE40-4E3DDFBD9ABA}" name="Tabla_PROBLAM_Estudiantes" displayName="Tabla_PROBLAM_Estudiantes" ref="B16:B21" totalsRowShown="0" headerRowDxfId="431" dataDxfId="429" headerRowBorderDxfId="430" tableBorderDxfId="428" totalsRowBorderDxfId="427">
  <autoFilter ref="B16:B21" xr:uid="{3B1B2DFF-0687-4D53-BE40-4E3DDFBD9ABA}"/>
  <tableColumns count="1">
    <tableColumn id="2" xr3:uid="{61338CF3-86E2-4142-A4C8-B7ED4A93D2DE}" name="Estudiantes" dataDxfId="426">
      <calculatedColumnFormula>plan!X4</calculatedColumnFormula>
    </tableColumn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024F75B-68A8-46F1-9CB7-BF16FE92EEAE}" name="Tabla_PROBLAM_Aux_Semanas" displayName="Tabla_PROBLAM_Aux_Semanas" ref="H23:H28" totalsRowShown="0" headerRowDxfId="425" dataDxfId="424" tableBorderDxfId="423">
  <autoFilter ref="H23:H28" xr:uid="{2024F75B-68A8-46F1-9CB7-BF16FE92EEAE}"/>
  <tableColumns count="1">
    <tableColumn id="1" xr3:uid="{144D6706-45A1-4C90-8A33-D0D69AEF5D19}" name="Semanas" dataDxfId="422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747AFCD-0D90-4789-B451-0B2C21BD8F8C}" name="Tabla_PROBLAM_Artefactos6" displayName="Tabla_PROBLAM_Artefactos6" ref="N2:N4" totalsRowShown="0" headerRowDxfId="421" dataDxfId="420">
  <autoFilter ref="N2:N4" xr:uid="{8747AFCD-0D90-4789-B451-0B2C21BD8F8C}"/>
  <sortState xmlns:xlrd2="http://schemas.microsoft.com/office/spreadsheetml/2017/richdata2" ref="N3:N6">
    <sortCondition ref="N2:N6"/>
  </sortState>
  <tableColumns count="1">
    <tableColumn id="1" xr3:uid="{01A6F81A-956C-4356-8A04-8E407014000D}" name="SQL avanzado" dataDxfId="419"/>
  </tableColumns>
  <tableStyleInfo name="TableStyleMedium4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DA99E608-9D0D-4C32-BA69-B31C79AA13F0}" name="cuaderno" displayName="cuaderno" ref="B2:J8" tableType="queryTable" totalsRowShown="0" headerRowDxfId="418" dataDxfId="417">
  <autoFilter ref="B2:J8" xr:uid="{DA99E608-9D0D-4C32-BA69-B31C79AA13F0}">
    <filterColumn colId="7">
      <filters>
        <filter val="100"/>
        <filter val="150"/>
        <filter val="200"/>
        <filter val="25"/>
        <filter val="30"/>
        <filter val="300"/>
      </filters>
    </filterColumn>
  </autoFilter>
  <sortState xmlns:xlrd2="http://schemas.microsoft.com/office/spreadsheetml/2017/richdata2" ref="B3:J8">
    <sortCondition ref="B2:B8"/>
  </sortState>
  <tableColumns count="9">
    <tableColumn id="7" xr3:uid="{87EAC02E-9619-4CE5-8C12-14001A9699B9}" uniqueName="7" name="Responsable" queryTableFieldId="7" dataDxfId="416"/>
    <tableColumn id="1" xr3:uid="{7375EFB8-A092-4A46-B9C6-94538D546B1C}" uniqueName="1" name="Fecha" queryTableFieldId="1" dataDxfId="415"/>
    <tableColumn id="11" xr3:uid="{8435B158-002C-4893-B8BD-4B0A40DA48CD}" uniqueName="11" name="Semana" queryTableFieldId="12" dataDxfId="414"/>
    <tableColumn id="12" xr3:uid="{D0D46CAF-FA1B-495F-A8CF-D4073741D612}" uniqueName="12" name="Actividad" queryTableFieldId="14" dataDxfId="413"/>
    <tableColumn id="3" xr3:uid="{F595A4FE-7B10-43A0-A0E4-66258B962258}" uniqueName="3" name="Tipo" queryTableFieldId="3" dataDxfId="412"/>
    <tableColumn id="4" xr3:uid="{6D1BF39B-1BE3-4960-8AE6-1FA095405C33}" uniqueName="4" name="Subtipo" queryTableFieldId="4" dataDxfId="411"/>
    <tableColumn id="8" xr3:uid="{9F96F931-8147-42A5-8511-A9F6747454EB}" uniqueName="8" name="Tarea realizada" queryTableFieldId="8" dataDxfId="410"/>
    <tableColumn id="9" xr3:uid="{D48F5D07-3EB4-487D-81B4-02E7C5BB79C3}" uniqueName="9" name="Tiempo (minutos)" queryTableFieldId="9" dataDxfId="409"/>
    <tableColumn id="10" xr3:uid="{88E5C187-F468-4F72-9F13-3BEB6BC3DC09}" uniqueName="10" name="Consideraciones adicionales" queryTableFieldId="10" dataDxfId="408"/>
  </tableColumns>
  <tableStyleInfo name="TableStyleLight8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D768F2B-F625-4D4C-B006-2659A1FE74E5}" name="Tabla_Registro_Tareas_Agregada" displayName="Tabla_Registro_Tareas_Agregada" ref="A1:G2" tableType="queryTable" totalsRowShown="0">
  <autoFilter ref="A1:G2" xr:uid="{0D768F2B-F625-4D4C-B006-2659A1FE74E5}"/>
  <sortState xmlns:xlrd2="http://schemas.microsoft.com/office/spreadsheetml/2017/richdata2" ref="A2:G2">
    <sortCondition ref="A1:A2"/>
  </sortState>
  <tableColumns count="7">
    <tableColumn id="1" xr3:uid="{15E55CD5-4610-4406-A996-8E6520DF1065}" uniqueName="1" name="Fecha" queryTableFieldId="1" dataDxfId="0"/>
    <tableColumn id="9" xr3:uid="{949FC53B-3224-49C7-B363-82BA467A4BFE}" uniqueName="9" name="Semana" queryTableFieldId="9"/>
    <tableColumn id="2" xr3:uid="{06E669CA-8C66-4B04-9EEC-F6FD3B4A92A4}" uniqueName="2" name="Actividad" queryTableFieldId="2"/>
    <tableColumn id="3" xr3:uid="{EB250535-7E1B-41E7-A0B7-A7D33EDCD51C}" uniqueName="3" name="Tipo" queryTableFieldId="3"/>
    <tableColumn id="4" xr3:uid="{7AD32676-D162-4D22-9AC9-C6A3AA7A410D}" uniqueName="4" name="Subtipo" queryTableFieldId="4"/>
    <tableColumn id="5" xr3:uid="{1D398B05-690D-426A-B6FD-A3C3F3D4582A}" uniqueName="5" name="Estudiante" queryTableFieldId="12"/>
    <tableColumn id="10" xr3:uid="{6E280979-112E-463E-AC95-C975E81BC7FD}" uniqueName="10" name="Minutos" queryTableFieldId="11"/>
  </tableColumns>
  <tableStyleInfo name="TableStyleMedium7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4F82744-5597-447D-A0F4-C8C6C0AAD575}" name="Tabla_Agregada_Burnup" displayName="Tabla_Agregada_Burnup" ref="M2:P7" totalsRowShown="0">
  <autoFilter ref="M2:P7" xr:uid="{14F82744-5597-447D-A0F4-C8C6C0AAD575}"/>
  <tableColumns count="4">
    <tableColumn id="1" xr3:uid="{49678580-B595-466C-8B71-C1614B5E23B8}" name="Semana"/>
    <tableColumn id="2" xr3:uid="{39A67A59-334F-4F18-91E6-DB86794BAD01}" name="Real" dataDxfId="38">
      <calculatedColumnFormula>IFERROR(INDEX($C$5:$D$7,MATCH($M3,$C$5:$C$7,0),2),N2)</calculatedColumnFormula>
    </tableColumn>
    <tableColumn id="3" xr3:uid="{1108CF08-D1F1-4E9E-BFF4-4584011F752F}" name="Planificado" dataDxfId="37">
      <calculatedColumnFormula>IFERROR(INDEX($F$3:$G$7,MATCH($M3,$F$3:$F$7,0),2),O2)</calculatedColumnFormula>
    </tableColumn>
    <tableColumn id="4" xr3:uid="{FA788CA9-18A8-4B92-9CFC-951BDE8E3362}" name="Ideal" dataDxfId="36">
      <calculatedColumnFormula>IFERROR(INDEX($I$3:$J$7,MATCH($M3,$I$3:$I$7,0),2),P2)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3" dT="2025-09-02T13:40:39.30" personId="{FB6424B3-91AA-498E-BF57-53281DA1BD69}" id="{9AA2A393-8833-4BAA-B2DC-8C90B221BE5A}">
    <text>Indica qué miembro del equipo es responsable de gestionar el trabajo en esta actividad.</text>
  </threadedComment>
  <threadedComment ref="J3" dT="2025-09-02T13:41:03.95" personId="{FB6424B3-91AA-498E-BF57-53281DA1BD69}" id="{1845C391-2A94-40AE-A924-7F1EBC46D039}">
    <text>Indica la fecha de inicio planificada para esta actividad.</text>
  </threadedComment>
  <threadedComment ref="K3" dT="2025-09-02T13:41:16.33" personId="{FB6424B3-91AA-498E-BF57-53281DA1BD69}" id="{9B1F47CF-8452-448C-A340-329D7BBECEB9}">
    <text>Indica la fecha de finalización planificada para esta actividad.</text>
  </threadedComment>
  <threadedComment ref="N3" dT="2025-09-02T13:41:34.52" personId="{FB6424B3-91AA-498E-BF57-53281DA1BD69}" id="{15B99221-1E77-4093-93B6-CE0327B231DB}">
    <text>Indica el estado en el que se encuentra la actividad de acuerdo con el avance del trabajo en la misma.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3.xml"/><Relationship Id="rId3" Type="http://schemas.openxmlformats.org/officeDocument/2006/relationships/table" Target="../tables/table8.xml"/><Relationship Id="rId7" Type="http://schemas.openxmlformats.org/officeDocument/2006/relationships/table" Target="../tables/table12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1.xml"/><Relationship Id="rId11" Type="http://schemas.openxmlformats.org/officeDocument/2006/relationships/table" Target="../tables/table16.xml"/><Relationship Id="rId5" Type="http://schemas.openxmlformats.org/officeDocument/2006/relationships/table" Target="../tables/table10.xml"/><Relationship Id="rId10" Type="http://schemas.openxmlformats.org/officeDocument/2006/relationships/table" Target="../tables/table15.xml"/><Relationship Id="rId4" Type="http://schemas.openxmlformats.org/officeDocument/2006/relationships/table" Target="../tables/table9.xml"/><Relationship Id="rId9" Type="http://schemas.openxmlformats.org/officeDocument/2006/relationships/table" Target="../tables/table1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5" Type="http://schemas.openxmlformats.org/officeDocument/2006/relationships/table" Target="../tables/table19.xml"/><Relationship Id="rId4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E2F48-2062-4F83-A01B-63564B2E1725}">
  <sheetPr codeName="Hoja2"/>
  <dimension ref="B1:X62"/>
  <sheetViews>
    <sheetView zoomScale="70" zoomScaleNormal="70" workbookViewId="0">
      <selection activeCell="N24" sqref="N24"/>
    </sheetView>
  </sheetViews>
  <sheetFormatPr baseColWidth="10" defaultColWidth="11.44140625" defaultRowHeight="15.05" x14ac:dyDescent="0.3"/>
  <cols>
    <col min="1" max="1" width="4.44140625" style="2" customWidth="1"/>
    <col min="2" max="2" width="7.33203125" style="2" hidden="1" customWidth="1"/>
    <col min="3" max="3" width="42.44140625" style="2" customWidth="1"/>
    <col min="4" max="4" width="19.109375" style="2" bestFit="1" customWidth="1"/>
    <col min="5" max="5" width="23.88671875" style="2" customWidth="1"/>
    <col min="6" max="6" width="13.88671875" style="2" hidden="1" customWidth="1"/>
    <col min="7" max="7" width="27.44140625" style="2" bestFit="1" customWidth="1"/>
    <col min="8" max="8" width="17.6640625" style="2" hidden="1" customWidth="1"/>
    <col min="9" max="9" width="14.33203125" style="2" customWidth="1"/>
    <col min="10" max="10" width="18" style="2" customWidth="1"/>
    <col min="11" max="11" width="15.6640625" style="2" customWidth="1"/>
    <col min="12" max="12" width="15.6640625" style="2" hidden="1" customWidth="1"/>
    <col min="13" max="13" width="16.5546875" style="2" hidden="1" customWidth="1"/>
    <col min="14" max="14" width="11.33203125" style="2" customWidth="1"/>
    <col min="15" max="15" width="13.5546875" style="2" hidden="1" customWidth="1"/>
    <col min="16" max="16" width="14.6640625" style="2" hidden="1" customWidth="1"/>
    <col min="17" max="17" width="11.33203125" style="2" hidden="1" customWidth="1"/>
    <col min="18" max="18" width="18" style="2" hidden="1" customWidth="1"/>
    <col min="19" max="19" width="15.6640625" style="2" hidden="1" customWidth="1"/>
    <col min="20" max="20" width="11.33203125" style="2" hidden="1" customWidth="1"/>
    <col min="21" max="21" width="15.109375" hidden="1" customWidth="1"/>
    <col min="22" max="23" width="6.6640625" style="2" customWidth="1"/>
    <col min="24" max="24" width="36" style="2" customWidth="1"/>
    <col min="25" max="16384" width="11.44140625" style="2"/>
  </cols>
  <sheetData>
    <row r="1" spans="2:24" ht="15.05" customHeight="1" thickBot="1" x14ac:dyDescent="0.35"/>
    <row r="2" spans="2:24" ht="32.9" customHeight="1" thickBot="1" x14ac:dyDescent="0.35">
      <c r="B2" s="144"/>
      <c r="C2" s="268" t="s">
        <v>47</v>
      </c>
      <c r="D2" s="269"/>
      <c r="E2" s="269"/>
      <c r="F2" s="269"/>
      <c r="G2" s="263" t="s">
        <v>32</v>
      </c>
      <c r="H2" s="264"/>
      <c r="I2" s="264"/>
      <c r="J2" s="265"/>
      <c r="K2" s="265"/>
      <c r="L2" s="265"/>
      <c r="M2" s="265"/>
      <c r="N2" s="266"/>
      <c r="O2" s="270" t="s">
        <v>67</v>
      </c>
      <c r="P2" s="270"/>
      <c r="Q2" s="271"/>
      <c r="R2" s="267" t="s">
        <v>33</v>
      </c>
      <c r="S2" s="267"/>
      <c r="T2" s="267"/>
      <c r="U2" s="267"/>
      <c r="V2" s="113"/>
    </row>
    <row r="3" spans="2:24" ht="30.8" thickBot="1" x14ac:dyDescent="0.35">
      <c r="B3" s="80" t="s">
        <v>3</v>
      </c>
      <c r="C3" s="146" t="s">
        <v>11</v>
      </c>
      <c r="D3" s="31" t="s">
        <v>77</v>
      </c>
      <c r="E3" s="16" t="s">
        <v>24</v>
      </c>
      <c r="F3" s="31" t="s">
        <v>46</v>
      </c>
      <c r="G3" s="93" t="s">
        <v>45</v>
      </c>
      <c r="H3" s="32" t="s">
        <v>80</v>
      </c>
      <c r="I3" s="32" t="s">
        <v>10</v>
      </c>
      <c r="J3" s="32" t="s">
        <v>34</v>
      </c>
      <c r="K3" s="32" t="s">
        <v>35</v>
      </c>
      <c r="L3" s="32" t="s">
        <v>65</v>
      </c>
      <c r="M3" s="32" t="s">
        <v>31</v>
      </c>
      <c r="N3" s="147" t="s">
        <v>38</v>
      </c>
      <c r="O3" s="97" t="s">
        <v>68</v>
      </c>
      <c r="P3" s="97" t="s">
        <v>69</v>
      </c>
      <c r="Q3" s="95" t="s">
        <v>70</v>
      </c>
      <c r="R3" s="33" t="s">
        <v>51</v>
      </c>
      <c r="S3" s="33" t="s">
        <v>36</v>
      </c>
      <c r="T3" s="33" t="s">
        <v>66</v>
      </c>
      <c r="U3" s="33" t="s">
        <v>37</v>
      </c>
      <c r="V3" s="113"/>
      <c r="W3" s="272" t="s">
        <v>95</v>
      </c>
      <c r="X3" s="273"/>
    </row>
    <row r="4" spans="2:24" ht="34.549999999999997" customHeight="1" x14ac:dyDescent="0.3">
      <c r="B4" s="21">
        <v>4</v>
      </c>
      <c r="C4" s="181" t="s">
        <v>111</v>
      </c>
      <c r="D4" s="23" t="s">
        <v>18</v>
      </c>
      <c r="E4" s="23" t="s">
        <v>27</v>
      </c>
      <c r="F4" s="29"/>
      <c r="G4" s="170"/>
      <c r="H4" s="182">
        <v>4</v>
      </c>
      <c r="I4" s="24">
        <f>Tabla_Plan_Actividad[[#This Row],[LPs individuales]]*Indice_PROBLAM_NumEstudiantes</f>
        <v>20</v>
      </c>
      <c r="J4" s="134">
        <v>46097</v>
      </c>
      <c r="K4" s="135">
        <v>46100</v>
      </c>
      <c r="L4" s="259">
        <f>IF(K4&lt;&gt;"",1+INT((Tabla_Plan_Actividad[[#This Row],[Fecha de fin Plan]]-Indice_Plan_FechaInicio)/7),)</f>
        <v>1</v>
      </c>
      <c r="M4" s="260">
        <v>46136</v>
      </c>
      <c r="N4" s="148" t="s">
        <v>39</v>
      </c>
      <c r="O4" s="145">
        <v>46097</v>
      </c>
      <c r="P4" s="25">
        <v>46100</v>
      </c>
      <c r="Q4" s="96">
        <f>IF(P4&lt;&gt;"",1+INT((Tabla_Plan_Actividad[[#This Row],[Fecha de fin Ideal]]-Indice_Plan_FechaInicio)/7),)</f>
        <v>1</v>
      </c>
      <c r="R4" s="25" t="str" cm="1">
        <f t="array" ref="R4">IF(plan!$N4&lt;&gt;Indice_PROBLAM_Aux_Estado_SinIniciar,INDEX(cronograma!$F$4:$AN$4,1,_xlfn.XMATCH(TRUE,cronograma!$F6:$AN6&lt;&gt;0,0)),Indice_Aux_SinFecha)</f>
        <v>×</v>
      </c>
      <c r="S4" s="25" t="str" cm="1">
        <f t="array" ref="S4">IF(plan!$N4=Indice_PROBLAM_Aux_Estado_Finalizada,INDEX(cronograma!$F$4:$AL$4,1,_xlfn.XMATCH(TRUE,cronograma!$F6:$AL6&lt;&gt;0,0,-1)),Indice_Aux_SinFecha)</f>
        <v>×</v>
      </c>
      <c r="T4" s="64" cm="1">
        <f t="array" ref="T4">IF(S4&lt;&gt;Indice_Aux_SinFecha,1+INT((Tabla_Plan_Actividad[[#This Row],[Fecha de fin Real]]-Indice_Plan_FechaInicio)/7),)</f>
        <v>0</v>
      </c>
      <c r="U4" s="91">
        <f>SUMIFS(Tabla_Registro_Tareas_Agregada[Minutos],Tabla_Registro_Tareas_Agregada[Actividad],plan!$C4)/60</f>
        <v>0</v>
      </c>
      <c r="V4" s="113"/>
      <c r="W4" s="174" t="s">
        <v>90</v>
      </c>
      <c r="X4" s="171" t="s">
        <v>119</v>
      </c>
    </row>
    <row r="5" spans="2:24" ht="34.549999999999997" customHeight="1" x14ac:dyDescent="0.3">
      <c r="B5" s="21">
        <v>5</v>
      </c>
      <c r="C5" s="150" t="s">
        <v>19</v>
      </c>
      <c r="D5" s="23" t="s">
        <v>18</v>
      </c>
      <c r="E5" s="23" t="s">
        <v>27</v>
      </c>
      <c r="F5" s="29"/>
      <c r="G5" s="170"/>
      <c r="H5" s="24">
        <v>3</v>
      </c>
      <c r="I5" s="24">
        <f>Tabla_Plan_Actividad[[#This Row],[LPs individuales]]*Indice_PROBLAM_NumEstudiantes</f>
        <v>15</v>
      </c>
      <c r="J5" s="134">
        <v>46100</v>
      </c>
      <c r="K5" s="135">
        <v>46101</v>
      </c>
      <c r="L5" s="259">
        <f>IF(K5&lt;&gt;"",1+INT((Tabla_Plan_Actividad[[#This Row],[Fecha de fin Plan]]-Indice_Plan_FechaInicio)/7),)</f>
        <v>1</v>
      </c>
      <c r="M5" s="25">
        <v>46103</v>
      </c>
      <c r="N5" s="148" t="s">
        <v>39</v>
      </c>
      <c r="O5" s="145">
        <v>46100</v>
      </c>
      <c r="P5" s="25">
        <v>46101</v>
      </c>
      <c r="Q5" s="96">
        <f>IF(P5&lt;&gt;"",1+INT((Tabla_Plan_Actividad[[#This Row],[Fecha de fin Ideal]]-Indice_Plan_FechaInicio)/7),)</f>
        <v>1</v>
      </c>
      <c r="R5" s="25" t="str" cm="1">
        <f t="array" ref="R5">IF(plan!$N5&lt;&gt;Indice_PROBLAM_Aux_Estado_SinIniciar,INDEX(cronograma!$F$4:$AN$4,1,_xlfn.XMATCH(TRUE,cronograma!$F7:$AN7&lt;&gt;0,0)),Indice_Aux_SinFecha)</f>
        <v>×</v>
      </c>
      <c r="S5" s="25" t="str" cm="1">
        <f t="array" ref="S5">IF(plan!$N5=Indice_PROBLAM_Aux_Estado_Finalizada,INDEX(cronograma!$F$4:$AL$4,1,_xlfn.XMATCH(TRUE,cronograma!$F7:$AL7&lt;&gt;0,0,-1)),Indice_Aux_SinFecha)</f>
        <v>×</v>
      </c>
      <c r="T5" s="64" cm="1">
        <f t="array" ref="T5">IF(S5&lt;&gt;Indice_Aux_SinFecha,1+INT((Tabla_Plan_Actividad[[#This Row],[Fecha de fin Real]]-Indice_Plan_FechaInicio)/7),)</f>
        <v>0</v>
      </c>
      <c r="U5" s="91">
        <f>SUMIFS(Tabla_Registro_Tareas_Agregada[Minutos],Tabla_Registro_Tareas_Agregada[Actividad],plan!$C5)/60</f>
        <v>0</v>
      </c>
      <c r="V5" s="113"/>
      <c r="W5" s="175" t="s">
        <v>91</v>
      </c>
      <c r="X5" s="172" t="s">
        <v>120</v>
      </c>
    </row>
    <row r="6" spans="2:24" ht="34.549999999999997" customHeight="1" x14ac:dyDescent="0.3">
      <c r="B6" s="22">
        <v>6</v>
      </c>
      <c r="C6" s="149" t="s">
        <v>126</v>
      </c>
      <c r="D6" s="23" t="s">
        <v>97</v>
      </c>
      <c r="E6" s="23" t="s">
        <v>102</v>
      </c>
      <c r="F6" s="29"/>
      <c r="G6" s="170"/>
      <c r="H6" s="24">
        <v>1</v>
      </c>
      <c r="I6" s="24">
        <f>Tabla_Plan_Actividad[[#This Row],[LPs individuales]]*Indice_PROBLAM_NumEstudiantes</f>
        <v>5</v>
      </c>
      <c r="J6" s="134">
        <v>46101</v>
      </c>
      <c r="K6" s="135">
        <v>46104</v>
      </c>
      <c r="L6" s="259">
        <f>IF(K6&lt;&gt;"",1+INT((Tabla_Plan_Actividad[[#This Row],[Fecha de fin Plan]]-Indice_Plan_FechaInicio)/7),)</f>
        <v>2</v>
      </c>
      <c r="M6" s="260">
        <v>46136</v>
      </c>
      <c r="N6" s="148" t="s">
        <v>39</v>
      </c>
      <c r="O6" s="145">
        <v>46101</v>
      </c>
      <c r="P6" s="25">
        <v>46104</v>
      </c>
      <c r="Q6" s="96">
        <f>IF(P6&lt;&gt;"",1+INT((Tabla_Plan_Actividad[[#This Row],[Fecha de fin Ideal]]-Indice_Plan_FechaInicio)/7),)</f>
        <v>2</v>
      </c>
      <c r="R6" s="25" t="str" cm="1">
        <f t="array" ref="R6">IF(plan!$N6&lt;&gt;Indice_PROBLAM_Aux_Estado_SinIniciar,INDEX(cronograma!$F$4:$AN$4,1,_xlfn.XMATCH(TRUE,cronograma!$F8:$AN8&lt;&gt;0,0)),Indice_Aux_SinFecha)</f>
        <v>×</v>
      </c>
      <c r="S6" s="25" t="str" cm="1">
        <f t="array" ref="S6">IF(plan!$N6=Indice_PROBLAM_Aux_Estado_Finalizada,INDEX(cronograma!$F$4:$AL$4,1,_xlfn.XMATCH(TRUE,cronograma!$F8:$AL8&lt;&gt;0,0,-1)),Indice_Aux_SinFecha)</f>
        <v>×</v>
      </c>
      <c r="T6" s="64" cm="1">
        <f t="array" ref="T6">IF(S6&lt;&gt;Indice_Aux_SinFecha,1+INT((Tabla_Plan_Actividad[[#This Row],[Fecha de fin Real]]-Indice_Plan_FechaInicio)/7),)</f>
        <v>0</v>
      </c>
      <c r="U6" s="91">
        <f>SUMIFS(Tabla_Registro_Tareas_Agregada[Minutos],Tabla_Registro_Tareas_Agregada[Actividad],plan!$C6)/60</f>
        <v>0</v>
      </c>
      <c r="V6" s="113"/>
      <c r="W6" s="175" t="s">
        <v>92</v>
      </c>
      <c r="X6" s="172" t="s">
        <v>121</v>
      </c>
    </row>
    <row r="7" spans="2:24" ht="34.549999999999997" customHeight="1" x14ac:dyDescent="0.3">
      <c r="B7" s="21">
        <v>7</v>
      </c>
      <c r="C7" s="149" t="s">
        <v>127</v>
      </c>
      <c r="D7" s="257" t="s">
        <v>97</v>
      </c>
      <c r="E7" s="257" t="s">
        <v>104</v>
      </c>
      <c r="F7" s="29"/>
      <c r="G7" s="258"/>
      <c r="H7" s="24">
        <v>2</v>
      </c>
      <c r="I7" s="24">
        <f>Tabla_Plan_Actividad[[#This Row],[LPs individuales]]*Indice_PROBLAM_NumEstudiantes</f>
        <v>10</v>
      </c>
      <c r="J7" s="134">
        <v>46104</v>
      </c>
      <c r="K7" s="135">
        <v>46105</v>
      </c>
      <c r="L7" s="259">
        <f>IF(K7&lt;&gt;"",1+INT((Tabla_Plan_Actividad[[#This Row],[Fecha de fin Plan]]-Indice_Plan_FechaInicio)/7),)</f>
        <v>2</v>
      </c>
      <c r="M7" s="260">
        <v>46136</v>
      </c>
      <c r="N7" s="148" t="s">
        <v>39</v>
      </c>
      <c r="O7" s="25">
        <v>46104</v>
      </c>
      <c r="P7" s="25">
        <v>46105</v>
      </c>
      <c r="Q7" s="96">
        <f>IF(P7&lt;&gt;"",1+INT((Tabla_Plan_Actividad[[#This Row],[Fecha de fin Ideal]]-Indice_Plan_FechaInicio)/7),)</f>
        <v>2</v>
      </c>
      <c r="R7" s="25" t="str" cm="1">
        <f t="array" ref="R7">IF(plan!$N7&lt;&gt;Indice_PROBLAM_Aux_Estado_SinIniciar,INDEX(cronograma!$F$4:$AN$4,1,_xlfn.XMATCH(TRUE,cronograma!$F9:$AN9&lt;&gt;0,0)),Indice_Aux_SinFecha)</f>
        <v>×</v>
      </c>
      <c r="S7" s="25" t="str" cm="1">
        <f t="array" ref="S7">IF(plan!$N7=Indice_PROBLAM_Aux_Estado_Finalizada,INDEX(cronograma!$F$4:$AL$4,1,_xlfn.XMATCH(TRUE,cronograma!$F9:$AL9&lt;&gt;0,0,-1)),Indice_Aux_SinFecha)</f>
        <v>×</v>
      </c>
      <c r="T7" s="64" cm="1">
        <f t="array" ref="T7">IF(S7&lt;&gt;Indice_Aux_SinFecha,1+INT((Tabla_Plan_Actividad[[#This Row],[Fecha de fin Real]]-Indice_Plan_FechaInicio)/7),)</f>
        <v>0</v>
      </c>
      <c r="U7" s="91">
        <f>SUMIFS(Tabla_Registro_Tareas_Agregada[Minutos],Tabla_Registro_Tareas_Agregada[Actividad],plan!$C7)/60</f>
        <v>0</v>
      </c>
      <c r="V7" s="113"/>
      <c r="W7" s="175" t="s">
        <v>93</v>
      </c>
      <c r="X7" s="172" t="s">
        <v>122</v>
      </c>
    </row>
    <row r="8" spans="2:24" ht="34.549999999999997" customHeight="1" thickBot="1" x14ac:dyDescent="0.35">
      <c r="B8" s="22">
        <v>8</v>
      </c>
      <c r="C8" s="149" t="s">
        <v>128</v>
      </c>
      <c r="D8" s="257" t="s">
        <v>97</v>
      </c>
      <c r="E8" s="257" t="s">
        <v>103</v>
      </c>
      <c r="F8" s="29"/>
      <c r="G8" s="258"/>
      <c r="H8" s="24">
        <v>2</v>
      </c>
      <c r="I8" s="24">
        <f>Tabla_Plan_Actividad[[#This Row],[LPs individuales]]*Indice_PROBLAM_NumEstudiantes</f>
        <v>10</v>
      </c>
      <c r="J8" s="134">
        <v>46104</v>
      </c>
      <c r="K8" s="135">
        <v>46105</v>
      </c>
      <c r="L8" s="259">
        <f>IF(K8&lt;&gt;"",1+INT((Tabla_Plan_Actividad[[#This Row],[Fecha de fin Plan]]-Indice_Plan_FechaInicio)/7),)</f>
        <v>2</v>
      </c>
      <c r="M8" s="260">
        <v>46136</v>
      </c>
      <c r="N8" s="148" t="s">
        <v>39</v>
      </c>
      <c r="O8" s="25">
        <v>46104</v>
      </c>
      <c r="P8" s="25">
        <v>46105</v>
      </c>
      <c r="Q8" s="96">
        <f>IF(P8&lt;&gt;"",1+INT((Tabla_Plan_Actividad[[#This Row],[Fecha de fin Ideal]]-Indice_Plan_FechaInicio)/7),)</f>
        <v>2</v>
      </c>
      <c r="R8" s="25" t="str" cm="1">
        <f t="array" ref="R8">IF(plan!$N8&lt;&gt;Indice_PROBLAM_Aux_Estado_SinIniciar,INDEX(cronograma!$F$4:$AN$4,1,_xlfn.XMATCH(TRUE,cronograma!$F10:$AN10&lt;&gt;0,0)),Indice_Aux_SinFecha)</f>
        <v>×</v>
      </c>
      <c r="S8" s="25" t="str" cm="1">
        <f t="array" ref="S8">IF(plan!$N8=Indice_PROBLAM_Aux_Estado_Finalizada,INDEX(cronograma!$F$4:$AL$4,1,_xlfn.XMATCH(TRUE,cronograma!$F10:$AL10&lt;&gt;0,0,-1)),Indice_Aux_SinFecha)</f>
        <v>×</v>
      </c>
      <c r="T8" s="64" cm="1">
        <f t="array" ref="T8">IF(S8&lt;&gt;Indice_Aux_SinFecha,1+INT((Tabla_Plan_Actividad[[#This Row],[Fecha de fin Real]]-Indice_Plan_FechaInicio)/7),)</f>
        <v>0</v>
      </c>
      <c r="U8" s="91">
        <f>SUMIFS(Tabla_Registro_Tareas_Agregada[Minutos],Tabla_Registro_Tareas_Agregada[Actividad],plan!$C8)/60</f>
        <v>0</v>
      </c>
      <c r="V8" s="113"/>
      <c r="W8" s="176" t="s">
        <v>94</v>
      </c>
      <c r="X8" s="173" t="s">
        <v>123</v>
      </c>
    </row>
    <row r="9" spans="2:24" ht="34.549999999999997" customHeight="1" x14ac:dyDescent="0.3">
      <c r="B9" s="21">
        <v>9</v>
      </c>
      <c r="C9" s="149" t="s">
        <v>129</v>
      </c>
      <c r="D9" s="257" t="s">
        <v>98</v>
      </c>
      <c r="E9" s="257" t="s">
        <v>105</v>
      </c>
      <c r="F9" s="29"/>
      <c r="G9" s="258"/>
      <c r="H9" s="24">
        <v>7</v>
      </c>
      <c r="I9" s="24">
        <f>Tabla_Plan_Actividad[[#This Row],[LPs individuales]]*Indice_PROBLAM_NumEstudiantes</f>
        <v>35</v>
      </c>
      <c r="J9" s="134">
        <v>46105</v>
      </c>
      <c r="K9" s="135">
        <v>46107</v>
      </c>
      <c r="L9" s="259">
        <f>IF(K9&lt;&gt;"",1+INT((Tabla_Plan_Actividad[[#This Row],[Fecha de fin Plan]]-Indice_Plan_FechaInicio)/7),)</f>
        <v>2</v>
      </c>
      <c r="M9" s="260">
        <v>46136</v>
      </c>
      <c r="N9" s="148" t="s">
        <v>39</v>
      </c>
      <c r="O9" s="25">
        <v>46105</v>
      </c>
      <c r="P9" s="25">
        <v>46107</v>
      </c>
      <c r="Q9" s="96">
        <f>IF(P9&lt;&gt;"",1+INT((Tabla_Plan_Actividad[[#This Row],[Fecha de fin Ideal]]-Indice_Plan_FechaInicio)/7),)</f>
        <v>2</v>
      </c>
      <c r="R9" s="25" t="str" cm="1">
        <f t="array" ref="R9">IF(plan!$N9&lt;&gt;Indice_PROBLAM_Aux_Estado_SinIniciar,INDEX(cronograma!$F$4:$AN$4,1,_xlfn.XMATCH(TRUE,cronograma!$F11:$AN11&lt;&gt;0,0)),Indice_Aux_SinFecha)</f>
        <v>×</v>
      </c>
      <c r="S9" s="25" t="str" cm="1">
        <f t="array" ref="S9">IF(plan!$N9=Indice_PROBLAM_Aux_Estado_Finalizada,INDEX(cronograma!$F$4:$AL$4,1,_xlfn.XMATCH(TRUE,cronograma!$F11:$AL11&lt;&gt;0,0,-1)),Indice_Aux_SinFecha)</f>
        <v>×</v>
      </c>
      <c r="T9" s="64" cm="1">
        <f t="array" ref="T9">IF(S9&lt;&gt;Indice_Aux_SinFecha,1+INT((Tabla_Plan_Actividad[[#This Row],[Fecha de fin Real]]-Indice_Plan_FechaInicio)/7),)</f>
        <v>0</v>
      </c>
      <c r="U9" s="91">
        <f>SUMIFS(Tabla_Registro_Tareas_Agregada[Minutos],Tabla_Registro_Tareas_Agregada[Actividad],plan!$C9)/60</f>
        <v>0</v>
      </c>
      <c r="V9" s="113"/>
    </row>
    <row r="10" spans="2:24" ht="34.549999999999997" customHeight="1" x14ac:dyDescent="0.3">
      <c r="B10" s="22">
        <v>10</v>
      </c>
      <c r="C10" s="149" t="s">
        <v>130</v>
      </c>
      <c r="D10" s="257" t="s">
        <v>98</v>
      </c>
      <c r="E10" s="257" t="s">
        <v>106</v>
      </c>
      <c r="F10" s="194"/>
      <c r="G10" s="189"/>
      <c r="H10" s="24">
        <v>7</v>
      </c>
      <c r="I10" s="24">
        <f>Tabla_Plan_Actividad[[#This Row],[LPs individuales]]*Indice_PROBLAM_NumEstudiantes</f>
        <v>35</v>
      </c>
      <c r="J10" s="134">
        <v>46105</v>
      </c>
      <c r="K10" s="135">
        <v>46107</v>
      </c>
      <c r="L10" s="259">
        <f>IF(K10&lt;&gt;"",1+INT((Tabla_Plan_Actividad[[#This Row],[Fecha de fin Plan]]-Indice_Plan_FechaInicio)/7),)</f>
        <v>2</v>
      </c>
      <c r="M10" s="260">
        <v>46136</v>
      </c>
      <c r="N10" s="148" t="s">
        <v>39</v>
      </c>
      <c r="O10" s="25">
        <v>46105</v>
      </c>
      <c r="P10" s="25">
        <v>46107</v>
      </c>
      <c r="Q10" s="96">
        <f>IF(P10&lt;&gt;"",1+INT((Tabla_Plan_Actividad[[#This Row],[Fecha de fin Ideal]]-Indice_Plan_FechaInicio)/7),)</f>
        <v>2</v>
      </c>
      <c r="R10" s="25" t="str" cm="1">
        <f t="array" ref="R10">IF(plan!$N10&lt;&gt;Indice_PROBLAM_Aux_Estado_SinIniciar,INDEX(cronograma!$F$4:$AN$4,1,_xlfn.XMATCH(TRUE,cronograma!$F12:$AN12&lt;&gt;0,0)),Indice_Aux_SinFecha)</f>
        <v>×</v>
      </c>
      <c r="S10" s="25" t="str" cm="1">
        <f t="array" ref="S10">IF(plan!$N10=Indice_PROBLAM_Aux_Estado_Finalizada,INDEX(cronograma!$F$4:$AL$4,1,_xlfn.XMATCH(TRUE,cronograma!$F12:$AL12&lt;&gt;0,0,-1)),Indice_Aux_SinFecha)</f>
        <v>×</v>
      </c>
      <c r="T10" s="64" cm="1">
        <f t="array" ref="T10">IF(S10&lt;&gt;Indice_Aux_SinFecha,1+INT((Tabla_Plan_Actividad[[#This Row],[Fecha de fin Real]]-Indice_Plan_FechaInicio)/7),)</f>
        <v>0</v>
      </c>
      <c r="U10" s="91">
        <f>SUMIFS(Tabla_Registro_Tareas_Agregada[Minutos],Tabla_Registro_Tareas_Agregada[Actividad],plan!$C10)/60</f>
        <v>0</v>
      </c>
      <c r="V10" s="113"/>
    </row>
    <row r="11" spans="2:24" ht="34.549999999999997" customHeight="1" x14ac:dyDescent="0.3">
      <c r="B11" s="21">
        <v>11</v>
      </c>
      <c r="C11" s="149" t="s">
        <v>22</v>
      </c>
      <c r="D11" s="257" t="s">
        <v>18</v>
      </c>
      <c r="E11" s="257" t="s">
        <v>27</v>
      </c>
      <c r="F11" s="29"/>
      <c r="G11" s="258"/>
      <c r="H11" s="24">
        <v>1</v>
      </c>
      <c r="I11" s="24">
        <f>Tabla_Plan_Actividad[[#This Row],[LPs individuales]]*Indice_PROBLAM_NumEstudiantes</f>
        <v>5</v>
      </c>
      <c r="J11" s="134">
        <v>46108</v>
      </c>
      <c r="K11" s="135">
        <v>46108</v>
      </c>
      <c r="L11" s="259">
        <f>IF(K11&lt;&gt;"",1+INT((Tabla_Plan_Actividad[[#This Row],[Fecha de fin Plan]]-Indice_Plan_FechaInicio)/7),)</f>
        <v>2</v>
      </c>
      <c r="M11" s="260">
        <v>46110</v>
      </c>
      <c r="N11" s="148" t="s">
        <v>39</v>
      </c>
      <c r="O11" s="25">
        <v>46108</v>
      </c>
      <c r="P11" s="25">
        <v>46108</v>
      </c>
      <c r="Q11" s="96">
        <f>IF(P11&lt;&gt;"",1+INT((Tabla_Plan_Actividad[[#This Row],[Fecha de fin Ideal]]-Indice_Plan_FechaInicio)/7),)</f>
        <v>2</v>
      </c>
      <c r="R11" s="25" t="str" cm="1">
        <f t="array" ref="R11">IF(plan!$N11&lt;&gt;Indice_PROBLAM_Aux_Estado_SinIniciar,INDEX(cronograma!$F$4:$AN$4,1,_xlfn.XMATCH(TRUE,cronograma!$F13:$AN13&lt;&gt;0,0)),Indice_Aux_SinFecha)</f>
        <v>×</v>
      </c>
      <c r="S11" s="25" t="str" cm="1">
        <f t="array" ref="S11">IF(plan!$N11=Indice_PROBLAM_Aux_Estado_Finalizada,INDEX(cronograma!$F$4:$AL$4,1,_xlfn.XMATCH(TRUE,cronograma!$F13:$AL13&lt;&gt;0,0,-1)),Indice_Aux_SinFecha)</f>
        <v>×</v>
      </c>
      <c r="T11" s="64" cm="1">
        <f t="array" ref="T11">IF(S11&lt;&gt;Indice_Aux_SinFecha,1+INT((Tabla_Plan_Actividad[[#This Row],[Fecha de fin Real]]-Indice_Plan_FechaInicio)/7),)</f>
        <v>0</v>
      </c>
      <c r="U11" s="91">
        <f>SUMIFS(Tabla_Registro_Tareas_Agregada[Minutos],Tabla_Registro_Tareas_Agregada[Actividad],plan!$C11)/60</f>
        <v>0</v>
      </c>
      <c r="V11" s="113"/>
    </row>
    <row r="12" spans="2:24" ht="34.549999999999997" customHeight="1" x14ac:dyDescent="0.3">
      <c r="B12" s="22">
        <v>12</v>
      </c>
      <c r="C12" s="149" t="s">
        <v>135</v>
      </c>
      <c r="D12" s="257" t="s">
        <v>99</v>
      </c>
      <c r="E12" s="257" t="s">
        <v>107</v>
      </c>
      <c r="F12" s="29"/>
      <c r="G12" s="258"/>
      <c r="H12" s="24">
        <v>12</v>
      </c>
      <c r="I12" s="24">
        <f>Tabla_Plan_Actividad[[#This Row],[LPs individuales]]*Indice_PROBLAM_NumEstudiantes</f>
        <v>60</v>
      </c>
      <c r="J12" s="134">
        <v>46119</v>
      </c>
      <c r="K12" s="135">
        <v>46123</v>
      </c>
      <c r="L12" s="259">
        <f>IF(K12&lt;&gt;"",1+INT((Tabla_Plan_Actividad[[#This Row],[Fecha de fin Plan]]-Indice_Plan_FechaInicio)/7),)</f>
        <v>4</v>
      </c>
      <c r="M12" s="260">
        <v>46136</v>
      </c>
      <c r="N12" s="148" t="s">
        <v>39</v>
      </c>
      <c r="O12" s="25">
        <v>46119</v>
      </c>
      <c r="P12" s="25">
        <v>46123</v>
      </c>
      <c r="Q12" s="96">
        <f>IF(P12&lt;&gt;"",1+INT((Tabla_Plan_Actividad[[#This Row],[Fecha de fin Ideal]]-Indice_Plan_FechaInicio)/7),)</f>
        <v>4</v>
      </c>
      <c r="R12" s="25" t="str" cm="1">
        <f t="array" ref="R12">IF(plan!$N12&lt;&gt;Indice_PROBLAM_Aux_Estado_SinIniciar,INDEX(cronograma!$F$4:$AN$4,1,_xlfn.XMATCH(TRUE,cronograma!$F14:$AN14&lt;&gt;0,0)),Indice_Aux_SinFecha)</f>
        <v>×</v>
      </c>
      <c r="S12" s="25" t="str" cm="1">
        <f t="array" ref="S12">IF(plan!$N12=Indice_PROBLAM_Aux_Estado_Finalizada,INDEX(cronograma!$F$4:$AL$4,1,_xlfn.XMATCH(TRUE,cronograma!$F14:$AL14&lt;&gt;0,0,-1)),Indice_Aux_SinFecha)</f>
        <v>×</v>
      </c>
      <c r="T12" s="64" cm="1">
        <f t="array" ref="T12">IF(S12&lt;&gt;Indice_Aux_SinFecha,1+INT((Tabla_Plan_Actividad[[#This Row],[Fecha de fin Real]]-Indice_Plan_FechaInicio)/7),)</f>
        <v>0</v>
      </c>
      <c r="U12" s="91">
        <f>SUMIFS(Tabla_Registro_Tareas_Agregada[Minutos],Tabla_Registro_Tareas_Agregada[Actividad],plan!$C12)/60</f>
        <v>0</v>
      </c>
      <c r="V12" s="113"/>
    </row>
    <row r="13" spans="2:24" ht="34.549999999999997" customHeight="1" x14ac:dyDescent="0.3">
      <c r="B13" s="21">
        <v>13</v>
      </c>
      <c r="C13" s="149" t="s">
        <v>131</v>
      </c>
      <c r="D13" s="257" t="s">
        <v>98</v>
      </c>
      <c r="E13" s="257" t="s">
        <v>105</v>
      </c>
      <c r="F13" s="29"/>
      <c r="G13" s="258"/>
      <c r="H13" s="24">
        <v>4</v>
      </c>
      <c r="I13" s="24">
        <f>Tabla_Plan_Actividad[[#This Row],[LPs individuales]]*Indice_PROBLAM_NumEstudiantes</f>
        <v>20</v>
      </c>
      <c r="J13" s="134">
        <v>46121</v>
      </c>
      <c r="K13" s="135">
        <v>46126</v>
      </c>
      <c r="L13" s="259">
        <f>IF(K13&lt;&gt;"",1+INT((Tabla_Plan_Actividad[[#This Row],[Fecha de fin Plan]]-Indice_Plan_FechaInicio)/7),)</f>
        <v>5</v>
      </c>
      <c r="M13" s="260">
        <v>46136</v>
      </c>
      <c r="N13" s="148" t="s">
        <v>39</v>
      </c>
      <c r="O13" s="25">
        <v>46121</v>
      </c>
      <c r="P13" s="25">
        <v>46126</v>
      </c>
      <c r="Q13" s="96">
        <f>IF(P13&lt;&gt;"",1+INT((Tabla_Plan_Actividad[[#This Row],[Fecha de fin Ideal]]-Indice_Plan_FechaInicio)/7),)</f>
        <v>5</v>
      </c>
      <c r="R13" s="25" t="str" cm="1">
        <f t="array" ref="R13">IF(plan!$N13&lt;&gt;Indice_PROBLAM_Aux_Estado_SinIniciar,INDEX(cronograma!$F$4:$AN$4,1,_xlfn.XMATCH(TRUE,cronograma!$F15:$AN15&lt;&gt;0,0)),Indice_Aux_SinFecha)</f>
        <v>×</v>
      </c>
      <c r="S13" s="25" t="str" cm="1">
        <f t="array" ref="S13">IF(plan!$N13=Indice_PROBLAM_Aux_Estado_Finalizada,INDEX(cronograma!$F$4:$AL$4,1,_xlfn.XMATCH(TRUE,cronograma!$F15:$AL15&lt;&gt;0,0,-1)),Indice_Aux_SinFecha)</f>
        <v>×</v>
      </c>
      <c r="T13" s="64" cm="1">
        <f t="array" ref="T13">IF(S13&lt;&gt;Indice_Aux_SinFecha,1+INT((Tabla_Plan_Actividad[[#This Row],[Fecha de fin Real]]-Indice_Plan_FechaInicio)/7),)</f>
        <v>0</v>
      </c>
      <c r="U13" s="91">
        <f>SUMIFS(Tabla_Registro_Tareas_Agregada[Minutos],Tabla_Registro_Tareas_Agregada[Actividad],plan!$C13)/60</f>
        <v>0</v>
      </c>
      <c r="V13" s="113"/>
    </row>
    <row r="14" spans="2:24" ht="34.549999999999997" customHeight="1" x14ac:dyDescent="0.3">
      <c r="B14" s="22">
        <v>14</v>
      </c>
      <c r="C14" s="149" t="s">
        <v>132</v>
      </c>
      <c r="D14" s="257" t="s">
        <v>18</v>
      </c>
      <c r="E14" s="257" t="s">
        <v>27</v>
      </c>
      <c r="F14" s="29"/>
      <c r="G14" s="258"/>
      <c r="H14" s="24">
        <v>4</v>
      </c>
      <c r="I14" s="24">
        <f>Tabla_Plan_Actividad[[#This Row],[LPs individuales]]*Indice_PROBLAM_NumEstudiantes</f>
        <v>20</v>
      </c>
      <c r="J14" s="134">
        <v>46121</v>
      </c>
      <c r="K14" s="135">
        <v>46126</v>
      </c>
      <c r="L14" s="259">
        <f>IF(K14&lt;&gt;"",1+INT((Tabla_Plan_Actividad[[#This Row],[Fecha de fin Plan]]-Indice_Plan_FechaInicio)/7),)</f>
        <v>5</v>
      </c>
      <c r="M14" s="260">
        <v>46136</v>
      </c>
      <c r="N14" s="148" t="s">
        <v>39</v>
      </c>
      <c r="O14" s="25">
        <v>46121</v>
      </c>
      <c r="P14" s="25">
        <v>46126</v>
      </c>
      <c r="Q14" s="96">
        <f>IF(P14&lt;&gt;"",1+INT((Tabla_Plan_Actividad[[#This Row],[Fecha de fin Ideal]]-Indice_Plan_FechaInicio)/7),)</f>
        <v>5</v>
      </c>
      <c r="R14" s="25" t="str" cm="1">
        <f t="array" ref="R14">IF(plan!$N14&lt;&gt;Indice_PROBLAM_Aux_Estado_SinIniciar,INDEX(cronograma!$F$4:$AN$4,1,_xlfn.XMATCH(TRUE,cronograma!$F16:$AN16&lt;&gt;0,0)),Indice_Aux_SinFecha)</f>
        <v>×</v>
      </c>
      <c r="S14" s="25" t="str" cm="1">
        <f t="array" ref="S14">IF(plan!$N14=Indice_PROBLAM_Aux_Estado_Finalizada,INDEX(cronograma!$F$4:$AL$4,1,_xlfn.XMATCH(TRUE,cronograma!$F16:$AL16&lt;&gt;0,0,-1)),Indice_Aux_SinFecha)</f>
        <v>×</v>
      </c>
      <c r="T14" s="64" cm="1">
        <f t="array" ref="T14">IF(S14&lt;&gt;Indice_Aux_SinFecha,1+INT((Tabla_Plan_Actividad[[#This Row],[Fecha de fin Real]]-Indice_Plan_FechaInicio)/7),)</f>
        <v>0</v>
      </c>
      <c r="U14" s="91">
        <f>SUMIFS(Tabla_Registro_Tareas_Agregada[Minutos],Tabla_Registro_Tareas_Agregada[Actividad],plan!$C14)/60</f>
        <v>0</v>
      </c>
      <c r="V14" s="113"/>
    </row>
    <row r="15" spans="2:24" ht="34.549999999999997" customHeight="1" x14ac:dyDescent="0.3">
      <c r="B15" s="21">
        <v>15</v>
      </c>
      <c r="C15" s="151" t="s">
        <v>23</v>
      </c>
      <c r="D15" s="261" t="s">
        <v>18</v>
      </c>
      <c r="E15" s="257" t="s">
        <v>27</v>
      </c>
      <c r="F15" s="29"/>
      <c r="G15" s="262"/>
      <c r="H15" s="24">
        <v>1</v>
      </c>
      <c r="I15" s="24">
        <v>5</v>
      </c>
      <c r="J15" s="134">
        <v>46122</v>
      </c>
      <c r="K15" s="135">
        <v>46122</v>
      </c>
      <c r="L15" s="259">
        <v>4</v>
      </c>
      <c r="M15" s="260">
        <v>46124</v>
      </c>
      <c r="N15" s="148" t="s">
        <v>39</v>
      </c>
      <c r="O15" s="25">
        <v>46127</v>
      </c>
      <c r="P15" s="25">
        <v>46127</v>
      </c>
      <c r="Q15" s="96">
        <f>IF(P15&lt;&gt;"",1+INT((Tabla_Plan_Actividad[[#This Row],[Fecha de fin Ideal]]-Indice_Plan_FechaInicio)/7),)</f>
        <v>5</v>
      </c>
      <c r="R15" s="25" t="str" cm="1">
        <f t="array" ref="R15">IF(plan!$N15&lt;&gt;Indice_PROBLAM_Aux_Estado_SinIniciar,INDEX(cronograma!$F$4:$AN$4,1,_xlfn.XMATCH(TRUE,cronograma!$F17:$AN17&lt;&gt;0,0)),Indice_Aux_SinFecha)</f>
        <v>×</v>
      </c>
      <c r="S15" s="25" t="str" cm="1">
        <f t="array" ref="S15">IF(plan!$N15=Indice_PROBLAM_Aux_Estado_Finalizada,INDEX(cronograma!$F$4:$AL$4,1,_xlfn.XMATCH(TRUE,cronograma!$F17:$AL17&lt;&gt;0,0,-1)),Indice_Aux_SinFecha)</f>
        <v>×</v>
      </c>
      <c r="T15" s="64" cm="1">
        <f t="array" ref="T15">IF(S15&lt;&gt;Indice_Aux_SinFecha,1+INT((Tabla_Plan_Actividad[[#This Row],[Fecha de fin Real]]-Indice_Plan_FechaInicio)/7),)</f>
        <v>0</v>
      </c>
      <c r="U15" s="91">
        <f>SUMIFS(Tabla_Registro_Tareas_Agregada[Minutos],Tabla_Registro_Tareas_Agregada[Actividad],plan!$C15)/60</f>
        <v>0</v>
      </c>
      <c r="V15" s="113"/>
    </row>
    <row r="16" spans="2:24" ht="34.549999999999997" customHeight="1" x14ac:dyDescent="0.3">
      <c r="B16" s="22">
        <v>16</v>
      </c>
      <c r="C16" s="149" t="s">
        <v>112</v>
      </c>
      <c r="D16" s="257" t="s">
        <v>97</v>
      </c>
      <c r="E16" s="257" t="s">
        <v>102</v>
      </c>
      <c r="F16" s="194"/>
      <c r="G16" s="189"/>
      <c r="H16" s="24">
        <v>1</v>
      </c>
      <c r="I16" s="24">
        <f>Tabla_Plan_Actividad[[#This Row],[LPs individuales]]*Indice_PROBLAM_NumEstudiantes</f>
        <v>5</v>
      </c>
      <c r="J16" s="134">
        <v>46127</v>
      </c>
      <c r="K16" s="135">
        <v>46127</v>
      </c>
      <c r="L16" s="259">
        <f>IF(K16&lt;&gt;"",1+INT((Tabla_Plan_Actividad[[#This Row],[Fecha de fin Plan]]-Indice_Plan_FechaInicio)/7),)</f>
        <v>5</v>
      </c>
      <c r="M16" s="260">
        <v>46136</v>
      </c>
      <c r="N16" s="148" t="s">
        <v>39</v>
      </c>
      <c r="O16" s="25">
        <v>46122</v>
      </c>
      <c r="P16" s="25">
        <v>46122</v>
      </c>
      <c r="Q16" s="96">
        <f>IF(P16&lt;&gt;"",1+INT((Tabla_Plan_Actividad[[#This Row],[Fecha de fin Ideal]]-Indice_Plan_FechaInicio)/7),)</f>
        <v>4</v>
      </c>
      <c r="R16" s="25" t="str" cm="1">
        <f t="array" ref="R16">IF(plan!$N16&lt;&gt;Indice_PROBLAM_Aux_Estado_SinIniciar,INDEX(cronograma!$F$4:$AN$4,1,_xlfn.XMATCH(TRUE,cronograma!$F18:$AN18&lt;&gt;0,0)),Indice_Aux_SinFecha)</f>
        <v>×</v>
      </c>
      <c r="S16" s="25" t="str" cm="1">
        <f t="array" ref="S16">IF(plan!$N16=Indice_PROBLAM_Aux_Estado_Finalizada,INDEX(cronograma!$F$4:$AL$4,1,_xlfn.XMATCH(TRUE,cronograma!$F18:$AL18&lt;&gt;0,0,-1)),Indice_Aux_SinFecha)</f>
        <v>×</v>
      </c>
      <c r="T16" s="64" cm="1">
        <f t="array" ref="T16">IF(S16&lt;&gt;Indice_Aux_SinFecha,1+INT((Tabla_Plan_Actividad[[#This Row],[Fecha de fin Real]]-Indice_Plan_FechaInicio)/7),)</f>
        <v>0</v>
      </c>
      <c r="U16" s="91">
        <f>SUMIFS(Tabla_Registro_Tareas_Agregada[Minutos],Tabla_Registro_Tareas_Agregada[Actividad],plan!$C16)/60</f>
        <v>0</v>
      </c>
      <c r="V16" s="113"/>
    </row>
    <row r="17" spans="2:22" ht="34.549999999999997" customHeight="1" x14ac:dyDescent="0.3">
      <c r="B17" s="21">
        <v>17</v>
      </c>
      <c r="C17" s="149" t="s">
        <v>133</v>
      </c>
      <c r="D17" s="257" t="s">
        <v>99</v>
      </c>
      <c r="E17" s="257" t="s">
        <v>108</v>
      </c>
      <c r="F17" s="29"/>
      <c r="G17" s="258"/>
      <c r="H17" s="24">
        <v>8</v>
      </c>
      <c r="I17" s="24">
        <v>40</v>
      </c>
      <c r="J17" s="134">
        <v>46127</v>
      </c>
      <c r="K17" s="135">
        <v>46129</v>
      </c>
      <c r="L17" s="259">
        <v>5</v>
      </c>
      <c r="M17" s="260">
        <v>46136</v>
      </c>
      <c r="N17" s="148" t="str">
        <f>IF(ISNUMBER(MATCH(plan!$C17, Tabla_Registro_Tareas1[Actividad], 0)),Indice_PROBLAM_Aux_Estado_Desarrollo,Indice_PROBLAM_Aux_Estado_SinIniciar)</f>
        <v>Sin iniciar</v>
      </c>
      <c r="O17" s="25">
        <v>46127</v>
      </c>
      <c r="P17" s="25">
        <v>46129</v>
      </c>
      <c r="Q17" s="96">
        <f>IF(P17&lt;&gt;"",1+INT((Tabla_Plan_Actividad[[#This Row],[Fecha de fin Ideal]]-Indice_Plan_FechaInicio)/7),)</f>
        <v>5</v>
      </c>
      <c r="R17" s="25" t="str" cm="1">
        <f t="array" ref="R17">IF(plan!$N17&lt;&gt;Indice_PROBLAM_Aux_Estado_SinIniciar,INDEX(cronograma!$F$4:$AN$4,1,_xlfn.XMATCH(TRUE,cronograma!$F19:$AN19&lt;&gt;0,0)),Indice_Aux_SinFecha)</f>
        <v>×</v>
      </c>
      <c r="S17" s="25" t="str" cm="1">
        <f t="array" ref="S17">IF(plan!$N17=Indice_PROBLAM_Aux_Estado_Finalizada,INDEX(cronograma!$F$4:$AL$4,1,_xlfn.XMATCH(TRUE,cronograma!$F19:$AL19&lt;&gt;0,0,-1)),Indice_Aux_SinFecha)</f>
        <v>×</v>
      </c>
      <c r="T17" s="64" cm="1">
        <f t="array" ref="T17">IF(S17&lt;&gt;Indice_Aux_SinFecha,1+INT((Tabla_Plan_Actividad[[#This Row],[Fecha de fin Real]]-Indice_Plan_FechaInicio)/7),)</f>
        <v>0</v>
      </c>
      <c r="U17" s="91">
        <f>SUMIFS(Tabla_Registro_Tareas_Agregada[Minutos],Tabla_Registro_Tareas_Agregada[Actividad],plan!$C17)/60</f>
        <v>0</v>
      </c>
      <c r="V17" s="113"/>
    </row>
    <row r="18" spans="2:22" ht="34.549999999999997" customHeight="1" x14ac:dyDescent="0.3">
      <c r="B18" s="22">
        <v>18</v>
      </c>
      <c r="C18" s="149" t="s">
        <v>134</v>
      </c>
      <c r="D18" s="257" t="s">
        <v>99</v>
      </c>
      <c r="E18" s="257" t="s">
        <v>108</v>
      </c>
      <c r="F18" s="29"/>
      <c r="G18" s="258"/>
      <c r="H18" s="24">
        <v>12</v>
      </c>
      <c r="I18" s="24">
        <v>50</v>
      </c>
      <c r="J18" s="134">
        <v>46129</v>
      </c>
      <c r="K18" s="135">
        <v>46134</v>
      </c>
      <c r="L18" s="259">
        <v>6</v>
      </c>
      <c r="M18" s="260">
        <v>46136</v>
      </c>
      <c r="N18" s="148" t="str">
        <f>IF(ISNUMBER(MATCH(plan!$C18, Tabla_Registro_Tareas1[Actividad], 0)),Indice_PROBLAM_Aux_Estado_Desarrollo,Indice_PROBLAM_Aux_Estado_SinIniciar)</f>
        <v>Sin iniciar</v>
      </c>
      <c r="O18" s="25">
        <v>46129</v>
      </c>
      <c r="P18" s="25">
        <v>46134</v>
      </c>
      <c r="Q18" s="96">
        <f>IF(P18&lt;&gt;"",1+INT((Tabla_Plan_Actividad[[#This Row],[Fecha de fin Ideal]]-Indice_Plan_FechaInicio)/7),)</f>
        <v>6</v>
      </c>
      <c r="R18" s="25" t="str" cm="1">
        <f t="array" ref="R18">IF(plan!$N18&lt;&gt;Indice_PROBLAM_Aux_Estado_SinIniciar,INDEX(cronograma!$F$4:$AN$4,1,_xlfn.XMATCH(TRUE,cronograma!$F20:$AN20&lt;&gt;0,0)),Indice_Aux_SinFecha)</f>
        <v>×</v>
      </c>
      <c r="S18" s="25" t="str" cm="1">
        <f t="array" ref="S18">IF(plan!$N18=Indice_PROBLAM_Aux_Estado_Finalizada,INDEX(cronograma!$F$4:$AL$4,1,_xlfn.XMATCH(TRUE,cronograma!$F20:$AL20&lt;&gt;0,0,-1)),Indice_Aux_SinFecha)</f>
        <v>×</v>
      </c>
      <c r="T18" s="64" cm="1">
        <f t="array" ref="T18">IF(S18&lt;&gt;Indice_Aux_SinFecha,1+INT((Tabla_Plan_Actividad[[#This Row],[Fecha de fin Real]]-Indice_Plan_FechaInicio)/7),)</f>
        <v>0</v>
      </c>
      <c r="U18" s="91">
        <f>SUMIFS(Tabla_Registro_Tareas_Agregada[Minutos],Tabla_Registro_Tareas_Agregada[Actividad],plan!$C18)/60</f>
        <v>0</v>
      </c>
      <c r="V18" s="113"/>
    </row>
    <row r="19" spans="2:22" ht="34.549999999999997" customHeight="1" x14ac:dyDescent="0.3">
      <c r="B19" s="21">
        <v>19</v>
      </c>
      <c r="C19" s="149" t="s">
        <v>89</v>
      </c>
      <c r="D19" s="257" t="s">
        <v>18</v>
      </c>
      <c r="E19" s="257" t="s">
        <v>27</v>
      </c>
      <c r="F19" s="194"/>
      <c r="G19" s="189"/>
      <c r="H19" s="24">
        <v>1</v>
      </c>
      <c r="I19" s="24">
        <v>5</v>
      </c>
      <c r="J19" s="134">
        <v>46129</v>
      </c>
      <c r="K19" s="135">
        <v>46129</v>
      </c>
      <c r="L19" s="259">
        <v>5</v>
      </c>
      <c r="M19" s="260">
        <v>46131</v>
      </c>
      <c r="N19" s="148" t="str">
        <f>IF(ISNUMBER(MATCH(plan!$C19, Tabla_Registro_Tareas1[Actividad], 0)),Indice_PROBLAM_Aux_Estado_Desarrollo,Indice_PROBLAM_Aux_Estado_SinIniciar)</f>
        <v>Sin iniciar</v>
      </c>
      <c r="O19" s="25">
        <v>46129</v>
      </c>
      <c r="P19" s="25">
        <v>46129</v>
      </c>
      <c r="Q19" s="96">
        <f>IF(P19&lt;&gt;"",1+INT((Tabla_Plan_Actividad[[#This Row],[Fecha de fin Ideal]]-Indice_Plan_FechaInicio)/7),)</f>
        <v>5</v>
      </c>
      <c r="R19" s="25" t="str" cm="1">
        <f t="array" ref="R19">IF(plan!$N19&lt;&gt;Indice_PROBLAM_Aux_Estado_SinIniciar,INDEX(cronograma!$F$4:$AN$4,1,_xlfn.XMATCH(TRUE,cronograma!$F21:$AN21&lt;&gt;0,0)),Indice_Aux_SinFecha)</f>
        <v>×</v>
      </c>
      <c r="S19" s="25" t="str" cm="1">
        <f t="array" ref="S19">IF(plan!$N19=Indice_PROBLAM_Aux_Estado_Finalizada,INDEX(cronograma!$F$4:$AL$4,1,_xlfn.XMATCH(TRUE,cronograma!$F21:$AL21&lt;&gt;0,0,-1)),Indice_Aux_SinFecha)</f>
        <v>×</v>
      </c>
      <c r="T19" s="64" cm="1">
        <f t="array" ref="T19">IF(S19&lt;&gt;Indice_Aux_SinFecha,1+INT((Tabla_Plan_Actividad[[#This Row],[Fecha de fin Real]]-Indice_Plan_FechaInicio)/7),)</f>
        <v>0</v>
      </c>
      <c r="U19" s="91">
        <f>SUMIFS(Tabla_Registro_Tareas_Agregada[Minutos],Tabla_Registro_Tareas_Agregada[Actividad],plan!$C19)/60</f>
        <v>0</v>
      </c>
      <c r="V19" s="113"/>
    </row>
    <row r="20" spans="2:22" ht="34.549999999999997" customHeight="1" x14ac:dyDescent="0.3">
      <c r="B20" s="22">
        <v>20</v>
      </c>
      <c r="C20" s="149" t="s">
        <v>9</v>
      </c>
      <c r="D20" s="257" t="s">
        <v>18</v>
      </c>
      <c r="E20" s="257" t="s">
        <v>27</v>
      </c>
      <c r="F20" s="194"/>
      <c r="G20" s="189"/>
      <c r="H20" s="24">
        <v>2</v>
      </c>
      <c r="I20" s="24">
        <f>Tabla_Plan_Actividad[[#This Row],[LPs individuales]]*Indice_PROBLAM_NumEstudiantes</f>
        <v>10</v>
      </c>
      <c r="J20" s="134">
        <v>46136</v>
      </c>
      <c r="K20" s="135">
        <v>46136</v>
      </c>
      <c r="L20" s="259">
        <f>IF(K20&lt;&gt;"",1+INT((Tabla_Plan_Actividad[[#This Row],[Fecha de fin Plan]]-Indice_Plan_FechaInicio)/7),)</f>
        <v>6</v>
      </c>
      <c r="M20" s="260">
        <v>46136</v>
      </c>
      <c r="N20" s="148" t="str">
        <f>IF(ISNUMBER(MATCH(plan!$C20, Tabla_Registro_Tareas1[Actividad], 0)),Indice_PROBLAM_Aux_Estado_Desarrollo,Indice_PROBLAM_Aux_Estado_SinIniciar)</f>
        <v>Sin iniciar</v>
      </c>
      <c r="O20" s="34">
        <v>46136</v>
      </c>
      <c r="P20" s="34">
        <v>46136</v>
      </c>
      <c r="Q20" s="96">
        <f>IF(P20&lt;&gt;"",1+INT((Tabla_Plan_Actividad[[#This Row],[Fecha de fin Ideal]]-Indice_Plan_FechaInicio)/7),)</f>
        <v>6</v>
      </c>
      <c r="R20" s="34" t="str" cm="1">
        <f t="array" ref="R20">IF(plan!$N20&lt;&gt;Indice_PROBLAM_Aux_Estado_SinIniciar,INDEX(cronograma!$F$4:$AN$4,1,_xlfn.XMATCH(TRUE,cronograma!$F22:$AN22&lt;&gt;0,0)),Indice_Aux_SinFecha)</f>
        <v>×</v>
      </c>
      <c r="S20" s="34" t="str" cm="1">
        <f t="array" ref="S20">IF(plan!$N20=Indice_PROBLAM_Aux_Estado_Finalizada,INDEX(cronograma!$F$4:$AL$4,1,_xlfn.XMATCH(TRUE,cronograma!$F22:$AL22&lt;&gt;0,0,-1)),Indice_Aux_SinFecha)</f>
        <v>×</v>
      </c>
      <c r="T20" s="65" cm="1">
        <f t="array" ref="T20">IF(S20&lt;&gt;Indice_Aux_SinFecha,1+INT((Tabla_Plan_Actividad[[#This Row],[Fecha de fin Real]]-Indice_Plan_FechaInicio)/7),)</f>
        <v>0</v>
      </c>
      <c r="U20" s="91">
        <f>SUMIFS(Tabla_Registro_Tareas_Agregada[Minutos],Tabla_Registro_Tareas_Agregada[Actividad],plan!$C20)/60</f>
        <v>0</v>
      </c>
      <c r="V20" s="113"/>
    </row>
    <row r="21" spans="2:22" ht="34.549999999999997" customHeight="1" x14ac:dyDescent="0.3">
      <c r="B21" s="21">
        <v>21</v>
      </c>
      <c r="C21" s="150" t="s">
        <v>20</v>
      </c>
      <c r="D21" s="257" t="s">
        <v>18</v>
      </c>
      <c r="E21" s="257" t="s">
        <v>28</v>
      </c>
      <c r="F21" s="194"/>
      <c r="G21" s="189"/>
      <c r="H21" s="24">
        <v>1</v>
      </c>
      <c r="I21" s="24">
        <f>Tabla_Plan_Actividad[[#This Row],[LPs individuales]]*Indice_PROBLAM_NumEstudiantes</f>
        <v>5</v>
      </c>
      <c r="J21" s="134">
        <v>46136</v>
      </c>
      <c r="K21" s="135">
        <v>46136</v>
      </c>
      <c r="L21" s="259">
        <f>IF(K21&lt;&gt;"",1+INT((Tabla_Plan_Actividad[[#This Row],[Fecha de fin Plan]]-Indice_Plan_FechaInicio)/7),)</f>
        <v>6</v>
      </c>
      <c r="M21" s="260">
        <v>46136</v>
      </c>
      <c r="N21" s="148" t="str">
        <f>IF(ISNUMBER(MATCH(plan!$C21, Tabla_Registro_Tareas1[Actividad], 0)),Indice_PROBLAM_Aux_Estado_Desarrollo,Indice_PROBLAM_Aux_Estado_SinIniciar)</f>
        <v>Sin iniciar</v>
      </c>
      <c r="O21" s="34">
        <v>46136</v>
      </c>
      <c r="P21" s="34">
        <v>46136</v>
      </c>
      <c r="Q21" s="96">
        <f>IF(P21&lt;&gt;"",1+INT((Tabla_Plan_Actividad[[#This Row],[Fecha de fin Ideal]]-Indice_Plan_FechaInicio)/7),)</f>
        <v>6</v>
      </c>
      <c r="R21" s="30" t="str" cm="1">
        <f t="array" ref="R21">IF(plan!$N21&lt;&gt;Indice_PROBLAM_Aux_Estado_SinIniciar,INDEX(cronograma!$F$4:$AN$4,1,_xlfn.XMATCH(TRUE,cronograma!$F23:$AN23&lt;&gt;0,0)),Indice_Aux_SinFecha)</f>
        <v>×</v>
      </c>
      <c r="S21" s="30" t="str" cm="1">
        <f t="array" ref="S21">IF(plan!$N21=Indice_PROBLAM_Aux_Estado_Finalizada,INDEX(cronograma!$F$4:$AL$4,1,_xlfn.XMATCH(TRUE,cronograma!$F23:$AL23&lt;&gt;0,0,-1)),Indice_Aux_SinFecha)</f>
        <v>×</v>
      </c>
      <c r="T21" s="63" cm="1">
        <f t="array" ref="T21">IF(S21&lt;&gt;Indice_Aux_SinFecha,1+INT((Tabla_Plan_Actividad[[#This Row],[Fecha de fin Real]]-Indice_Plan_FechaInicio)/7),)</f>
        <v>0</v>
      </c>
      <c r="U21" s="91">
        <f>SUMIFS(Tabla_Registro_Tareas_Agregada[Minutos],Tabla_Registro_Tareas_Agregada[Actividad],plan!$C21)/60</f>
        <v>0</v>
      </c>
      <c r="V21" s="113"/>
    </row>
    <row r="22" spans="2:22" ht="34.549999999999997" customHeight="1" x14ac:dyDescent="0.3">
      <c r="B22" s="22">
        <v>22</v>
      </c>
      <c r="C22" s="151" t="s">
        <v>21</v>
      </c>
      <c r="D22" s="257" t="s">
        <v>18</v>
      </c>
      <c r="E22" s="257" t="s">
        <v>29</v>
      </c>
      <c r="F22" s="194"/>
      <c r="G22" s="255"/>
      <c r="H22" s="24">
        <v>1</v>
      </c>
      <c r="I22" s="24">
        <f>Tabla_Plan_Actividad[[#This Row],[LPs individuales]]*Indice_PROBLAM_NumEstudiantes</f>
        <v>5</v>
      </c>
      <c r="J22" s="134">
        <v>46136</v>
      </c>
      <c r="K22" s="135">
        <v>46136</v>
      </c>
      <c r="L22" s="259">
        <f>IF(K22&lt;&gt;"",1+INT((Tabla_Plan_Actividad[[#This Row],[Fecha de fin Plan]]-Indice_Plan_FechaInicio)/7),)</f>
        <v>6</v>
      </c>
      <c r="M22" s="260">
        <v>46136</v>
      </c>
      <c r="N22" s="148" t="str">
        <f>IF(ISNUMBER(MATCH(plan!$C22, Tabla_Registro_Tareas1[Actividad], 0)),Indice_PROBLAM_Aux_Estado_Desarrollo,Indice_PROBLAM_Aux_Estado_SinIniciar)</f>
        <v>Sin iniciar</v>
      </c>
      <c r="O22" s="25">
        <v>46136</v>
      </c>
      <c r="P22" s="25">
        <v>46136</v>
      </c>
      <c r="Q22" s="96">
        <f>IF(P22&lt;&gt;"",1+INT((Tabla_Plan_Actividad[[#This Row],[Fecha de fin Ideal]]-Indice_Plan_FechaInicio)/7),)</f>
        <v>6</v>
      </c>
      <c r="R22" s="25" t="str" cm="1">
        <f t="array" ref="R22">IF(plan!$N22&lt;&gt;Indice_PROBLAM_Aux_Estado_SinIniciar,INDEX(cronograma!$F$4:$AN$4,1,_xlfn.XMATCH(TRUE,cronograma!$F24:$AN24&lt;&gt;0,0)),Indice_Aux_SinFecha)</f>
        <v>×</v>
      </c>
      <c r="S22" s="25" t="str" cm="1">
        <f t="array" ref="S22">IF(plan!$N22=Indice_PROBLAM_Aux_Estado_Finalizada,INDEX(cronograma!$F$4:$AL$4,1,_xlfn.XMATCH(TRUE,cronograma!$F24:$AL24&lt;&gt;0,0,-1)),Indice_Aux_SinFecha)</f>
        <v>×</v>
      </c>
      <c r="T22" s="64" cm="1">
        <f t="array" ref="T22">IF(S22&lt;&gt;Indice_Aux_SinFecha,1+INT((Tabla_Plan_Actividad[[#This Row],[Fecha de fin Real]]-Indice_Plan_FechaInicio)/7),)</f>
        <v>0</v>
      </c>
      <c r="U22" s="91">
        <f>SUMIFS(Tabla_Registro_Tareas_Agregada[Minutos],Tabla_Registro_Tareas_Agregada[Actividad],plan!$C22)/60</f>
        <v>0</v>
      </c>
      <c r="V22" s="113"/>
    </row>
    <row r="23" spans="2:22" ht="34.549999999999997" customHeight="1" x14ac:dyDescent="0.3">
      <c r="B23" s="21">
        <v>23</v>
      </c>
      <c r="C23" s="164" t="s">
        <v>85</v>
      </c>
      <c r="D23" s="257" t="s">
        <v>18</v>
      </c>
      <c r="E23" s="257" t="s">
        <v>27</v>
      </c>
      <c r="F23" s="194"/>
      <c r="G23" s="189"/>
      <c r="H23" s="24"/>
      <c r="I23" s="24">
        <f>Tabla_Plan_Actividad[[#This Row],[LPs individuales]]*Indice_PROBLAM_NumEstudiantes</f>
        <v>0</v>
      </c>
      <c r="J23" s="134"/>
      <c r="K23" s="135"/>
      <c r="L23" s="165">
        <f>IF(K23&lt;&gt;"",1+INT((Tabla_Plan_Actividad[[#This Row],[Fecha de fin Plan]]-Indice_Plan_FechaInicio)/7),)</f>
        <v>0</v>
      </c>
      <c r="M23" s="25"/>
      <c r="N23" s="148" t="str">
        <f>IF(ISNUMBER(MATCH(plan!$C23, Tabla_Registro_Tareas1[Actividad], 0)),Indice_PROBLAM_Aux_Estado_Desarrollo,Indice_PROBLAM_Aux_Estado_SinIniciar)</f>
        <v>Sin iniciar</v>
      </c>
      <c r="O23" s="25"/>
      <c r="P23" s="25"/>
      <c r="Q23" s="96">
        <f>IF(P23&lt;&gt;"",1+INT((Tabla_Plan_Actividad[[#This Row],[Fecha de fin Ideal]]-Indice_Plan_FechaInicio)/7),)</f>
        <v>0</v>
      </c>
      <c r="R23" s="25" t="str" cm="1">
        <f t="array" ref="R23">IF(plan!$N23&lt;&gt;Indice_PROBLAM_Aux_Estado_SinIniciar,INDEX(cronograma!$F$4:$AN$4,1,_xlfn.XMATCH(TRUE,cronograma!$F25:$AN25&lt;&gt;0,0)),Indice_Aux_SinFecha)</f>
        <v>×</v>
      </c>
      <c r="S23" s="25" t="str" cm="1">
        <f t="array" ref="S23">IF(plan!$N23=Indice_PROBLAM_Aux_Estado_Finalizada,INDEX(cronograma!$F$4:$AL$4,1,_xlfn.XMATCH(TRUE,cronograma!$F25:$AL25&lt;&gt;0,0,-1)),Indice_Aux_SinFecha)</f>
        <v>×</v>
      </c>
      <c r="T23" s="64" cm="1">
        <f t="array" ref="T23">IF(S23&lt;&gt;Indice_Aux_SinFecha,1+INT((Tabla_Plan_Actividad[[#This Row],[Fecha de fin Real]]-Indice_Plan_FechaInicio)/7),)</f>
        <v>0</v>
      </c>
      <c r="U23" s="91">
        <f>SUMIFS(Tabla_Registro_Tareas_Agregada[Minutos],Tabla_Registro_Tareas_Agregada[Actividad],plan!$C23)/60</f>
        <v>0</v>
      </c>
      <c r="V23" s="113"/>
    </row>
    <row r="24" spans="2:22" ht="34.549999999999997" customHeight="1" x14ac:dyDescent="0.3">
      <c r="B24" s="22">
        <v>24</v>
      </c>
      <c r="C24" s="251"/>
      <c r="D24" s="187"/>
      <c r="E24" s="187"/>
      <c r="F24" s="194"/>
      <c r="G24" s="189"/>
      <c r="H24" s="24"/>
      <c r="I24" s="24">
        <f>Tabla_Plan_Actividad[[#This Row],[LPs individuales]]*Indice_PROBLAM_NumEstudiantes</f>
        <v>0</v>
      </c>
      <c r="J24" s="134"/>
      <c r="K24" s="135"/>
      <c r="L24" s="165">
        <f>IF(K24&lt;&gt;"",1+INT((Tabla_Plan_Actividad[[#This Row],[Fecha de fin Plan]]-Indice_Plan_FechaInicio)/7),)</f>
        <v>0</v>
      </c>
      <c r="M24" s="25"/>
      <c r="N24" s="148" t="str">
        <f>IF(ISNUMBER(MATCH(plan!$C24, Tabla_Registro_Tareas1[Actividad], 0)),Indice_PROBLAM_Aux_Estado_Desarrollo,Indice_PROBLAM_Aux_Estado_SinIniciar)</f>
        <v>Sin iniciar</v>
      </c>
      <c r="O24" s="25"/>
      <c r="P24" s="25"/>
      <c r="Q24" s="96">
        <f>IF(P24&lt;&gt;"",1+INT((Tabla_Plan_Actividad[[#This Row],[Fecha de fin Ideal]]-Indice_Plan_FechaInicio)/7),)</f>
        <v>0</v>
      </c>
      <c r="R24" s="25" t="str" cm="1">
        <f t="array" ref="R24">IF(plan!$N24&lt;&gt;Indice_PROBLAM_Aux_Estado_SinIniciar,INDEX(cronograma!$F$4:$AN$4,1,_xlfn.XMATCH(TRUE,cronograma!$F26:$AN26&lt;&gt;0,0)),Indice_Aux_SinFecha)</f>
        <v>×</v>
      </c>
      <c r="S24" s="25" t="str" cm="1">
        <f t="array" ref="S24">IF(plan!$N24=Indice_PROBLAM_Aux_Estado_Finalizada,INDEX(cronograma!$F$4:$AL$4,1,_xlfn.XMATCH(TRUE,cronograma!$F26:$AL26&lt;&gt;0,0,-1)),Indice_Aux_SinFecha)</f>
        <v>×</v>
      </c>
      <c r="T24" s="64" cm="1">
        <f t="array" ref="T24">IF(S24&lt;&gt;Indice_Aux_SinFecha,1+INT((Tabla_Plan_Actividad[[#This Row],[Fecha de fin Real]]-Indice_Plan_FechaInicio)/7),)</f>
        <v>0</v>
      </c>
      <c r="U24" s="91">
        <f>SUMIFS(Tabla_Registro_Tareas_Agregada[Minutos],Tabla_Registro_Tareas_Agregada[Actividad],plan!$C24)/60</f>
        <v>0</v>
      </c>
      <c r="V24" s="113"/>
    </row>
    <row r="25" spans="2:22" ht="34.549999999999997" customHeight="1" x14ac:dyDescent="0.3">
      <c r="B25" s="21">
        <v>25</v>
      </c>
      <c r="C25" s="149"/>
      <c r="D25" s="257"/>
      <c r="E25" s="257"/>
      <c r="F25" s="194"/>
      <c r="G25" s="189"/>
      <c r="H25" s="24"/>
      <c r="I25" s="24">
        <f>Tabla_Plan_Actividad[[#This Row],[LPs individuales]]*Indice_PROBLAM_NumEstudiantes</f>
        <v>0</v>
      </c>
      <c r="J25" s="134"/>
      <c r="K25" s="135"/>
      <c r="L25" s="259">
        <f>IF(K25&lt;&gt;"",1+INT((Tabla_Plan_Actividad[[#This Row],[Fecha de fin Plan]]-Indice_Plan_FechaInicio)/7),)</f>
        <v>0</v>
      </c>
      <c r="M25" s="260"/>
      <c r="N25" s="148" t="str">
        <f>IF(ISNUMBER(MATCH(plan!$C25, Tabla_Registro_Tareas1[Actividad], 0)),Indice_PROBLAM_Aux_Estado_Desarrollo,Indice_PROBLAM_Aux_Estado_SinIniciar)</f>
        <v>Sin iniciar</v>
      </c>
      <c r="O25" s="25"/>
      <c r="P25" s="25"/>
      <c r="Q25" s="96">
        <f>IF(P25&lt;&gt;"",1+INT((Tabla_Plan_Actividad[[#This Row],[Fecha de fin Ideal]]-Indice_Plan_FechaInicio)/7),)</f>
        <v>0</v>
      </c>
      <c r="R25" s="25" t="str" cm="1">
        <f t="array" ref="R25">IF(plan!$N25&lt;&gt;Indice_PROBLAM_Aux_Estado_SinIniciar,INDEX(cronograma!$F$4:$AN$4,1,_xlfn.XMATCH(TRUE,cronograma!$F27:$AN27&lt;&gt;0,0)),Indice_Aux_SinFecha)</f>
        <v>×</v>
      </c>
      <c r="S25" s="25" t="str" cm="1">
        <f t="array" ref="S25">IF(plan!$N25=Indice_PROBLAM_Aux_Estado_Finalizada,INDEX(cronograma!$F$4:$AL$4,1,_xlfn.XMATCH(TRUE,cronograma!$F27:$AL27&lt;&gt;0,0,-1)),Indice_Aux_SinFecha)</f>
        <v>×</v>
      </c>
      <c r="T25" s="64" cm="1">
        <f t="array" ref="T25">IF(S25&lt;&gt;Indice_Aux_SinFecha,1+INT((Tabla_Plan_Actividad[[#This Row],[Fecha de fin Real]]-Indice_Plan_FechaInicio)/7),)</f>
        <v>0</v>
      </c>
      <c r="U25" s="91">
        <f>SUMIFS(Tabla_Registro_Tareas_Agregada[Minutos],Tabla_Registro_Tareas_Agregada[Actividad],plan!$C25)/60</f>
        <v>0</v>
      </c>
      <c r="V25" s="113"/>
    </row>
    <row r="26" spans="2:22" ht="34.549999999999997" customHeight="1" x14ac:dyDescent="0.3">
      <c r="B26" s="22">
        <v>26</v>
      </c>
      <c r="C26" s="251"/>
      <c r="D26" s="187"/>
      <c r="E26" s="187"/>
      <c r="F26" s="194"/>
      <c r="G26" s="189"/>
      <c r="H26" s="24"/>
      <c r="I26" s="24">
        <f>Tabla_Plan_Actividad[[#This Row],[LPs individuales]]*Indice_PROBLAM_NumEstudiantes</f>
        <v>0</v>
      </c>
      <c r="J26" s="134"/>
      <c r="K26" s="135"/>
      <c r="L26" s="165">
        <f>IF(K26&lt;&gt;"",1+INT((Tabla_Plan_Actividad[[#This Row],[Fecha de fin Plan]]-Indice_Plan_FechaInicio)/7),)</f>
        <v>0</v>
      </c>
      <c r="M26" s="25"/>
      <c r="N26" s="148" t="str">
        <f>IF(ISNUMBER(MATCH(plan!$C26, Tabla_Registro_Tareas1[Actividad], 0)),Indice_PROBLAM_Aux_Estado_Desarrollo,Indice_PROBLAM_Aux_Estado_SinIniciar)</f>
        <v>Sin iniciar</v>
      </c>
      <c r="O26" s="25"/>
      <c r="P26" s="25"/>
      <c r="Q26" s="96">
        <f>IF(P26&lt;&gt;"",1+INT((Tabla_Plan_Actividad[[#This Row],[Fecha de fin Ideal]]-Indice_Plan_FechaInicio)/7),)</f>
        <v>0</v>
      </c>
      <c r="R26" s="25" t="str" cm="1">
        <f t="array" ref="R26">IF(plan!$N26&lt;&gt;Indice_PROBLAM_Aux_Estado_SinIniciar,INDEX(cronograma!$F$4:$AN$4,1,_xlfn.XMATCH(TRUE,cronograma!$F28:$AN28&lt;&gt;0,0)),Indice_Aux_SinFecha)</f>
        <v>×</v>
      </c>
      <c r="S26" s="25" t="str" cm="1">
        <f t="array" ref="S26">IF(plan!$N26=Indice_PROBLAM_Aux_Estado_Finalizada,INDEX(cronograma!$F$4:$AL$4,1,_xlfn.XMATCH(TRUE,cronograma!$F28:$AL28&lt;&gt;0,0,-1)),Indice_Aux_SinFecha)</f>
        <v>×</v>
      </c>
      <c r="T26" s="64" cm="1">
        <f t="array" ref="T26">IF(S26&lt;&gt;Indice_Aux_SinFecha,1+INT((Tabla_Plan_Actividad[[#This Row],[Fecha de fin Real]]-Indice_Plan_FechaInicio)/7),)</f>
        <v>0</v>
      </c>
      <c r="U26" s="91">
        <f>SUMIFS(Tabla_Registro_Tareas_Agregada[Minutos],Tabla_Registro_Tareas_Agregada[Actividad],plan!$C26)/60</f>
        <v>0</v>
      </c>
      <c r="V26" s="113"/>
    </row>
    <row r="27" spans="2:22" ht="34.549999999999997" customHeight="1" x14ac:dyDescent="0.3">
      <c r="B27" s="21">
        <v>27</v>
      </c>
      <c r="C27" s="251"/>
      <c r="D27" s="187"/>
      <c r="E27" s="187"/>
      <c r="F27" s="194"/>
      <c r="G27" s="189"/>
      <c r="H27" s="24"/>
      <c r="I27" s="24">
        <f>Tabla_Plan_Actividad[[#This Row],[LPs individuales]]*Indice_PROBLAM_NumEstudiantes</f>
        <v>0</v>
      </c>
      <c r="J27" s="134"/>
      <c r="K27" s="135"/>
      <c r="L27" s="165">
        <f>IF(K27&lt;&gt;"",1+INT((Tabla_Plan_Actividad[[#This Row],[Fecha de fin Plan]]-Indice_Plan_FechaInicio)/7),)</f>
        <v>0</v>
      </c>
      <c r="M27" s="25"/>
      <c r="N27" s="148" t="str">
        <f>IF(ISNUMBER(MATCH(plan!$C27, Tabla_Registro_Tareas1[Actividad], 0)),Indice_PROBLAM_Aux_Estado_Desarrollo,Indice_PROBLAM_Aux_Estado_SinIniciar)</f>
        <v>Sin iniciar</v>
      </c>
      <c r="O27" s="25"/>
      <c r="P27" s="25"/>
      <c r="Q27" s="96">
        <f>IF(P27&lt;&gt;"",1+INT((Tabla_Plan_Actividad[[#This Row],[Fecha de fin Ideal]]-Indice_Plan_FechaInicio)/7),)</f>
        <v>0</v>
      </c>
      <c r="R27" s="25" t="str" cm="1">
        <f t="array" ref="R27">IF(plan!$N27&lt;&gt;Indice_PROBLAM_Aux_Estado_SinIniciar,INDEX(cronograma!$F$4:$AN$4,1,_xlfn.XMATCH(TRUE,cronograma!$F29:$AN29&lt;&gt;0,0)),Indice_Aux_SinFecha)</f>
        <v>×</v>
      </c>
      <c r="S27" s="25" t="str" cm="1">
        <f t="array" ref="S27">IF(plan!$N27=Indice_PROBLAM_Aux_Estado_Finalizada,INDEX(cronograma!$F$4:$AL$4,1,_xlfn.XMATCH(TRUE,cronograma!$F29:$AL29&lt;&gt;0,0,-1)),Indice_Aux_SinFecha)</f>
        <v>×</v>
      </c>
      <c r="T27" s="64" cm="1">
        <f t="array" ref="T27">IF(S27&lt;&gt;Indice_Aux_SinFecha,1+INT((Tabla_Plan_Actividad[[#This Row],[Fecha de fin Real]]-Indice_Plan_FechaInicio)/7),)</f>
        <v>0</v>
      </c>
      <c r="U27" s="91">
        <f>SUMIFS(Tabla_Registro_Tareas_Agregada[Minutos],Tabla_Registro_Tareas_Agregada[Actividad],plan!$C27)/60</f>
        <v>0</v>
      </c>
      <c r="V27" s="113"/>
    </row>
    <row r="28" spans="2:22" ht="34.549999999999997" customHeight="1" x14ac:dyDescent="0.3">
      <c r="B28" s="22">
        <v>28</v>
      </c>
      <c r="C28" s="252"/>
      <c r="D28" s="187"/>
      <c r="E28" s="187"/>
      <c r="F28" s="194"/>
      <c r="G28" s="189"/>
      <c r="H28" s="24"/>
      <c r="I28" s="24">
        <f>Tabla_Plan_Actividad[[#This Row],[LPs individuales]]*Indice_PROBLAM_NumEstudiantes</f>
        <v>0</v>
      </c>
      <c r="J28" s="134"/>
      <c r="K28" s="135"/>
      <c r="L28" s="165">
        <f>IF(K28&lt;&gt;"",1+INT((Tabla_Plan_Actividad[[#This Row],[Fecha de fin Plan]]-Indice_Plan_FechaInicio)/7),)</f>
        <v>0</v>
      </c>
      <c r="M28" s="25"/>
      <c r="N28" s="148" t="str">
        <f>IF(ISNUMBER(MATCH(plan!$C28, Tabla_Registro_Tareas1[Actividad], 0)),Indice_PROBLAM_Aux_Estado_Desarrollo,Indice_PROBLAM_Aux_Estado_SinIniciar)</f>
        <v>Sin iniciar</v>
      </c>
      <c r="O28" s="25"/>
      <c r="P28" s="25"/>
      <c r="Q28" s="96">
        <f>IF(P28&lt;&gt;"",1+INT((Tabla_Plan_Actividad[[#This Row],[Fecha de fin Ideal]]-Indice_Plan_FechaInicio)/7),)</f>
        <v>0</v>
      </c>
      <c r="R28" s="25" t="str" cm="1">
        <f t="array" ref="R28">IF(plan!$N28&lt;&gt;Indice_PROBLAM_Aux_Estado_SinIniciar,INDEX(cronograma!$F$4:$AN$4,1,_xlfn.XMATCH(TRUE,cronograma!$F30:$AN30&lt;&gt;0,0)),Indice_Aux_SinFecha)</f>
        <v>×</v>
      </c>
      <c r="S28" s="25" t="str" cm="1">
        <f t="array" ref="S28">IF(plan!$N28=Indice_PROBLAM_Aux_Estado_Finalizada,INDEX(cronograma!$F$4:$AL$4,1,_xlfn.XMATCH(TRUE,cronograma!$F30:$AL30&lt;&gt;0,0,-1)),Indice_Aux_SinFecha)</f>
        <v>×</v>
      </c>
      <c r="T28" s="64" cm="1">
        <f t="array" ref="T28">IF(S28&lt;&gt;Indice_Aux_SinFecha,1+INT((Tabla_Plan_Actividad[[#This Row],[Fecha de fin Real]]-Indice_Plan_FechaInicio)/7),)</f>
        <v>0</v>
      </c>
      <c r="U28" s="91">
        <f>SUMIFS(Tabla_Registro_Tareas_Agregada[Minutos],Tabla_Registro_Tareas_Agregada[Actividad],plan!$C28)/60</f>
        <v>0</v>
      </c>
      <c r="V28" s="113"/>
    </row>
    <row r="29" spans="2:22" ht="34.549999999999997" customHeight="1" x14ac:dyDescent="0.3">
      <c r="B29" s="21">
        <v>29</v>
      </c>
      <c r="C29" s="251"/>
      <c r="D29" s="187"/>
      <c r="E29" s="187"/>
      <c r="F29" s="194"/>
      <c r="G29" s="253"/>
      <c r="H29" s="24"/>
      <c r="I29" s="24">
        <f>Tabla_Plan_Actividad[[#This Row],[LPs individuales]]*Indice_PROBLAM_NumEstudiantes</f>
        <v>0</v>
      </c>
      <c r="J29" s="134"/>
      <c r="K29" s="135"/>
      <c r="L29" s="165">
        <f>IF(K29&lt;&gt;"",1+INT((Tabla_Plan_Actividad[[#This Row],[Fecha de fin Plan]]-Indice_Plan_FechaInicio)/7),)</f>
        <v>0</v>
      </c>
      <c r="M29" s="25"/>
      <c r="N29" s="148" t="str">
        <f>IF(ISNUMBER(MATCH(plan!$C29, Tabla_Registro_Tareas1[Actividad], 0)),Indice_PROBLAM_Aux_Estado_Desarrollo,Indice_PROBLAM_Aux_Estado_SinIniciar)</f>
        <v>Sin iniciar</v>
      </c>
      <c r="O29" s="25"/>
      <c r="P29" s="25"/>
      <c r="Q29" s="96">
        <f>IF(P29&lt;&gt;"",1+INT((Tabla_Plan_Actividad[[#This Row],[Fecha de fin Ideal]]-Indice_Plan_FechaInicio)/7),)</f>
        <v>0</v>
      </c>
      <c r="R29" s="25" t="str" cm="1">
        <f t="array" ref="R29">IF(plan!$N29&lt;&gt;Indice_PROBLAM_Aux_Estado_SinIniciar,INDEX(cronograma!$F$4:$AN$4,1,_xlfn.XMATCH(TRUE,cronograma!$F31:$AN31&lt;&gt;0,0)),Indice_Aux_SinFecha)</f>
        <v>×</v>
      </c>
      <c r="S29" s="25" t="str" cm="1">
        <f t="array" ref="S29">IF(plan!$N29=Indice_PROBLAM_Aux_Estado_Finalizada,INDEX(cronograma!$F$4:$AL$4,1,_xlfn.XMATCH(TRUE,cronograma!$F31:$AL31&lt;&gt;0,0,-1)),Indice_Aux_SinFecha)</f>
        <v>×</v>
      </c>
      <c r="T29" s="64" cm="1">
        <f t="array" ref="T29">IF(S29&lt;&gt;Indice_Aux_SinFecha,1+INT((Tabla_Plan_Actividad[[#This Row],[Fecha de fin Real]]-Indice_Plan_FechaInicio)/7),)</f>
        <v>0</v>
      </c>
      <c r="U29" s="91">
        <f>SUMIFS(Tabla_Registro_Tareas_Agregada[Minutos],Tabla_Registro_Tareas_Agregada[Actividad],plan!$C29)/60</f>
        <v>0</v>
      </c>
      <c r="V29" s="113"/>
    </row>
    <row r="30" spans="2:22" ht="34.549999999999997" customHeight="1" x14ac:dyDescent="0.3">
      <c r="B30" s="22">
        <v>30</v>
      </c>
      <c r="C30" s="251"/>
      <c r="D30" s="187"/>
      <c r="E30" s="187"/>
      <c r="F30" s="194"/>
      <c r="G30" s="189"/>
      <c r="H30" s="24"/>
      <c r="I30" s="24">
        <f>Tabla_Plan_Actividad[[#This Row],[LPs individuales]]*Indice_PROBLAM_NumEstudiantes</f>
        <v>0</v>
      </c>
      <c r="J30" s="134"/>
      <c r="K30" s="135"/>
      <c r="L30" s="165">
        <f>IF(K30&lt;&gt;"",1+INT((Tabla_Plan_Actividad[[#This Row],[Fecha de fin Plan]]-Indice_Plan_FechaInicio)/7),)</f>
        <v>0</v>
      </c>
      <c r="M30" s="25"/>
      <c r="N30" s="148" t="str">
        <f>IF(ISNUMBER(MATCH(plan!$C30, Tabla_Registro_Tareas1[Actividad], 0)),Indice_PROBLAM_Aux_Estado_Desarrollo,Indice_PROBLAM_Aux_Estado_SinIniciar)</f>
        <v>Sin iniciar</v>
      </c>
      <c r="O30" s="25"/>
      <c r="P30" s="25"/>
      <c r="Q30" s="96">
        <f>IF(P30&lt;&gt;"",1+INT((Tabla_Plan_Actividad[[#This Row],[Fecha de fin Ideal]]-Indice_Plan_FechaInicio)/7),)</f>
        <v>0</v>
      </c>
      <c r="R30" s="25" t="str" cm="1">
        <f t="array" ref="R30">IF(plan!$N30&lt;&gt;Indice_PROBLAM_Aux_Estado_SinIniciar,INDEX(cronograma!$F$4:$AN$4,1,_xlfn.XMATCH(TRUE,cronograma!$F32:$AN32&lt;&gt;0,0)),Indice_Aux_SinFecha)</f>
        <v>×</v>
      </c>
      <c r="S30" s="25" t="str" cm="1">
        <f t="array" ref="S30">IF(plan!$N30=Indice_PROBLAM_Aux_Estado_Finalizada,INDEX(cronograma!$F$4:$AL$4,1,_xlfn.XMATCH(TRUE,cronograma!$F32:$AL32&lt;&gt;0,0,-1)),Indice_Aux_SinFecha)</f>
        <v>×</v>
      </c>
      <c r="T30" s="64" cm="1">
        <f t="array" ref="T30">IF(S30&lt;&gt;Indice_Aux_SinFecha,1+INT((Tabla_Plan_Actividad[[#This Row],[Fecha de fin Real]]-Indice_Plan_FechaInicio)/7),)</f>
        <v>0</v>
      </c>
      <c r="U30" s="91">
        <f>SUMIFS(Tabla_Registro_Tareas_Agregada[Minutos],Tabla_Registro_Tareas_Agregada[Actividad],plan!$C30)/60</f>
        <v>0</v>
      </c>
      <c r="V30" s="113"/>
    </row>
    <row r="31" spans="2:22" ht="34.549999999999997" customHeight="1" x14ac:dyDescent="0.3">
      <c r="B31" s="21">
        <v>31</v>
      </c>
      <c r="C31" s="252"/>
      <c r="D31" s="187"/>
      <c r="E31" s="187"/>
      <c r="F31" s="194"/>
      <c r="G31" s="189"/>
      <c r="H31" s="24"/>
      <c r="I31" s="24">
        <f>Tabla_Plan_Actividad[[#This Row],[LPs individuales]]*Indice_PROBLAM_NumEstudiantes</f>
        <v>0</v>
      </c>
      <c r="J31" s="134"/>
      <c r="K31" s="135"/>
      <c r="L31" s="165">
        <f>IF(K31&lt;&gt;"",1+INT((Tabla_Plan_Actividad[[#This Row],[Fecha de fin Plan]]-Indice_Plan_FechaInicio)/7),)</f>
        <v>0</v>
      </c>
      <c r="M31" s="25"/>
      <c r="N31" s="148" t="str">
        <f>IF(ISNUMBER(MATCH(plan!$C31, Tabla_Registro_Tareas1[Actividad], 0)),Indice_PROBLAM_Aux_Estado_Desarrollo,Indice_PROBLAM_Aux_Estado_SinIniciar)</f>
        <v>Sin iniciar</v>
      </c>
      <c r="O31" s="25"/>
      <c r="P31" s="34"/>
      <c r="Q31" s="96">
        <f>IF(P31&lt;&gt;"",1+INT((Tabla_Plan_Actividad[[#This Row],[Fecha de fin Ideal]]-Indice_Plan_FechaInicio)/7),)</f>
        <v>0</v>
      </c>
      <c r="R31" s="25" t="str" cm="1">
        <f t="array" ref="R31">IF(plan!$N31&lt;&gt;Indice_PROBLAM_Aux_Estado_SinIniciar,INDEX(cronograma!$F$4:$AN$4,1,_xlfn.XMATCH(TRUE,cronograma!$F33:$AN33&lt;&gt;0,0)),Indice_Aux_SinFecha)</f>
        <v>×</v>
      </c>
      <c r="S31" s="25" t="str" cm="1">
        <f t="array" ref="S31">IF(plan!$N31=Indice_PROBLAM_Aux_Estado_Finalizada,INDEX(cronograma!$F$4:$AL$4,1,_xlfn.XMATCH(TRUE,cronograma!$F33:$AL33&lt;&gt;0,0,-1)),Indice_Aux_SinFecha)</f>
        <v>×</v>
      </c>
      <c r="T31" s="64" cm="1">
        <f t="array" ref="T31">IF(S31&lt;&gt;Indice_Aux_SinFecha,1+INT((Tabla_Plan_Actividad[[#This Row],[Fecha de fin Real]]-Indice_Plan_FechaInicio)/7),)</f>
        <v>0</v>
      </c>
      <c r="U31" s="91">
        <f>SUMIFS(Tabla_Registro_Tareas_Agregada[Minutos],Tabla_Registro_Tareas_Agregada[Actividad],plan!$C31)/60</f>
        <v>0</v>
      </c>
      <c r="V31" s="113"/>
    </row>
    <row r="32" spans="2:22" ht="34.549999999999997" customHeight="1" x14ac:dyDescent="0.3">
      <c r="B32" s="22">
        <v>32</v>
      </c>
      <c r="C32" s="254"/>
      <c r="D32" s="186"/>
      <c r="E32" s="187"/>
      <c r="F32" s="194"/>
      <c r="G32" s="255"/>
      <c r="H32" s="24"/>
      <c r="I32" s="24">
        <f>Tabla_Plan_Actividad[[#This Row],[LPs individuales]]*Indice_PROBLAM_NumEstudiantes</f>
        <v>0</v>
      </c>
      <c r="J32" s="134"/>
      <c r="K32" s="135"/>
      <c r="L32" s="165">
        <f>IF(K32&lt;&gt;"",1+INT((Tabla_Plan_Actividad[[#This Row],[Fecha de fin Plan]]-Indice_Plan_FechaInicio)/7),)</f>
        <v>0</v>
      </c>
      <c r="M32" s="25"/>
      <c r="N32" s="148" t="str">
        <f>IF(ISNUMBER(MATCH(plan!$C32, Tabla_Registro_Tareas1[Actividad], 0)),Indice_PROBLAM_Aux_Estado_Desarrollo,Indice_PROBLAM_Aux_Estado_SinIniciar)</f>
        <v>Sin iniciar</v>
      </c>
      <c r="O32" s="25"/>
      <c r="P32" s="25"/>
      <c r="Q32" s="96">
        <f>IF(P32&lt;&gt;"",1+INT((Tabla_Plan_Actividad[[#This Row],[Fecha de fin Ideal]]-Indice_Plan_FechaInicio)/7),)</f>
        <v>0</v>
      </c>
      <c r="R32" s="25" t="str" cm="1">
        <f t="array" ref="R32">IF(plan!$N32&lt;&gt;Indice_PROBLAM_Aux_Estado_SinIniciar,INDEX(cronograma!$F$4:$AN$4,1,_xlfn.XMATCH(TRUE,cronograma!$F34:$AN34&lt;&gt;0,0)),Indice_Aux_SinFecha)</f>
        <v>×</v>
      </c>
      <c r="S32" s="25" t="str" cm="1">
        <f t="array" ref="S32">IF(plan!$N32=Indice_PROBLAM_Aux_Estado_Finalizada,INDEX(cronograma!$F$4:$AL$4,1,_xlfn.XMATCH(TRUE,cronograma!$F34:$AL34&lt;&gt;0,0,-1)),Indice_Aux_SinFecha)</f>
        <v>×</v>
      </c>
      <c r="T32" s="64" cm="1">
        <f t="array" ref="T32">IF(S32&lt;&gt;Indice_Aux_SinFecha,1+INT((Tabla_Plan_Actividad[[#This Row],[Fecha de fin Real]]-Indice_Plan_FechaInicio)/7),)</f>
        <v>0</v>
      </c>
      <c r="U32" s="91">
        <f>SUMIFS(Tabla_Registro_Tareas_Agregada[Minutos],Tabla_Registro_Tareas_Agregada[Actividad],plan!$C32)/60</f>
        <v>0</v>
      </c>
      <c r="V32" s="113"/>
    </row>
    <row r="33" spans="2:22" ht="34.549999999999997" customHeight="1" x14ac:dyDescent="0.3">
      <c r="B33" s="21">
        <v>33</v>
      </c>
      <c r="C33" s="251"/>
      <c r="D33" s="187"/>
      <c r="E33" s="187"/>
      <c r="F33" s="194"/>
      <c r="G33" s="189"/>
      <c r="H33" s="24"/>
      <c r="I33" s="24">
        <f>Tabla_Plan_Actividad[[#This Row],[LPs individuales]]*Indice_PROBLAM_NumEstudiantes</f>
        <v>0</v>
      </c>
      <c r="J33" s="134"/>
      <c r="K33" s="135"/>
      <c r="L33" s="165">
        <f>IF(K33&lt;&gt;"",1+INT((Tabla_Plan_Actividad[[#This Row],[Fecha de fin Plan]]-Indice_Plan_FechaInicio)/7),)</f>
        <v>0</v>
      </c>
      <c r="M33" s="25"/>
      <c r="N33" s="148" t="str">
        <f>IF(ISNUMBER(MATCH(plan!$C33, Tabla_Registro_Tareas1[Actividad], 0)),Indice_PROBLAM_Aux_Estado_Desarrollo,Indice_PROBLAM_Aux_Estado_SinIniciar)</f>
        <v>Sin iniciar</v>
      </c>
      <c r="O33" s="25"/>
      <c r="P33" s="25"/>
      <c r="Q33" s="96">
        <f>IF(P33&lt;&gt;"",1+INT((Tabla_Plan_Actividad[[#This Row],[Fecha de fin Ideal]]-Indice_Plan_FechaInicio)/7),)</f>
        <v>0</v>
      </c>
      <c r="R33" s="25" t="str" cm="1">
        <f t="array" ref="R33">IF(plan!$N33&lt;&gt;Indice_PROBLAM_Aux_Estado_SinIniciar,INDEX(cronograma!$F$4:$AN$4,1,_xlfn.XMATCH(TRUE,cronograma!$F35:$AN35&lt;&gt;0,0)),Indice_Aux_SinFecha)</f>
        <v>×</v>
      </c>
      <c r="S33" s="25" t="str" cm="1">
        <f t="array" ref="S33">IF(plan!$N33=Indice_PROBLAM_Aux_Estado_Finalizada,INDEX(cronograma!$F$4:$AL$4,1,_xlfn.XMATCH(TRUE,cronograma!$F35:$AL35&lt;&gt;0,0,-1)),Indice_Aux_SinFecha)</f>
        <v>×</v>
      </c>
      <c r="T33" s="64" cm="1">
        <f t="array" ref="T33">IF(S33&lt;&gt;Indice_Aux_SinFecha,1+INT((Tabla_Plan_Actividad[[#This Row],[Fecha de fin Real]]-Indice_Plan_FechaInicio)/7),)</f>
        <v>0</v>
      </c>
      <c r="U33" s="91">
        <f>SUMIFS(Tabla_Registro_Tareas_Agregada[Minutos],Tabla_Registro_Tareas_Agregada[Actividad],plan!$C33)/60</f>
        <v>0</v>
      </c>
      <c r="V33" s="113"/>
    </row>
    <row r="34" spans="2:22" ht="34.549999999999997" customHeight="1" x14ac:dyDescent="0.3">
      <c r="B34" s="22">
        <v>34</v>
      </c>
      <c r="C34" s="251"/>
      <c r="D34" s="187"/>
      <c r="E34" s="187"/>
      <c r="F34" s="194"/>
      <c r="G34" s="189"/>
      <c r="H34" s="24"/>
      <c r="I34" s="24">
        <f>Tabla_Plan_Actividad[[#This Row],[LPs individuales]]*Indice_PROBLAM_NumEstudiantes</f>
        <v>0</v>
      </c>
      <c r="J34" s="134"/>
      <c r="K34" s="135"/>
      <c r="L34" s="165">
        <f>IF(K34&lt;&gt;"",1+INT((Tabla_Plan_Actividad[[#This Row],[Fecha de fin Plan]]-Indice_Plan_FechaInicio)/7),)</f>
        <v>0</v>
      </c>
      <c r="M34" s="25"/>
      <c r="N34" s="148" t="str">
        <f>IF(ISNUMBER(MATCH(plan!$C34, Tabla_Registro_Tareas1[Actividad], 0)),Indice_PROBLAM_Aux_Estado_Desarrollo,Indice_PROBLAM_Aux_Estado_SinIniciar)</f>
        <v>Sin iniciar</v>
      </c>
      <c r="O34" s="25"/>
      <c r="P34" s="25"/>
      <c r="Q34" s="96">
        <f>IF(P34&lt;&gt;"",1+INT((Tabla_Plan_Actividad[[#This Row],[Fecha de fin Ideal]]-Indice_Plan_FechaInicio)/7),)</f>
        <v>0</v>
      </c>
      <c r="R34" s="25" t="str" cm="1">
        <f t="array" ref="R34">IF(plan!$N34&lt;&gt;Indice_PROBLAM_Aux_Estado_SinIniciar,INDEX(cronograma!$F$4:$AN$4,1,_xlfn.XMATCH(TRUE,cronograma!$F36:$AN36&lt;&gt;0,0)),Indice_Aux_SinFecha)</f>
        <v>×</v>
      </c>
      <c r="S34" s="25" t="str" cm="1">
        <f t="array" ref="S34">IF(plan!$N34=Indice_PROBLAM_Aux_Estado_Finalizada,INDEX(cronograma!$F$4:$AL$4,1,_xlfn.XMATCH(TRUE,cronograma!$F36:$AL36&lt;&gt;0,0,-1)),Indice_Aux_SinFecha)</f>
        <v>×</v>
      </c>
      <c r="T34" s="64" cm="1">
        <f t="array" ref="T34">IF(S34&lt;&gt;Indice_Aux_SinFecha,1+INT((Tabla_Plan_Actividad[[#This Row],[Fecha de fin Real]]-Indice_Plan_FechaInicio)/7),)</f>
        <v>0</v>
      </c>
      <c r="U34" s="91">
        <f>SUMIFS(Tabla_Registro_Tareas_Agregada[Minutos],Tabla_Registro_Tareas_Agregada[Actividad],plan!$C34)/60</f>
        <v>0</v>
      </c>
      <c r="V34" s="113"/>
    </row>
    <row r="35" spans="2:22" ht="34.549999999999997" customHeight="1" x14ac:dyDescent="0.3">
      <c r="B35" s="21">
        <v>35</v>
      </c>
      <c r="C35" s="251"/>
      <c r="D35" s="187"/>
      <c r="E35" s="187"/>
      <c r="F35" s="194"/>
      <c r="G35" s="189"/>
      <c r="H35" s="24"/>
      <c r="I35" s="24">
        <f>Tabla_Plan_Actividad[[#This Row],[LPs individuales]]*Indice_PROBLAM_NumEstudiantes</f>
        <v>0</v>
      </c>
      <c r="J35" s="134"/>
      <c r="K35" s="135"/>
      <c r="L35" s="165">
        <f>IF(K35&lt;&gt;"",1+INT((Tabla_Plan_Actividad[[#This Row],[Fecha de fin Plan]]-Indice_Plan_FechaInicio)/7),)</f>
        <v>0</v>
      </c>
      <c r="M35" s="25"/>
      <c r="N35" s="148" t="str">
        <f>IF(ISNUMBER(MATCH(plan!$C35, Tabla_Registro_Tareas1[Actividad], 0)),Indice_PROBLAM_Aux_Estado_Desarrollo,Indice_PROBLAM_Aux_Estado_SinIniciar)</f>
        <v>Sin iniciar</v>
      </c>
      <c r="O35" s="25"/>
      <c r="P35" s="25"/>
      <c r="Q35" s="96">
        <f>IF(P35&lt;&gt;"",1+INT((Tabla_Plan_Actividad[[#This Row],[Fecha de fin Ideal]]-Indice_Plan_FechaInicio)/7),)</f>
        <v>0</v>
      </c>
      <c r="R35" s="25" t="str" cm="1">
        <f t="array" ref="R35">IF(plan!$N35&lt;&gt;Indice_PROBLAM_Aux_Estado_SinIniciar,INDEX(cronograma!$F$4:$AN$4,1,_xlfn.XMATCH(TRUE,cronograma!$F37:$AN37&lt;&gt;0,0)),Indice_Aux_SinFecha)</f>
        <v>×</v>
      </c>
      <c r="S35" s="25" t="str" cm="1">
        <f t="array" ref="S35">IF(plan!$N35=Indice_PROBLAM_Aux_Estado_Finalizada,INDEX(cronograma!$F$4:$AL$4,1,_xlfn.XMATCH(TRUE,cronograma!$F37:$AL37&lt;&gt;0,0,-1)),Indice_Aux_SinFecha)</f>
        <v>×</v>
      </c>
      <c r="T35" s="64" cm="1">
        <f t="array" ref="T35">IF(S35&lt;&gt;Indice_Aux_SinFecha,1+INT((Tabla_Plan_Actividad[[#This Row],[Fecha de fin Real]]-Indice_Plan_FechaInicio)/7),)</f>
        <v>0</v>
      </c>
      <c r="U35" s="91">
        <f>SUMIFS(Tabla_Registro_Tareas_Agregada[Minutos],Tabla_Registro_Tareas_Agregada[Actividad],plan!$C35)/60</f>
        <v>0</v>
      </c>
      <c r="V35" s="113"/>
    </row>
    <row r="36" spans="2:22" ht="34.549999999999997" customHeight="1" x14ac:dyDescent="0.3">
      <c r="B36" s="22">
        <v>36</v>
      </c>
      <c r="C36" s="252"/>
      <c r="D36" s="187"/>
      <c r="E36" s="187"/>
      <c r="F36" s="194"/>
      <c r="G36" s="189"/>
      <c r="H36" s="24"/>
      <c r="I36" s="24">
        <f>Tabla_Plan_Actividad[[#This Row],[LPs individuales]]*Indice_PROBLAM_NumEstudiantes</f>
        <v>0</v>
      </c>
      <c r="J36" s="134"/>
      <c r="K36" s="135"/>
      <c r="L36" s="165">
        <f>IF(K36&lt;&gt;"",1+INT((Tabla_Plan_Actividad[[#This Row],[Fecha de fin Plan]]-Indice_Plan_FechaInicio)/7),)</f>
        <v>0</v>
      </c>
      <c r="M36" s="25"/>
      <c r="N36" s="148" t="str">
        <f>IF(ISNUMBER(MATCH(plan!$C36, Tabla_Registro_Tareas1[Actividad], 0)),Indice_PROBLAM_Aux_Estado_Desarrollo,Indice_PROBLAM_Aux_Estado_SinIniciar)</f>
        <v>Sin iniciar</v>
      </c>
      <c r="O36" s="25"/>
      <c r="P36" s="34"/>
      <c r="Q36" s="96">
        <f>IF(P36&lt;&gt;"",1+INT((Tabla_Plan_Actividad[[#This Row],[Fecha de fin Ideal]]-Indice_Plan_FechaInicio)/7),)</f>
        <v>0</v>
      </c>
      <c r="R36" s="25" t="str" cm="1">
        <f t="array" ref="R36">IF(plan!$N36&lt;&gt;Indice_PROBLAM_Aux_Estado_SinIniciar,INDEX(cronograma!$F$4:$AN$4,1,_xlfn.XMATCH(TRUE,cronograma!$F38:$AN38&lt;&gt;0,0)),Indice_Aux_SinFecha)</f>
        <v>×</v>
      </c>
      <c r="S36" s="25" t="str" cm="1">
        <f t="array" ref="S36">IF(plan!$N36=Indice_PROBLAM_Aux_Estado_Finalizada,INDEX(cronograma!$F$4:$AL$4,1,_xlfn.XMATCH(TRUE,cronograma!$F38:$AL38&lt;&gt;0,0,-1)),Indice_Aux_SinFecha)</f>
        <v>×</v>
      </c>
      <c r="T36" s="64" cm="1">
        <f t="array" ref="T36">IF(S36&lt;&gt;Indice_Aux_SinFecha,1+INT((Tabla_Plan_Actividad[[#This Row],[Fecha de fin Real]]-Indice_Plan_FechaInicio)/7),)</f>
        <v>0</v>
      </c>
      <c r="U36" s="91">
        <f>SUMIFS(Tabla_Registro_Tareas_Agregada[Minutos],Tabla_Registro_Tareas_Agregada[Actividad],plan!$C36)/60</f>
        <v>0</v>
      </c>
      <c r="V36" s="113"/>
    </row>
    <row r="37" spans="2:22" ht="34.549999999999997" customHeight="1" x14ac:dyDescent="0.3">
      <c r="B37" s="21">
        <v>37</v>
      </c>
      <c r="C37" s="254"/>
      <c r="D37" s="187"/>
      <c r="E37" s="187"/>
      <c r="F37" s="194"/>
      <c r="G37" s="255"/>
      <c r="H37" s="24"/>
      <c r="I37" s="24">
        <f>Tabla_Plan_Actividad[[#This Row],[LPs individuales]]*Indice_PROBLAM_NumEstudiantes</f>
        <v>0</v>
      </c>
      <c r="J37" s="134"/>
      <c r="K37" s="135"/>
      <c r="L37" s="165">
        <f>IF(K37&lt;&gt;"",1+INT((Tabla_Plan_Actividad[[#This Row],[Fecha de fin Plan]]-Indice_Plan_FechaInicio)/7),)</f>
        <v>0</v>
      </c>
      <c r="M37" s="25"/>
      <c r="N37" s="148" t="str">
        <f>IF(ISNUMBER(MATCH(plan!$C37, Tabla_Registro_Tareas1[Actividad], 0)),Indice_PROBLAM_Aux_Estado_Desarrollo,Indice_PROBLAM_Aux_Estado_SinIniciar)</f>
        <v>Sin iniciar</v>
      </c>
      <c r="O37" s="25"/>
      <c r="P37" s="25"/>
      <c r="Q37" s="96">
        <f>IF(P37&lt;&gt;"",1+INT((Tabla_Plan_Actividad[[#This Row],[Fecha de fin Ideal]]-Indice_Plan_FechaInicio)/7),)</f>
        <v>0</v>
      </c>
      <c r="R37" s="25" t="str" cm="1">
        <f t="array" ref="R37">IF(plan!$N37&lt;&gt;Indice_PROBLAM_Aux_Estado_SinIniciar,INDEX(cronograma!$F$4:$AN$4,1,_xlfn.XMATCH(TRUE,cronograma!$F39:$AN39&lt;&gt;0,0)),Indice_Aux_SinFecha)</f>
        <v>×</v>
      </c>
      <c r="S37" s="25" t="str" cm="1">
        <f t="array" ref="S37">IF(plan!$N37=Indice_PROBLAM_Aux_Estado_Finalizada,INDEX(cronograma!$F$4:$AL$4,1,_xlfn.XMATCH(TRUE,cronograma!$F39:$AL39&lt;&gt;0,0,-1)),Indice_Aux_SinFecha)</f>
        <v>×</v>
      </c>
      <c r="T37" s="64" cm="1">
        <f t="array" ref="T37">IF(S37&lt;&gt;Indice_Aux_SinFecha,1+INT((Tabla_Plan_Actividad[[#This Row],[Fecha de fin Real]]-Indice_Plan_FechaInicio)/7),)</f>
        <v>0</v>
      </c>
      <c r="U37" s="91">
        <f>SUMIFS(Tabla_Registro_Tareas_Agregada[Minutos],Tabla_Registro_Tareas_Agregada[Actividad],plan!$C37)/60</f>
        <v>0</v>
      </c>
      <c r="V37" s="113"/>
    </row>
    <row r="38" spans="2:22" ht="34.549999999999997" customHeight="1" x14ac:dyDescent="0.3">
      <c r="B38" s="22">
        <v>38</v>
      </c>
      <c r="C38" s="256"/>
      <c r="D38" s="187"/>
      <c r="E38" s="187"/>
      <c r="F38" s="194"/>
      <c r="G38" s="189"/>
      <c r="H38" s="24"/>
      <c r="I38" s="24">
        <f>Tabla_Plan_Actividad[[#This Row],[LPs individuales]]*Indice_PROBLAM_NumEstudiantes</f>
        <v>0</v>
      </c>
      <c r="J38" s="134"/>
      <c r="K38" s="135"/>
      <c r="L38" s="165">
        <f>IF(K38&lt;&gt;"",1+INT((Tabla_Plan_Actividad[[#This Row],[Fecha de fin Plan]]-Indice_Plan_FechaInicio)/7),)</f>
        <v>0</v>
      </c>
      <c r="M38" s="25"/>
      <c r="N38" s="148" t="str">
        <f>IF(ISNUMBER(MATCH(plan!$C38, Tabla_Registro_Tareas1[Actividad], 0)),Indice_PROBLAM_Aux_Estado_Desarrollo,Indice_PROBLAM_Aux_Estado_SinIniciar)</f>
        <v>Sin iniciar</v>
      </c>
      <c r="O38" s="25"/>
      <c r="P38" s="25"/>
      <c r="Q38" s="96">
        <f>IF(P38&lt;&gt;"",1+INT((Tabla_Plan_Actividad[[#This Row],[Fecha de fin Ideal]]-Indice_Plan_FechaInicio)/7),)</f>
        <v>0</v>
      </c>
      <c r="R38" s="25" t="str" cm="1">
        <f t="array" ref="R38">IF(plan!$N38&lt;&gt;Indice_PROBLAM_Aux_Estado_SinIniciar,INDEX(cronograma!$F$4:$AN$4,1,_xlfn.XMATCH(TRUE,cronograma!$F40:$AN40&lt;&gt;0,0)),Indice_Aux_SinFecha)</f>
        <v>×</v>
      </c>
      <c r="S38" s="25" t="str" cm="1">
        <f t="array" ref="S38">IF(plan!$N38=Indice_PROBLAM_Aux_Estado_Finalizada,INDEX(cronograma!$F$4:$AL$4,1,_xlfn.XMATCH(TRUE,cronograma!$F40:$AL40&lt;&gt;0,0,-1)),Indice_Aux_SinFecha)</f>
        <v>×</v>
      </c>
      <c r="T38" s="64" cm="1">
        <f t="array" ref="T38">IF(S38&lt;&gt;Indice_Aux_SinFecha,1+INT((Tabla_Plan_Actividad[[#This Row],[Fecha de fin Real]]-Indice_Plan_FechaInicio)/7),)</f>
        <v>0</v>
      </c>
      <c r="U38" s="91">
        <f>SUMIFS(Tabla_Registro_Tareas_Agregada[Minutos],Tabla_Registro_Tareas_Agregada[Actividad],plan!$C38)/60</f>
        <v>0</v>
      </c>
      <c r="V38" s="113"/>
    </row>
    <row r="39" spans="2:22" ht="34.549999999999997" customHeight="1" x14ac:dyDescent="0.3">
      <c r="B39" s="21">
        <v>39</v>
      </c>
      <c r="C39" s="152"/>
      <c r="D39" s="27"/>
      <c r="E39" s="23"/>
      <c r="F39" s="28"/>
      <c r="G39" s="94"/>
      <c r="H39" s="24"/>
      <c r="I39" s="24">
        <f>Tabla_Plan_Actividad[[#This Row],[LPs individuales]]*Indice_PROBLAM_NumEstudiantes</f>
        <v>0</v>
      </c>
      <c r="J39" s="134"/>
      <c r="K39" s="135"/>
      <c r="L39" s="165">
        <f>IF(K39&lt;&gt;"",1+INT((Tabla_Plan_Actividad[[#This Row],[Fecha de fin Plan]]-Indice_Plan_FechaInicio)/7),)</f>
        <v>0</v>
      </c>
      <c r="M39" s="25"/>
      <c r="N39" s="148" t="str">
        <f>IF(ISNUMBER(MATCH(plan!$C39, Tabla_Registro_Tareas1[Actividad], 0)),Indice_PROBLAM_Aux_Estado_Desarrollo,Indice_PROBLAM_Aux_Estado_SinIniciar)</f>
        <v>Sin iniciar</v>
      </c>
      <c r="O39" s="25"/>
      <c r="P39" s="25"/>
      <c r="Q39" s="96">
        <f>IF(P39&lt;&gt;"",1+INT((Tabla_Plan_Actividad[[#This Row],[Fecha de fin Ideal]]-Indice_Plan_FechaInicio)/7),)</f>
        <v>0</v>
      </c>
      <c r="R39" s="25" t="str" cm="1">
        <f t="array" ref="R39">IF(plan!$N39&lt;&gt;Indice_PROBLAM_Aux_Estado_SinIniciar,INDEX(cronograma!$F$4:$AN$4,1,_xlfn.XMATCH(TRUE,cronograma!$F41:$AN41&lt;&gt;0,0)),Indice_Aux_SinFecha)</f>
        <v>×</v>
      </c>
      <c r="S39" s="25" t="str" cm="1">
        <f t="array" ref="S39">IF(plan!$N39=Indice_PROBLAM_Aux_Estado_Finalizada,INDEX(cronograma!$F$4:$AL$4,1,_xlfn.XMATCH(TRUE,cronograma!$F41:$AL41&lt;&gt;0,0,-1)),Indice_Aux_SinFecha)</f>
        <v>×</v>
      </c>
      <c r="T39" s="64" cm="1">
        <f t="array" ref="T39">IF(S39&lt;&gt;Indice_Aux_SinFecha,1+INT((Tabla_Plan_Actividad[[#This Row],[Fecha de fin Real]]-Indice_Plan_FechaInicio)/7),)</f>
        <v>0</v>
      </c>
      <c r="U39" s="91">
        <f>SUMIFS(Tabla_Registro_Tareas_Agregada[Minutos],Tabla_Registro_Tareas_Agregada[Actividad],plan!$C39)/60</f>
        <v>0</v>
      </c>
      <c r="V39" s="113"/>
    </row>
    <row r="40" spans="2:22" ht="34.200000000000003" customHeight="1" x14ac:dyDescent="0.3">
      <c r="B40" s="22">
        <v>40</v>
      </c>
      <c r="C40" s="153"/>
      <c r="D40" s="27"/>
      <c r="E40" s="23"/>
      <c r="F40" s="29"/>
      <c r="G40" s="94"/>
      <c r="H40" s="24"/>
      <c r="I40" s="24">
        <f>Tabla_Plan_Actividad[[#This Row],[LPs individuales]]*Indice_PROBLAM_NumEstudiantes</f>
        <v>0</v>
      </c>
      <c r="J40" s="134"/>
      <c r="K40" s="135"/>
      <c r="L40" s="165">
        <f>IF(K40&lt;&gt;"",1+INT((Tabla_Plan_Actividad[[#This Row],[Fecha de fin Plan]]-Indice_Plan_FechaInicio)/7),)</f>
        <v>0</v>
      </c>
      <c r="M40" s="25"/>
      <c r="N40" s="148" t="str">
        <f>IF(ISNUMBER(MATCH(plan!$C40, Tabla_Registro_Tareas1[Actividad], 0)),Indice_PROBLAM_Aux_Estado_Desarrollo,Indice_PROBLAM_Aux_Estado_SinIniciar)</f>
        <v>Sin iniciar</v>
      </c>
      <c r="O40" s="25"/>
      <c r="P40" s="25"/>
      <c r="Q40" s="96">
        <f>IF(P40&lt;&gt;"",1+INT((Tabla_Plan_Actividad[[#This Row],[Fecha de fin Ideal]]-Indice_Plan_FechaInicio)/7),)</f>
        <v>0</v>
      </c>
      <c r="R40" s="25" t="str" cm="1">
        <f t="array" ref="R40">IF(plan!$N40&lt;&gt;Indice_PROBLAM_Aux_Estado_SinIniciar,INDEX(cronograma!$F$4:$AN$4,1,_xlfn.XMATCH(TRUE,cronograma!$F42:$AN42&lt;&gt;0,0)),Indice_Aux_SinFecha)</f>
        <v>×</v>
      </c>
      <c r="S40" s="25" t="str" cm="1">
        <f t="array" ref="S40">IF(plan!$N40=Indice_PROBLAM_Aux_Estado_Finalizada,INDEX(cronograma!$F$4:$AL$4,1,_xlfn.XMATCH(TRUE,cronograma!$F42:$AL42&lt;&gt;0,0,-1)),Indice_Aux_SinFecha)</f>
        <v>×</v>
      </c>
      <c r="T40" s="64" cm="1">
        <f t="array" ref="T40">IF(S40&lt;&gt;Indice_Aux_SinFecha,1+INT((Tabla_Plan_Actividad[[#This Row],[Fecha de fin Real]]-Indice_Plan_FechaInicio)/7),)</f>
        <v>0</v>
      </c>
      <c r="U40" s="91">
        <f>SUMIFS(Tabla_Registro_Tareas_Agregada[Minutos],Tabla_Registro_Tareas_Agregada[Actividad],plan!$C40)/60</f>
        <v>0</v>
      </c>
      <c r="V40" s="113"/>
    </row>
    <row r="41" spans="2:22" ht="34.200000000000003" customHeight="1" x14ac:dyDescent="0.3">
      <c r="B41" s="21">
        <v>41</v>
      </c>
      <c r="C41" s="152"/>
      <c r="D41" s="27"/>
      <c r="E41" s="23"/>
      <c r="F41" s="28"/>
      <c r="G41" s="94"/>
      <c r="H41" s="24"/>
      <c r="I41" s="24">
        <f>Tabla_Plan_Actividad[[#This Row],[LPs individuales]]*Indice_PROBLAM_NumEstudiantes</f>
        <v>0</v>
      </c>
      <c r="J41" s="134"/>
      <c r="K41" s="135"/>
      <c r="L41" s="165">
        <f>IF(K41&lt;&gt;"",1+INT((Tabla_Plan_Actividad[[#This Row],[Fecha de fin Plan]]-Indice_Plan_FechaInicio)/7),)</f>
        <v>0</v>
      </c>
      <c r="M41" s="25"/>
      <c r="N41" s="148" t="str">
        <f>IF(ISNUMBER(MATCH(plan!$C41, Tabla_Registro_Tareas1[Actividad], 0)),Indice_PROBLAM_Aux_Estado_Desarrollo,Indice_PROBLAM_Aux_Estado_SinIniciar)</f>
        <v>Sin iniciar</v>
      </c>
      <c r="O41" s="25"/>
      <c r="P41" s="25"/>
      <c r="Q41" s="96">
        <f>IF(P41&lt;&gt;"",1+INT((Tabla_Plan_Actividad[[#This Row],[Fecha de fin Ideal]]-Indice_Plan_FechaInicio)/7),)</f>
        <v>0</v>
      </c>
      <c r="R41" s="25" t="str" cm="1">
        <f t="array" ref="R41">IF(plan!$N41&lt;&gt;Indice_PROBLAM_Aux_Estado_SinIniciar,INDEX(cronograma!$F$4:$AN$4,1,_xlfn.XMATCH(TRUE,cronograma!$F43:$AN43&lt;&gt;0,0)),Indice_Aux_SinFecha)</f>
        <v>×</v>
      </c>
      <c r="S41" s="25" t="str" cm="1">
        <f t="array" ref="S41">IF(plan!$N41=Indice_PROBLAM_Aux_Estado_Finalizada,INDEX(cronograma!$F$4:$AL$4,1,_xlfn.XMATCH(TRUE,cronograma!$F43:$AL43&lt;&gt;0,0,-1)),Indice_Aux_SinFecha)</f>
        <v>×</v>
      </c>
      <c r="T41" s="64" cm="1">
        <f t="array" ref="T41">IF(S41&lt;&gt;Indice_Aux_SinFecha,1+INT((Tabla_Plan_Actividad[[#This Row],[Fecha de fin Real]]-Indice_Plan_FechaInicio)/7),)</f>
        <v>0</v>
      </c>
      <c r="U41" s="91">
        <f>SUMIFS(Tabla_Registro_Tareas_Agregada[Minutos],Tabla_Registro_Tareas_Agregada[Actividad],plan!$C41)/60</f>
        <v>0</v>
      </c>
      <c r="V41" s="113"/>
    </row>
    <row r="42" spans="2:22" ht="34.200000000000003" customHeight="1" x14ac:dyDescent="0.3">
      <c r="B42" s="22">
        <v>42</v>
      </c>
      <c r="C42" s="153"/>
      <c r="D42" s="27"/>
      <c r="E42" s="23"/>
      <c r="F42" s="29"/>
      <c r="G42" s="94"/>
      <c r="H42" s="24"/>
      <c r="I42" s="24">
        <f>Tabla_Plan_Actividad[[#This Row],[LPs individuales]]*Indice_PROBLAM_NumEstudiantes</f>
        <v>0</v>
      </c>
      <c r="J42" s="134"/>
      <c r="K42" s="135"/>
      <c r="L42" s="64">
        <f>IF(K42&lt;&gt;"",1+INT((Tabla_Plan_Actividad[[#This Row],[Fecha de fin Plan]]-Indice_Plan_FechaInicio)/7),)</f>
        <v>0</v>
      </c>
      <c r="M42" s="25"/>
      <c r="N42" s="148" t="str">
        <f>IF(ISNUMBER(MATCH(plan!$C42, Tabla_Registro_Tareas1[Actividad], 0)),Indice_PROBLAM_Aux_Estado_Desarrollo,Indice_PROBLAM_Aux_Estado_SinIniciar)</f>
        <v>Sin iniciar</v>
      </c>
      <c r="O42" s="25"/>
      <c r="P42" s="34"/>
      <c r="Q42" s="96">
        <f>IF(P42&lt;&gt;"",1+INT((Tabla_Plan_Actividad[[#This Row],[Fecha de fin Ideal]]-Indice_Plan_FechaInicio)/7),)</f>
        <v>0</v>
      </c>
      <c r="R42" s="25" t="str" cm="1">
        <f t="array" ref="R42">IF(plan!$N42&lt;&gt;Indice_PROBLAM_Aux_Estado_SinIniciar,INDEX(cronograma!$F$4:$AN$4,1,_xlfn.XMATCH(TRUE,cronograma!$F44:$AN44&lt;&gt;0,0)),Indice_Aux_SinFecha)</f>
        <v>×</v>
      </c>
      <c r="S42" s="25" t="str" cm="1">
        <f t="array" ref="S42">IF(plan!$N42=Indice_PROBLAM_Aux_Estado_Finalizada,INDEX(cronograma!$F$4:$AL$4,1,_xlfn.XMATCH(TRUE,cronograma!$F44:$AL44&lt;&gt;0,0,-1)),Indice_Aux_SinFecha)</f>
        <v>×</v>
      </c>
      <c r="T42" s="64" cm="1">
        <f t="array" ref="T42">IF(S42&lt;&gt;Indice_Aux_SinFecha,1+INT((Tabla_Plan_Actividad[[#This Row],[Fecha de fin Real]]-Indice_Plan_FechaInicio)/7),)</f>
        <v>0</v>
      </c>
      <c r="U42" s="91">
        <f>SUMIFS(Tabla_Registro_Tareas_Agregada[Minutos],Tabla_Registro_Tareas_Agregada[Actividad],plan!$C42)/60</f>
        <v>0</v>
      </c>
      <c r="V42" s="113"/>
    </row>
    <row r="43" spans="2:22" ht="34.200000000000003" customHeight="1" x14ac:dyDescent="0.3">
      <c r="B43" s="21">
        <v>43</v>
      </c>
      <c r="C43" s="152"/>
      <c r="D43" s="27"/>
      <c r="E43" s="23"/>
      <c r="F43" s="28"/>
      <c r="G43" s="94"/>
      <c r="H43" s="24"/>
      <c r="I43" s="24">
        <f>Tabla_Plan_Actividad[[#This Row],[LPs individuales]]*Indice_PROBLAM_NumEstudiantes</f>
        <v>0</v>
      </c>
      <c r="J43" s="134"/>
      <c r="K43" s="135"/>
      <c r="L43" s="64">
        <f>IF(K43&lt;&gt;"",1+INT((Tabla_Plan_Actividad[[#This Row],[Fecha de fin Plan]]-Indice_Plan_FechaInicio)/7),)</f>
        <v>0</v>
      </c>
      <c r="M43" s="25"/>
      <c r="N43" s="148" t="str">
        <f>IF(ISNUMBER(MATCH(plan!$C43, Tabla_Registro_Tareas1[Actividad], 0)),Indice_PROBLAM_Aux_Estado_Desarrollo,Indice_PROBLAM_Aux_Estado_SinIniciar)</f>
        <v>Sin iniciar</v>
      </c>
      <c r="O43" s="25"/>
      <c r="P43" s="25"/>
      <c r="Q43" s="96">
        <f>IF(P43&lt;&gt;"",1+INT((Tabla_Plan_Actividad[[#This Row],[Fecha de fin Ideal]]-Indice_Plan_FechaInicio)/7),)</f>
        <v>0</v>
      </c>
      <c r="R43" s="25" t="str" cm="1">
        <f t="array" ref="R43">IF(plan!$N43&lt;&gt;Indice_PROBLAM_Aux_Estado_SinIniciar,INDEX(cronograma!$F$4:$AN$4,1,_xlfn.XMATCH(TRUE,cronograma!$F45:$AN45&lt;&gt;0,0)),Indice_Aux_SinFecha)</f>
        <v>×</v>
      </c>
      <c r="S43" s="25" t="str" cm="1">
        <f t="array" ref="S43">IF(plan!$N43=Indice_PROBLAM_Aux_Estado_Finalizada,INDEX(cronograma!$F$4:$AL$4,1,_xlfn.XMATCH(TRUE,cronograma!$F45:$AL45&lt;&gt;0,0,-1)),Indice_Aux_SinFecha)</f>
        <v>×</v>
      </c>
      <c r="T43" s="64" cm="1">
        <f t="array" ref="T43">IF(S43&lt;&gt;Indice_Aux_SinFecha,1+INT((Tabla_Plan_Actividad[[#This Row],[Fecha de fin Real]]-Indice_Plan_FechaInicio)/7),)</f>
        <v>0</v>
      </c>
      <c r="U43" s="91">
        <f>SUMIFS(Tabla_Registro_Tareas_Agregada[Minutos],Tabla_Registro_Tareas_Agregada[Actividad],plan!$C43)/60</f>
        <v>0</v>
      </c>
      <c r="V43" s="113"/>
    </row>
    <row r="44" spans="2:22" ht="34.200000000000003" customHeight="1" x14ac:dyDescent="0.3">
      <c r="B44" s="22">
        <v>44</v>
      </c>
      <c r="C44" s="153"/>
      <c r="D44" s="27"/>
      <c r="E44" s="23"/>
      <c r="F44" s="29"/>
      <c r="G44" s="94"/>
      <c r="H44" s="24"/>
      <c r="I44" s="24">
        <f>Tabla_Plan_Actividad[[#This Row],[LPs individuales]]*Indice_PROBLAM_NumEstudiantes</f>
        <v>0</v>
      </c>
      <c r="J44" s="134"/>
      <c r="K44" s="135"/>
      <c r="L44" s="64">
        <f>IF(K44&lt;&gt;"",1+INT((Tabla_Plan_Actividad[[#This Row],[Fecha de fin Plan]]-Indice_Plan_FechaInicio)/7),)</f>
        <v>0</v>
      </c>
      <c r="M44" s="25"/>
      <c r="N44" s="148" t="str">
        <f>IF(ISNUMBER(MATCH(plan!$C44, Tabla_Registro_Tareas1[Actividad], 0)),Indice_PROBLAM_Aux_Estado_Desarrollo,Indice_PROBLAM_Aux_Estado_SinIniciar)</f>
        <v>Sin iniciar</v>
      </c>
      <c r="O44" s="25"/>
      <c r="P44" s="25"/>
      <c r="Q44" s="96">
        <f>IF(P44&lt;&gt;"",1+INT((Tabla_Plan_Actividad[[#This Row],[Fecha de fin Ideal]]-Indice_Plan_FechaInicio)/7),)</f>
        <v>0</v>
      </c>
      <c r="R44" s="25" t="str" cm="1">
        <f t="array" ref="R44">IF(plan!$N44&lt;&gt;Indice_PROBLAM_Aux_Estado_SinIniciar,INDEX(cronograma!$F$4:$AN$4,1,_xlfn.XMATCH(TRUE,cronograma!$F46:$AN46&lt;&gt;0,0)),Indice_Aux_SinFecha)</f>
        <v>×</v>
      </c>
      <c r="S44" s="25" t="str" cm="1">
        <f t="array" ref="S44">IF(plan!$N44=Indice_PROBLAM_Aux_Estado_Finalizada,INDEX(cronograma!$F$4:$AL$4,1,_xlfn.XMATCH(TRUE,cronograma!$F46:$AL46&lt;&gt;0,0,-1)),Indice_Aux_SinFecha)</f>
        <v>×</v>
      </c>
      <c r="T44" s="64" cm="1">
        <f t="array" ref="T44">IF(S44&lt;&gt;Indice_Aux_SinFecha,1+INT((Tabla_Plan_Actividad[[#This Row],[Fecha de fin Real]]-Indice_Plan_FechaInicio)/7),)</f>
        <v>0</v>
      </c>
      <c r="U44" s="91">
        <f>SUMIFS(Tabla_Registro_Tareas_Agregada[Minutos],Tabla_Registro_Tareas_Agregada[Actividad],plan!$C44)/60</f>
        <v>0</v>
      </c>
      <c r="V44" s="113"/>
    </row>
    <row r="45" spans="2:22" ht="34.200000000000003" customHeight="1" x14ac:dyDescent="0.3">
      <c r="B45" s="22">
        <v>45</v>
      </c>
      <c r="C45" s="152"/>
      <c r="D45" s="27"/>
      <c r="E45" s="23"/>
      <c r="F45" s="28"/>
      <c r="G45" s="94"/>
      <c r="H45" s="24"/>
      <c r="I45" s="24">
        <f>Tabla_Plan_Actividad[[#This Row],[LPs individuales]]*Indice_PROBLAM_NumEstudiantes</f>
        <v>0</v>
      </c>
      <c r="J45" s="134"/>
      <c r="K45" s="135"/>
      <c r="L45" s="64">
        <f>IF(K45&lt;&gt;"",1+INT((Tabla_Plan_Actividad[[#This Row],[Fecha de fin Plan]]-Indice_Plan_FechaInicio)/7),)</f>
        <v>0</v>
      </c>
      <c r="M45" s="25"/>
      <c r="N45" s="148" t="str">
        <f>IF(ISNUMBER(MATCH(plan!$C45, Tabla_Registro_Tareas1[Actividad], 0)),Indice_PROBLAM_Aux_Estado_Desarrollo,Indice_PROBLAM_Aux_Estado_SinIniciar)</f>
        <v>Sin iniciar</v>
      </c>
      <c r="O45" s="25"/>
      <c r="P45" s="25"/>
      <c r="Q45" s="96">
        <f>IF(P45&lt;&gt;"",1+INT((Tabla_Plan_Actividad[[#This Row],[Fecha de fin Ideal]]-Indice_Plan_FechaInicio)/7),)</f>
        <v>0</v>
      </c>
      <c r="R45" s="25" t="str" cm="1">
        <f t="array" ref="R45">IF(plan!$N45&lt;&gt;Indice_PROBLAM_Aux_Estado_SinIniciar,INDEX(cronograma!$F$4:$AN$4,1,_xlfn.XMATCH(TRUE,cronograma!$F47:$AN47&lt;&gt;0,0)),Indice_Aux_SinFecha)</f>
        <v>×</v>
      </c>
      <c r="S45" s="25" t="str" cm="1">
        <f t="array" ref="S45">IF(plan!$N45=Indice_PROBLAM_Aux_Estado_Finalizada,INDEX(cronograma!$F$4:$AL$4,1,_xlfn.XMATCH(TRUE,cronograma!$F47:$AL47&lt;&gt;0,0,-1)),Indice_Aux_SinFecha)</f>
        <v>×</v>
      </c>
      <c r="T45" s="64" cm="1">
        <f t="array" ref="T45">IF(S45&lt;&gt;Indice_Aux_SinFecha,1+INT((Tabla_Plan_Actividad[[#This Row],[Fecha de fin Real]]-Indice_Plan_FechaInicio)/7),)</f>
        <v>0</v>
      </c>
      <c r="U45" s="91">
        <f>SUMIFS(Tabla_Registro_Tareas_Agregada[Minutos],Tabla_Registro_Tareas_Agregada[Actividad],plan!$C45)/60</f>
        <v>0</v>
      </c>
      <c r="V45" s="113"/>
    </row>
    <row r="46" spans="2:22" ht="34.200000000000003" customHeight="1" x14ac:dyDescent="0.3">
      <c r="B46" s="21">
        <v>46</v>
      </c>
      <c r="C46" s="153"/>
      <c r="D46" s="27"/>
      <c r="E46" s="23"/>
      <c r="F46" s="29"/>
      <c r="G46" s="94"/>
      <c r="H46" s="24"/>
      <c r="I46" s="24">
        <f>Tabla_Plan_Actividad[[#This Row],[LPs individuales]]*Indice_PROBLAM_NumEstudiantes</f>
        <v>0</v>
      </c>
      <c r="J46" s="134"/>
      <c r="K46" s="135"/>
      <c r="L46" s="64">
        <f>IF(K46&lt;&gt;"",1+INT((Tabla_Plan_Actividad[[#This Row],[Fecha de fin Plan]]-Indice_Plan_FechaInicio)/7),)</f>
        <v>0</v>
      </c>
      <c r="M46" s="25"/>
      <c r="N46" s="148" t="str">
        <f>IF(ISNUMBER(MATCH(plan!$C46, Tabla_Registro_Tareas1[Actividad], 0)),Indice_PROBLAM_Aux_Estado_Desarrollo,Indice_PROBLAM_Aux_Estado_SinIniciar)</f>
        <v>Sin iniciar</v>
      </c>
      <c r="O46" s="25"/>
      <c r="P46" s="25"/>
      <c r="Q46" s="96">
        <f>IF(P46&lt;&gt;"",1+INT((Tabla_Plan_Actividad[[#This Row],[Fecha de fin Ideal]]-Indice_Plan_FechaInicio)/7),)</f>
        <v>0</v>
      </c>
      <c r="R46" s="25" t="str" cm="1">
        <f t="array" ref="R46">IF(plan!$N46&lt;&gt;Indice_PROBLAM_Aux_Estado_SinIniciar,INDEX(cronograma!$F$4:$AN$4,1,_xlfn.XMATCH(TRUE,cronograma!$F48:$AN48&lt;&gt;0,0)),Indice_Aux_SinFecha)</f>
        <v>×</v>
      </c>
      <c r="S46" s="25" t="str" cm="1">
        <f t="array" ref="S46">IF(plan!$N46=Indice_PROBLAM_Aux_Estado_Finalizada,INDEX(cronograma!$F$4:$AL$4,1,_xlfn.XMATCH(TRUE,cronograma!$F48:$AL48&lt;&gt;0,0,-1)),Indice_Aux_SinFecha)</f>
        <v>×</v>
      </c>
      <c r="T46" s="64" cm="1">
        <f t="array" ref="T46">IF(S46&lt;&gt;Indice_Aux_SinFecha,1+INT((Tabla_Plan_Actividad[[#This Row],[Fecha de fin Real]]-Indice_Plan_FechaInicio)/7),)</f>
        <v>0</v>
      </c>
      <c r="U46" s="91">
        <f>SUMIFS(Tabla_Registro_Tareas_Agregada[Minutos],Tabla_Registro_Tareas_Agregada[Actividad],plan!$C46)/60</f>
        <v>0</v>
      </c>
      <c r="V46" s="113"/>
    </row>
    <row r="47" spans="2:22" ht="34.200000000000003" customHeight="1" x14ac:dyDescent="0.3">
      <c r="B47" s="22">
        <v>47</v>
      </c>
      <c r="C47" s="185" t="s">
        <v>113</v>
      </c>
      <c r="D47" s="186" t="s">
        <v>97</v>
      </c>
      <c r="E47" s="187" t="s">
        <v>113</v>
      </c>
      <c r="F47" s="188"/>
      <c r="G47" s="189"/>
      <c r="H47" s="190"/>
      <c r="I47" s="191">
        <f>Tabla_Plan_Actividad[[#This Row],[LPs individuales]]*Indice_PROBLAM_NumEstudiantes</f>
        <v>0</v>
      </c>
      <c r="J47" s="192">
        <v>46056</v>
      </c>
      <c r="K47" s="193">
        <f>Tabla_Plan_Actividad[[#This Row],[Fecha de inicio Plan]]</f>
        <v>46056</v>
      </c>
      <c r="L47" s="64">
        <v>1</v>
      </c>
      <c r="M47" s="25">
        <f>Tabla_Plan_Actividad[[#This Row],[Fecha de fin Plan]]</f>
        <v>46056</v>
      </c>
      <c r="N47" s="148" t="s">
        <v>39</v>
      </c>
      <c r="O47" s="25"/>
      <c r="P47" s="25"/>
      <c r="Q47" s="96">
        <f>IF(P47&lt;&gt;"",1+INT((Tabla_Plan_Actividad[[#This Row],[Fecha de fin Ideal]]-Indice_Plan_FechaInicio)/7),)</f>
        <v>0</v>
      </c>
      <c r="R47" s="25" t="str" cm="1">
        <f t="array" ref="R47">IF(plan!$N47&lt;&gt;Indice_PROBLAM_Aux_Estado_SinIniciar,INDEX(cronograma!$F$4:$AN$4,1,_xlfn.XMATCH(TRUE,cronograma!$F49:$AN49&lt;&gt;0,0)),Indice_Aux_SinFecha)</f>
        <v>×</v>
      </c>
      <c r="S47" s="25" t="str" cm="1">
        <f t="array" ref="S47">IF(plan!$N47=Indice_PROBLAM_Aux_Estado_Finalizada,INDEX(cronograma!$F$4:$AL$4,1,_xlfn.XMATCH(TRUE,cronograma!$F49:$AL49&lt;&gt;0,0,-1)),Indice_Aux_SinFecha)</f>
        <v>×</v>
      </c>
      <c r="T47" s="64" cm="1">
        <f t="array" ref="T47">IF(S47&lt;&gt;Indice_Aux_SinFecha,1+INT((Tabla_Plan_Actividad[[#This Row],[Fecha de fin Real]]-Indice_Plan_FechaInicio)/7),)</f>
        <v>0</v>
      </c>
      <c r="U47" s="91">
        <f>SUMIFS(Tabla_Registro_Tareas_Agregada[Minutos],Tabla_Registro_Tareas_Agregada[Actividad],plan!$C47)/60</f>
        <v>0</v>
      </c>
      <c r="V47" s="113"/>
    </row>
    <row r="48" spans="2:22" ht="34.200000000000003" customHeight="1" x14ac:dyDescent="0.3">
      <c r="B48" s="21">
        <v>48</v>
      </c>
      <c r="C48" s="185" t="s">
        <v>114</v>
      </c>
      <c r="D48" s="186" t="s">
        <v>98</v>
      </c>
      <c r="E48" s="187" t="s">
        <v>114</v>
      </c>
      <c r="F48" s="194"/>
      <c r="G48" s="189"/>
      <c r="H48" s="190"/>
      <c r="I48" s="191">
        <f>Tabla_Plan_Actividad[[#This Row],[LPs individuales]]*Indice_PROBLAM_NumEstudiantes</f>
        <v>0</v>
      </c>
      <c r="J48" s="192">
        <v>46056</v>
      </c>
      <c r="K48" s="193">
        <f>Tabla_Plan_Actividad[[#This Row],[Fecha de inicio Plan]]</f>
        <v>46056</v>
      </c>
      <c r="L48" s="64">
        <v>1</v>
      </c>
      <c r="M48" s="25">
        <f>Tabla_Plan_Actividad[[#This Row],[Fecha de fin Plan]]</f>
        <v>46056</v>
      </c>
      <c r="N48" s="148" t="str">
        <f>IF(ISNUMBER(MATCH(plan!$C48, Tabla_Registro_Tareas1[Actividad], 0)),Indice_PROBLAM_Aux_Estado_Desarrollo,Indice_PROBLAM_Aux_Estado_SinIniciar)</f>
        <v>Sin iniciar</v>
      </c>
      <c r="O48" s="25"/>
      <c r="P48" s="25"/>
      <c r="Q48" s="96">
        <f>IF(P48&lt;&gt;"",1+INT((Tabla_Plan_Actividad[[#This Row],[Fecha de fin Ideal]]-Indice_Plan_FechaInicio)/7),)</f>
        <v>0</v>
      </c>
      <c r="R48" s="25" t="str" cm="1">
        <f t="array" ref="R48">IF(plan!$N48&lt;&gt;Indice_PROBLAM_Aux_Estado_SinIniciar,INDEX(cronograma!$F$4:$AN$4,1,_xlfn.XMATCH(TRUE,cronograma!$F50:$AN50&lt;&gt;0,0)),Indice_Aux_SinFecha)</f>
        <v>×</v>
      </c>
      <c r="S48" s="25" t="str" cm="1">
        <f t="array" ref="S48">IF(plan!$N48=Indice_PROBLAM_Aux_Estado_Finalizada,INDEX(cronograma!$F$4:$AL$4,1,_xlfn.XMATCH(TRUE,cronograma!$F50:$AL50&lt;&gt;0,0,-1)),Indice_Aux_SinFecha)</f>
        <v>×</v>
      </c>
      <c r="T48" s="64" cm="1">
        <f t="array" ref="T48">IF(S48&lt;&gt;Indice_Aux_SinFecha,1+INT((Tabla_Plan_Actividad[[#This Row],[Fecha de fin Real]]-Indice_Plan_FechaInicio)/7),)</f>
        <v>0</v>
      </c>
      <c r="U48" s="91">
        <f>SUMIFS(Tabla_Registro_Tareas_Agregada[Minutos],Tabla_Registro_Tareas_Agregada[Actividad],plan!$C48)/60</f>
        <v>0</v>
      </c>
      <c r="V48" s="113"/>
    </row>
    <row r="49" spans="2:22" ht="34.200000000000003" customHeight="1" x14ac:dyDescent="0.3">
      <c r="B49" s="22">
        <v>49</v>
      </c>
      <c r="C49" s="185" t="s">
        <v>115</v>
      </c>
      <c r="D49" s="186" t="s">
        <v>99</v>
      </c>
      <c r="E49" s="187" t="s">
        <v>115</v>
      </c>
      <c r="F49" s="188"/>
      <c r="G49" s="189"/>
      <c r="H49" s="190"/>
      <c r="I49" s="191">
        <f>Tabla_Plan_Actividad[[#This Row],[LPs individuales]]*Indice_PROBLAM_NumEstudiantes</f>
        <v>0</v>
      </c>
      <c r="J49" s="192">
        <v>46056</v>
      </c>
      <c r="K49" s="193">
        <f>Tabla_Plan_Actividad[[#This Row],[Fecha de inicio Plan]]</f>
        <v>46056</v>
      </c>
      <c r="L49" s="64">
        <v>1</v>
      </c>
      <c r="M49" s="25">
        <f>Tabla_Plan_Actividad[[#This Row],[Fecha de fin Plan]]</f>
        <v>46056</v>
      </c>
      <c r="N49" s="148" t="str">
        <f>IF(ISNUMBER(MATCH(plan!$C49, Tabla_Registro_Tareas1[Actividad], 0)),Indice_PROBLAM_Aux_Estado_Desarrollo,Indice_PROBLAM_Aux_Estado_SinIniciar)</f>
        <v>Sin iniciar</v>
      </c>
      <c r="O49" s="25"/>
      <c r="P49" s="25"/>
      <c r="Q49" s="96">
        <f>IF(P49&lt;&gt;"",1+INT((Tabla_Plan_Actividad[[#This Row],[Fecha de fin Ideal]]-Indice_Plan_FechaInicio)/7),)</f>
        <v>0</v>
      </c>
      <c r="R49" s="25" t="str" cm="1">
        <f t="array" ref="R49">IF(plan!$N49&lt;&gt;Indice_PROBLAM_Aux_Estado_SinIniciar,INDEX(cronograma!$F$4:$AN$4,1,_xlfn.XMATCH(TRUE,cronograma!$F51:$AN51&lt;&gt;0,0)),Indice_Aux_SinFecha)</f>
        <v>×</v>
      </c>
      <c r="S49" s="25" t="str" cm="1">
        <f t="array" ref="S49">IF(plan!$N49=Indice_PROBLAM_Aux_Estado_Finalizada,INDEX(cronograma!$F$4:$AL$4,1,_xlfn.XMATCH(TRUE,cronograma!$F51:$AL51&lt;&gt;0,0,-1)),Indice_Aux_SinFecha)</f>
        <v>×</v>
      </c>
      <c r="T49" s="64" cm="1">
        <f t="array" ref="T49">IF(S49&lt;&gt;Indice_Aux_SinFecha,1+INT((Tabla_Plan_Actividad[[#This Row],[Fecha de fin Real]]-Indice_Plan_FechaInicio)/7),)</f>
        <v>0</v>
      </c>
      <c r="U49" s="91">
        <f>SUMIFS(Tabla_Registro_Tareas_Agregada[Minutos],Tabla_Registro_Tareas_Agregada[Actividad],plan!$C49)/60</f>
        <v>0</v>
      </c>
      <c r="V49" s="113"/>
    </row>
    <row r="50" spans="2:22" ht="34.200000000000003" customHeight="1" x14ac:dyDescent="0.3">
      <c r="B50" s="21">
        <v>50</v>
      </c>
      <c r="C50" s="185" t="s">
        <v>116</v>
      </c>
      <c r="D50" s="186" t="s">
        <v>18</v>
      </c>
      <c r="E50" s="187" t="s">
        <v>116</v>
      </c>
      <c r="F50" s="194"/>
      <c r="G50" s="189"/>
      <c r="H50" s="190"/>
      <c r="I50" s="191">
        <f>Tabla_Plan_Actividad[[#This Row],[LPs individuales]]*Indice_PROBLAM_NumEstudiantes</f>
        <v>0</v>
      </c>
      <c r="J50" s="192">
        <v>46056</v>
      </c>
      <c r="K50" s="193">
        <f>Tabla_Plan_Actividad[[#This Row],[Fecha de inicio Plan]]</f>
        <v>46056</v>
      </c>
      <c r="L50" s="64">
        <v>1</v>
      </c>
      <c r="M50" s="25">
        <f>Tabla_Plan_Actividad[[#This Row],[Fecha de fin Plan]]</f>
        <v>46056</v>
      </c>
      <c r="N50" s="148" t="str">
        <f>IF(ISNUMBER(MATCH(plan!$C50, Tabla_Registro_Tareas1[Actividad], 0)),Indice_PROBLAM_Aux_Estado_Desarrollo,Indice_PROBLAM_Aux_Estado_SinIniciar)</f>
        <v>Sin iniciar</v>
      </c>
      <c r="O50" s="25"/>
      <c r="P50" s="34"/>
      <c r="Q50" s="96">
        <f>IF(P50&lt;&gt;"",1+INT((Tabla_Plan_Actividad[[#This Row],[Fecha de fin Ideal]]-Indice_Plan_FechaInicio)/7),)</f>
        <v>0</v>
      </c>
      <c r="R50" s="25" t="str" cm="1">
        <f t="array" ref="R50">IF(plan!$N50&lt;&gt;Indice_PROBLAM_Aux_Estado_SinIniciar,INDEX(cronograma!$F$4:$AN$4,1,_xlfn.XMATCH(TRUE,cronograma!$F52:$AN52&lt;&gt;0,0)),Indice_Aux_SinFecha)</f>
        <v>×</v>
      </c>
      <c r="S50" s="25" t="str" cm="1">
        <f t="array" ref="S50">IF(plan!$N50=Indice_PROBLAM_Aux_Estado_Finalizada,INDEX(cronograma!$F$4:$AL$4,1,_xlfn.XMATCH(TRUE,cronograma!$F52:$AL52&lt;&gt;0,0,-1)),Indice_Aux_SinFecha)</f>
        <v>×</v>
      </c>
      <c r="T50" s="64" cm="1">
        <f t="array" ref="T50">IF(S50&lt;&gt;Indice_Aux_SinFecha,1+INT((Tabla_Plan_Actividad[[#This Row],[Fecha de fin Real]]-Indice_Plan_FechaInicio)/7),)</f>
        <v>0</v>
      </c>
      <c r="U50" s="91">
        <f>SUMIFS(Tabla_Registro_Tareas_Agregada[Minutos],Tabla_Registro_Tareas_Agregada[Actividad],plan!$C50)/60</f>
        <v>0</v>
      </c>
      <c r="V50" s="113"/>
    </row>
    <row r="51" spans="2:22" ht="34.200000000000003" customHeight="1" x14ac:dyDescent="0.3">
      <c r="B51" s="22">
        <v>51</v>
      </c>
      <c r="C51" s="185" t="s">
        <v>117</v>
      </c>
      <c r="D51" s="186" t="s">
        <v>101</v>
      </c>
      <c r="E51" s="187" t="s">
        <v>117</v>
      </c>
      <c r="F51" s="188"/>
      <c r="G51" s="189"/>
      <c r="H51" s="190"/>
      <c r="I51" s="191">
        <f>Tabla_Plan_Actividad[[#This Row],[LPs individuales]]*Indice_PROBLAM_NumEstudiantes</f>
        <v>0</v>
      </c>
      <c r="J51" s="192">
        <v>46056</v>
      </c>
      <c r="K51" s="193">
        <f>Tabla_Plan_Actividad[[#This Row],[Fecha de inicio Plan]]</f>
        <v>46056</v>
      </c>
      <c r="L51" s="64">
        <v>1</v>
      </c>
      <c r="M51" s="25">
        <f>Tabla_Plan_Actividad[[#This Row],[Fecha de fin Plan]]</f>
        <v>46056</v>
      </c>
      <c r="N51" s="148" t="str">
        <f>IF(ISNUMBER(MATCH(plan!$C51, Tabla_Registro_Tareas1[Actividad], 0)),Indice_PROBLAM_Aux_Estado_Desarrollo,Indice_PROBLAM_Aux_Estado_SinIniciar)</f>
        <v>Sin iniciar</v>
      </c>
      <c r="O51" s="25"/>
      <c r="P51" s="25"/>
      <c r="Q51" s="96">
        <f>IF(P51&lt;&gt;"",1+INT((Tabla_Plan_Actividad[[#This Row],[Fecha de fin Ideal]]-Indice_Plan_FechaInicio)/7),)</f>
        <v>0</v>
      </c>
      <c r="R51" s="25" t="str" cm="1">
        <f t="array" ref="R51">IF(plan!$N51&lt;&gt;Indice_PROBLAM_Aux_Estado_SinIniciar,INDEX(cronograma!$F$4:$AN$4,1,_xlfn.XMATCH(TRUE,cronograma!$F53:$AN53&lt;&gt;0,0)),Indice_Aux_SinFecha)</f>
        <v>×</v>
      </c>
      <c r="S51" s="25" t="str" cm="1">
        <f t="array" ref="S51">IF(plan!$N51=Indice_PROBLAM_Aux_Estado_Finalizada,INDEX(cronograma!$F$4:$AL$4,1,_xlfn.XMATCH(TRUE,cronograma!$F53:$AL53&lt;&gt;0,0,-1)),Indice_Aux_SinFecha)</f>
        <v>×</v>
      </c>
      <c r="T51" s="64" cm="1">
        <f t="array" ref="T51">IF(S51&lt;&gt;Indice_Aux_SinFecha,1+INT((Tabla_Plan_Actividad[[#This Row],[Fecha de fin Real]]-Indice_Plan_FechaInicio)/7),)</f>
        <v>0</v>
      </c>
      <c r="U51" s="91">
        <f>SUMIFS(Tabla_Registro_Tareas_Agregada[Minutos],Tabla_Registro_Tareas_Agregada[Actividad],plan!$C51)/60</f>
        <v>0</v>
      </c>
      <c r="V51" s="113"/>
    </row>
    <row r="52" spans="2:22" ht="34.200000000000003" customHeight="1" x14ac:dyDescent="0.3">
      <c r="B52" s="21">
        <v>52</v>
      </c>
      <c r="C52" s="185" t="s">
        <v>118</v>
      </c>
      <c r="D52" s="186" t="s">
        <v>100</v>
      </c>
      <c r="E52" s="187" t="s">
        <v>118</v>
      </c>
      <c r="F52" s="194"/>
      <c r="G52" s="189"/>
      <c r="H52" s="190"/>
      <c r="I52" s="191">
        <f>Tabla_Plan_Actividad[[#This Row],[LPs individuales]]*Indice_PROBLAM_NumEstudiantes</f>
        <v>0</v>
      </c>
      <c r="J52" s="192">
        <v>46056</v>
      </c>
      <c r="K52" s="193">
        <f>Tabla_Plan_Actividad[[#This Row],[Fecha de inicio Plan]]</f>
        <v>46056</v>
      </c>
      <c r="L52" s="64">
        <v>1</v>
      </c>
      <c r="M52" s="25">
        <f>Tabla_Plan_Actividad[[#This Row],[Fecha de fin Plan]]</f>
        <v>46056</v>
      </c>
      <c r="N52" s="148" t="str">
        <f>IF(ISNUMBER(MATCH(plan!$C52, Tabla_Registro_Tareas1[Actividad], 0)),Indice_PROBLAM_Aux_Estado_Desarrollo,Indice_PROBLAM_Aux_Estado_SinIniciar)</f>
        <v>Sin iniciar</v>
      </c>
      <c r="O52" s="25"/>
      <c r="P52" s="25"/>
      <c r="Q52" s="96">
        <f>IF(P52&lt;&gt;"",1+INT((Tabla_Plan_Actividad[[#This Row],[Fecha de fin Ideal]]-Indice_Plan_FechaInicio)/7),)</f>
        <v>0</v>
      </c>
      <c r="R52" s="25" t="str" cm="1">
        <f t="array" ref="R52">IF(plan!$N52&lt;&gt;Indice_PROBLAM_Aux_Estado_SinIniciar,INDEX(cronograma!$F$4:$AN$4,1,_xlfn.XMATCH(TRUE,cronograma!$F54:$AN54&lt;&gt;0,0)),Indice_Aux_SinFecha)</f>
        <v>×</v>
      </c>
      <c r="S52" s="25" t="str" cm="1">
        <f t="array" ref="S52">IF(plan!$N52=Indice_PROBLAM_Aux_Estado_Finalizada,INDEX(cronograma!$F$4:$AL$4,1,_xlfn.XMATCH(TRUE,cronograma!$F54:$AL54&lt;&gt;0,0,-1)),Indice_Aux_SinFecha)</f>
        <v>×</v>
      </c>
      <c r="T52" s="64" cm="1">
        <f t="array" ref="T52">IF(S52&lt;&gt;Indice_Aux_SinFecha,1+INT((Tabla_Plan_Actividad[[#This Row],[Fecha de fin Real]]-Indice_Plan_FechaInicio)/7),)</f>
        <v>0</v>
      </c>
      <c r="U52" s="91">
        <f>SUMIFS(Tabla_Registro_Tareas_Agregada[Minutos],Tabla_Registro_Tareas_Agregada[Actividad],plan!$C52)/60</f>
        <v>0</v>
      </c>
      <c r="V52" s="113"/>
    </row>
    <row r="53" spans="2:22" ht="19" thickBot="1" x14ac:dyDescent="0.35">
      <c r="B53" s="20"/>
      <c r="C53" s="154">
        <f>COUNTA(Tabla_Plan_Actividad[Actividad])</f>
        <v>26</v>
      </c>
      <c r="D53" s="155"/>
      <c r="E53" s="156"/>
      <c r="F53" s="157"/>
      <c r="G53" s="158"/>
      <c r="H53" s="159"/>
      <c r="I53" s="159">
        <f>SUM(Tabla_Plan_Actividad[Learning Points])</f>
        <v>360</v>
      </c>
      <c r="J53" s="166"/>
      <c r="K53" s="167"/>
      <c r="L53" s="160"/>
      <c r="M53" s="161"/>
      <c r="N53" s="162"/>
      <c r="O53" s="25"/>
      <c r="P53" s="25"/>
      <c r="Q53" s="96"/>
      <c r="R53" s="26"/>
      <c r="S53" s="25"/>
      <c r="T53" s="64"/>
      <c r="U53" s="91">
        <f>SUM(Tabla_Plan_Actividad[Horas de trabajo])</f>
        <v>0</v>
      </c>
      <c r="V53" s="113"/>
    </row>
    <row r="54" spans="2:22" x14ac:dyDescent="0.3">
      <c r="C54" s="163"/>
      <c r="D54" s="163"/>
      <c r="E54" s="163"/>
      <c r="F54" s="163"/>
      <c r="G54" s="163"/>
      <c r="H54" s="163"/>
      <c r="I54" s="163"/>
      <c r="J54" s="168"/>
      <c r="K54" s="168"/>
      <c r="L54" s="163"/>
      <c r="M54" s="163"/>
      <c r="N54" s="163"/>
      <c r="U54" s="2"/>
    </row>
    <row r="55" spans="2:22" x14ac:dyDescent="0.3">
      <c r="J55" s="169"/>
      <c r="K55" s="169"/>
      <c r="U55" s="2"/>
    </row>
    <row r="56" spans="2:22" x14ac:dyDescent="0.3">
      <c r="U56" s="2"/>
    </row>
    <row r="57" spans="2:22" x14ac:dyDescent="0.3">
      <c r="U57" s="2"/>
    </row>
    <row r="58" spans="2:22" x14ac:dyDescent="0.3">
      <c r="U58" s="2"/>
    </row>
    <row r="59" spans="2:22" x14ac:dyDescent="0.3">
      <c r="U59" s="2"/>
    </row>
    <row r="60" spans="2:22" x14ac:dyDescent="0.3">
      <c r="U60" s="2"/>
    </row>
    <row r="61" spans="2:22" x14ac:dyDescent="0.3">
      <c r="U61" s="2"/>
    </row>
    <row r="62" spans="2:22" x14ac:dyDescent="0.3">
      <c r="U62" s="2"/>
    </row>
  </sheetData>
  <sheetProtection algorithmName="SHA-512" hashValue="u1PdOixCPAsMFmXSS5rqD/aPfRmgl71tSHsP+ovWX6r6tTFBu1O2FksPo3z7xYUfR/rFDuVijoFZWvcAe0MZwA==" saltValue="O1Yaev9WyjFdh2Kwj0SlUA==" spinCount="100000" sheet="1" objects="1" scenarios="1" selectLockedCells="1"/>
  <dataConsolidate/>
  <mergeCells count="5">
    <mergeCell ref="G2:N2"/>
    <mergeCell ref="R2:U2"/>
    <mergeCell ref="C2:F2"/>
    <mergeCell ref="O2:Q2"/>
    <mergeCell ref="W3:X3"/>
  </mergeCells>
  <phoneticPr fontId="3" type="noConversion"/>
  <conditionalFormatting sqref="L4:L52">
    <cfRule type="cellIs" dxfId="35" priority="9" operator="equal">
      <formula>Indice_Aux_SinFecha</formula>
    </cfRule>
    <cfRule type="expression" dxfId="34" priority="10">
      <formula>ISNA(L4)</formula>
    </cfRule>
  </conditionalFormatting>
  <conditionalFormatting sqref="N4:N7 P4:P12 N7:O12 N8:P52">
    <cfRule type="cellIs" dxfId="33" priority="14" operator="equal">
      <formula>Indice_PROBLAM_Aux_Estado_Bloqueada</formula>
    </cfRule>
    <cfRule type="cellIs" dxfId="32" priority="15" operator="equal">
      <formula>Indice_PROBLAM_Aux_Estado_Finalizada</formula>
    </cfRule>
    <cfRule type="cellIs" dxfId="31" priority="16" operator="equal">
      <formula>Indice_PROBLAM_Aux_Estado_SinIniciar</formula>
    </cfRule>
  </conditionalFormatting>
  <conditionalFormatting sqref="Q4:Q52">
    <cfRule type="cellIs" dxfId="30" priority="3" operator="equal">
      <formula>Indice_PROBLAM_Aux_Estado_Bloqueada</formula>
    </cfRule>
    <cfRule type="cellIs" dxfId="29" priority="4" operator="equal">
      <formula>Indice_PROBLAM_Aux_Estado_Finalizada</formula>
    </cfRule>
    <cfRule type="cellIs" dxfId="28" priority="5" operator="equal">
      <formula>Indice_PROBLAM_Aux_Estado_SinIniciar</formula>
    </cfRule>
  </conditionalFormatting>
  <conditionalFormatting sqref="R4:R52">
    <cfRule type="cellIs" dxfId="27" priority="6" operator="equal">
      <formula>Indice_PROBLAM_Aux_Estado_Bloqueada</formula>
    </cfRule>
    <cfRule type="cellIs" dxfId="26" priority="7" operator="equal">
      <formula>Indice_PROBLAM_Aux_Estado_Finalizada</formula>
    </cfRule>
    <cfRule type="cellIs" dxfId="25" priority="8" operator="equal">
      <formula>Indice_PROBLAM_Aux_Estado_SinIniciar</formula>
    </cfRule>
  </conditionalFormatting>
  <conditionalFormatting sqref="S4:T52">
    <cfRule type="cellIs" dxfId="24" priority="17" operator="equal">
      <formula>Indice_Aux_SinFecha</formula>
    </cfRule>
    <cfRule type="expression" dxfId="23" priority="19">
      <formula>ISNA(S4)</formula>
    </cfRule>
  </conditionalFormatting>
  <dataValidations count="11">
    <dataValidation type="whole" operator="greaterThan" allowBlank="1" showInputMessage="1" showErrorMessage="1" sqref="H4:I52" xr:uid="{A02344EF-B2E8-4264-AFD3-351415435E85}">
      <formula1>0</formula1>
    </dataValidation>
    <dataValidation type="list" allowBlank="1" showInputMessage="1" showErrorMessage="1" sqref="G4:G52" xr:uid="{3122B427-6FE6-4483-B89A-FC577AB48053}">
      <formula1>Indice_PROBLAM_Estudiantes</formula1>
    </dataValidation>
    <dataValidation type="list" allowBlank="1" showInputMessage="1" showErrorMessage="1" sqref="N4:N52" xr:uid="{02C357F7-35BE-4BAA-A273-7F865BE19C5E}">
      <formula1>Indice_PROBLAM_Aux_Estados</formula1>
    </dataValidation>
    <dataValidation type="whole" allowBlank="1" showInputMessage="1" showErrorMessage="1" sqref="Q4:Q52" xr:uid="{DB815307-6532-4A75-BE3A-81D85FC2696C}">
      <formula1>0</formula1>
      <formula2>20</formula2>
    </dataValidation>
    <dataValidation type="custom" allowBlank="1" showInputMessage="1" showErrorMessage="1" error="La fecha indicada no está incluida en la planificación temporal de este sprint." sqref="K25 K20:K22 J19:J46 J4:J17 K16" xr:uid="{1E4C7D46-F5AD-4A9D-B7E3-C6682027EC8B}">
      <formula1>AND(ISNUMBER($J4),INT($J4)&gt;=INT(Indice_Plan_FechaInicio),INT($J4&lt;=INT(Indice_Plan_FechaFin)))</formula1>
    </dataValidation>
    <dataValidation type="custom" allowBlank="1" showInputMessage="1" showErrorMessage="1" error="La fecha indicada no es correcta. Revisa que está incluida en la planificación temporal del sprint, que no es anterior a la fecha de inicio y que no existe una fecha límite para esta actividad." sqref="J18 K26:K46 K23:K24 K4:K15 K17:K19" xr:uid="{5714E9C3-FE68-48FB-A6B9-5D1E7F1E34DB}">
      <formula1>AND(ISNUMBER($K4),INT($K4)&gt;=INT(Indice_Plan_FechaInicio),INT($K4)&lt;=INT(Indice_Plan_FechaFin),INT($J4)&lt;=INT($K4),OR(ISBLANK($M4),INT($K4)&lt;=INT($M4)))</formula1>
    </dataValidation>
    <dataValidation allowBlank="1" showInputMessage="1" showErrorMessage="1" prompt="Indica el nombre y apellidos del miembro del equipo_x000a_" sqref="X4:X8" xr:uid="{AB4561C9-BAE7-4BE3-AC2F-E675ABC7B730}"/>
    <dataValidation type="list" allowBlank="1" showInputMessage="1" showErrorMessage="1" sqref="D4:D52" xr:uid="{AD18D770-6D37-4A9F-97BA-45959E751442}">
      <formula1>Indice_PROBLAM_Paquetes</formula1>
    </dataValidation>
    <dataValidation type="list" allowBlank="1" showInputMessage="1" showErrorMessage="1" sqref="E4:E52" xr:uid="{661DAAF0-1692-4AEA-BAFB-1E379CDC3929}">
      <formula1>IF($D4=i_PROBLAM_pt1,i_PROBLAM_art1,IF($D4=i_PROBLAM_pt2,i_PROBLAM_art2,IF($D4=i_PROBLAM_pt3,i_PROBLAM_art3,IF($D4=i_PROBLAM_pt4,i_PROBLAM_art4,IF($D4=i_PROBLAM_pt5,i_PROBLAM_art5,IF($D4=i_PROBLAM_pt6,i_PROBLAM_art6,"ERROR"))))))</formula1>
    </dataValidation>
    <dataValidation allowBlank="1" showInputMessage="1" showErrorMessage="1" error="La fecha indicada no está incluida en la planificación temporal de este sprint." sqref="J47:J52" xr:uid="{FAF05818-DD51-4D9D-89B7-4A6461E231B5}"/>
    <dataValidation allowBlank="1" showInputMessage="1" showErrorMessage="1" error="La fecha indicada no es correcta. Revisa que está incluida en la planificación temporal del sprint, que no es anterior a la fecha de inicio y que no existe una fecha límite para esta actividad." sqref="K47:K52" xr:uid="{0E103E13-5A96-4EB0-8E63-92DA256ED34A}"/>
  </dataValidations>
  <pageMargins left="0.7" right="0.7" top="0.75" bottom="0.75" header="0.3" footer="0.3"/>
  <pageSetup paperSize="9" orientation="portrait"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DB6A535-7363-4E3F-92D7-7372058DF1E0}">
          <x14:formula1>
            <xm:f>problam!$B$3:$B$7</xm:f>
          </x14:formula1>
          <xm:sqref>D4:D52</xm:sqref>
        </x14:dataValidation>
        <x14:dataValidation type="date" allowBlank="1" showInputMessage="1" showErrorMessage="1" xr:uid="{9474767D-997C-4F36-9DD3-CF9EB35B0E61}">
          <x14:formula1>
            <xm:f>problam!C24</xm:f>
          </x14:formula1>
          <x14:formula2>
            <xm:f>problam!C25</xm:f>
          </x14:formula2>
          <xm:sqref>M4:O52</xm:sqref>
        </x14:dataValidation>
        <x14:dataValidation type="date" allowBlank="1" showInputMessage="1" showErrorMessage="1" xr:uid="{610C8565-E140-48B1-BCFD-0BF7AF510669}">
          <x14:formula1>
            <xm:f>problam!G24</xm:f>
          </x14:formula1>
          <x14:formula2>
            <xm:f>problam!G25</xm:f>
          </x14:formula2>
          <xm:sqref>P4:P52</xm:sqref>
        </x14:dataValidation>
        <x14:dataValidation type="date" allowBlank="1" showInputMessage="1" showErrorMessage="1" xr:uid="{CDE813A8-7474-444E-B6A7-6CE7DB09B132}">
          <x14:formula1>
            <xm:f>problam!C24</xm:f>
          </x14:formula1>
          <x14:formula2>
            <xm:f>problam!C25</xm:f>
          </x14:formula2>
          <xm:sqref>R4:R52</xm:sqref>
        </x14:dataValidation>
        <x14:dataValidation type="date" allowBlank="1" showInputMessage="1" showErrorMessage="1" xr:uid="{D4890B32-0A3F-41F8-ADEA-09ACFB420707}">
          <x14:formula1>
            <xm:f>problam!C24</xm:f>
          </x14:formula1>
          <x14:formula2>
            <xm:f>problam!C25</xm:f>
          </x14:formula2>
          <xm:sqref>O4:P52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E8F6B-75B5-4E7C-955C-09046BAA1786}">
  <dimension ref="A1:AU103"/>
  <sheetViews>
    <sheetView tabSelected="1" zoomScale="70" zoomScaleNormal="70" workbookViewId="0">
      <selection activeCell="D9" sqref="D9:D10"/>
    </sheetView>
  </sheetViews>
  <sheetFormatPr baseColWidth="10" defaultColWidth="11.5546875" defaultRowHeight="15.05" x14ac:dyDescent="0.3"/>
  <cols>
    <col min="1" max="1" width="2" style="35" customWidth="1"/>
    <col min="2" max="2" width="3.6640625" style="35" hidden="1" customWidth="1"/>
    <col min="3" max="3" width="34.5546875" style="35" bestFit="1" customWidth="1"/>
    <col min="4" max="5" width="13" style="35" customWidth="1"/>
    <col min="6" max="19" width="5.109375" style="35" customWidth="1"/>
    <col min="20" max="26" width="5.109375" style="35" hidden="1" customWidth="1"/>
    <col min="27" max="47" width="5.109375" style="35" customWidth="1"/>
    <col min="48" max="16384" width="11.5546875" style="35"/>
  </cols>
  <sheetData>
    <row r="1" spans="1:47" ht="15.75" thickBot="1" x14ac:dyDescent="0.35"/>
    <row r="2" spans="1:47" ht="15.75" customHeight="1" x14ac:dyDescent="0.3">
      <c r="C2" s="296" t="str">
        <f>problam!B23</f>
        <v>Sprint #2</v>
      </c>
      <c r="D2" s="292" t="s">
        <v>10</v>
      </c>
      <c r="E2" s="294" t="s">
        <v>16</v>
      </c>
      <c r="F2" s="280" t="s">
        <v>4</v>
      </c>
      <c r="G2" s="281"/>
      <c r="H2" s="281"/>
      <c r="I2" s="281"/>
      <c r="J2" s="281"/>
      <c r="K2" s="281"/>
      <c r="L2" s="282"/>
      <c r="M2" s="280" t="s">
        <v>5</v>
      </c>
      <c r="N2" s="281"/>
      <c r="O2" s="281"/>
      <c r="P2" s="281"/>
      <c r="Q2" s="281"/>
      <c r="R2" s="281"/>
      <c r="S2" s="282"/>
      <c r="T2" s="280" t="s">
        <v>6</v>
      </c>
      <c r="U2" s="281"/>
      <c r="V2" s="281"/>
      <c r="W2" s="281"/>
      <c r="X2" s="281"/>
      <c r="Y2" s="281"/>
      <c r="Z2" s="282"/>
      <c r="AA2" s="280" t="s">
        <v>7</v>
      </c>
      <c r="AB2" s="281"/>
      <c r="AC2" s="281"/>
      <c r="AD2" s="281"/>
      <c r="AE2" s="281"/>
      <c r="AF2" s="281"/>
      <c r="AG2" s="282"/>
      <c r="AH2" s="280" t="s">
        <v>8</v>
      </c>
      <c r="AI2" s="281"/>
      <c r="AJ2" s="281"/>
      <c r="AK2" s="281"/>
      <c r="AL2" s="281"/>
      <c r="AM2" s="281"/>
      <c r="AN2" s="282"/>
      <c r="AO2" s="280" t="s">
        <v>125</v>
      </c>
      <c r="AP2" s="281"/>
      <c r="AQ2" s="281"/>
      <c r="AR2" s="281"/>
      <c r="AS2" s="281"/>
      <c r="AT2" s="281"/>
      <c r="AU2" s="282"/>
    </row>
    <row r="3" spans="1:47" ht="21.45" customHeight="1" x14ac:dyDescent="0.3">
      <c r="B3" s="36"/>
      <c r="C3" s="297"/>
      <c r="D3" s="293"/>
      <c r="E3" s="295"/>
      <c r="F3" s="283"/>
      <c r="G3" s="284"/>
      <c r="H3" s="284"/>
      <c r="I3" s="284"/>
      <c r="J3" s="284"/>
      <c r="K3" s="284"/>
      <c r="L3" s="285"/>
      <c r="M3" s="283"/>
      <c r="N3" s="284"/>
      <c r="O3" s="284"/>
      <c r="P3" s="284"/>
      <c r="Q3" s="284"/>
      <c r="R3" s="284"/>
      <c r="S3" s="285"/>
      <c r="T3" s="283"/>
      <c r="U3" s="284"/>
      <c r="V3" s="284"/>
      <c r="W3" s="284"/>
      <c r="X3" s="284"/>
      <c r="Y3" s="284"/>
      <c r="Z3" s="285"/>
      <c r="AA3" s="283"/>
      <c r="AB3" s="284"/>
      <c r="AC3" s="284"/>
      <c r="AD3" s="284"/>
      <c r="AE3" s="284"/>
      <c r="AF3" s="284"/>
      <c r="AG3" s="285"/>
      <c r="AH3" s="283"/>
      <c r="AI3" s="284"/>
      <c r="AJ3" s="284"/>
      <c r="AK3" s="284"/>
      <c r="AL3" s="284"/>
      <c r="AM3" s="284"/>
      <c r="AN3" s="285"/>
      <c r="AO3" s="283"/>
      <c r="AP3" s="284"/>
      <c r="AQ3" s="284"/>
      <c r="AR3" s="284"/>
      <c r="AS3" s="284"/>
      <c r="AT3" s="284"/>
      <c r="AU3" s="285"/>
    </row>
    <row r="4" spans="1:47" s="37" customFormat="1" ht="17.7" customHeight="1" thickBot="1" x14ac:dyDescent="0.35">
      <c r="C4" s="298"/>
      <c r="D4" s="38">
        <f>Tabla_Plan_Actividad[[#Totals],[Learning Points]]</f>
        <v>360</v>
      </c>
      <c r="E4" s="39">
        <f>Tabla_Plan_Actividad[[#Totals],[Horas de trabajo]]</f>
        <v>0</v>
      </c>
      <c r="F4" s="40">
        <f>problam!B24</f>
        <v>46097</v>
      </c>
      <c r="G4" s="41">
        <f t="shared" ref="G4:AN4" si="0">F4+1</f>
        <v>46098</v>
      </c>
      <c r="H4" s="41">
        <f t="shared" si="0"/>
        <v>46099</v>
      </c>
      <c r="I4" s="41">
        <f t="shared" si="0"/>
        <v>46100</v>
      </c>
      <c r="J4" s="41">
        <f t="shared" si="0"/>
        <v>46101</v>
      </c>
      <c r="K4" s="41">
        <f t="shared" si="0"/>
        <v>46102</v>
      </c>
      <c r="L4" s="42">
        <f t="shared" si="0"/>
        <v>46103</v>
      </c>
      <c r="M4" s="40">
        <f t="shared" si="0"/>
        <v>46104</v>
      </c>
      <c r="N4" s="41">
        <f t="shared" si="0"/>
        <v>46105</v>
      </c>
      <c r="O4" s="41">
        <f t="shared" si="0"/>
        <v>46106</v>
      </c>
      <c r="P4" s="41">
        <f t="shared" si="0"/>
        <v>46107</v>
      </c>
      <c r="Q4" s="41">
        <f t="shared" si="0"/>
        <v>46108</v>
      </c>
      <c r="R4" s="41">
        <f t="shared" si="0"/>
        <v>46109</v>
      </c>
      <c r="S4" s="42">
        <f t="shared" si="0"/>
        <v>46110</v>
      </c>
      <c r="T4" s="248">
        <f t="shared" si="0"/>
        <v>46111</v>
      </c>
      <c r="U4" s="249">
        <f t="shared" si="0"/>
        <v>46112</v>
      </c>
      <c r="V4" s="249">
        <f t="shared" si="0"/>
        <v>46113</v>
      </c>
      <c r="W4" s="249">
        <f t="shared" si="0"/>
        <v>46114</v>
      </c>
      <c r="X4" s="249">
        <f t="shared" si="0"/>
        <v>46115</v>
      </c>
      <c r="Y4" s="249">
        <f t="shared" si="0"/>
        <v>46116</v>
      </c>
      <c r="Z4" s="250">
        <f t="shared" si="0"/>
        <v>46117</v>
      </c>
      <c r="AA4" s="40">
        <f t="shared" si="0"/>
        <v>46118</v>
      </c>
      <c r="AB4" s="41">
        <f t="shared" si="0"/>
        <v>46119</v>
      </c>
      <c r="AC4" s="41">
        <f t="shared" si="0"/>
        <v>46120</v>
      </c>
      <c r="AD4" s="41">
        <f t="shared" si="0"/>
        <v>46121</v>
      </c>
      <c r="AE4" s="41">
        <f t="shared" si="0"/>
        <v>46122</v>
      </c>
      <c r="AF4" s="41">
        <f t="shared" si="0"/>
        <v>46123</v>
      </c>
      <c r="AG4" s="42">
        <f t="shared" si="0"/>
        <v>46124</v>
      </c>
      <c r="AH4" s="40">
        <f t="shared" si="0"/>
        <v>46125</v>
      </c>
      <c r="AI4" s="41">
        <f t="shared" si="0"/>
        <v>46126</v>
      </c>
      <c r="AJ4" s="41">
        <f t="shared" si="0"/>
        <v>46127</v>
      </c>
      <c r="AK4" s="41">
        <f t="shared" si="0"/>
        <v>46128</v>
      </c>
      <c r="AL4" s="41">
        <f t="shared" si="0"/>
        <v>46129</v>
      </c>
      <c r="AM4" s="41">
        <f t="shared" si="0"/>
        <v>46130</v>
      </c>
      <c r="AN4" s="42">
        <f t="shared" si="0"/>
        <v>46131</v>
      </c>
      <c r="AO4" s="40">
        <f t="shared" ref="AO4" si="1">AN4+1</f>
        <v>46132</v>
      </c>
      <c r="AP4" s="41">
        <f t="shared" ref="AP4" si="2">AO4+1</f>
        <v>46133</v>
      </c>
      <c r="AQ4" s="41">
        <f t="shared" ref="AQ4" si="3">AP4+1</f>
        <v>46134</v>
      </c>
      <c r="AR4" s="41">
        <f t="shared" ref="AR4" si="4">AQ4+1</f>
        <v>46135</v>
      </c>
      <c r="AS4" s="41">
        <f t="shared" ref="AS4" si="5">AR4+1</f>
        <v>46136</v>
      </c>
      <c r="AT4" s="41">
        <f t="shared" ref="AT4" si="6">AS4+1</f>
        <v>46137</v>
      </c>
      <c r="AU4" s="42">
        <f t="shared" ref="AU4" si="7">AT4+1</f>
        <v>46138</v>
      </c>
    </row>
    <row r="5" spans="1:47" ht="12.95" customHeight="1" x14ac:dyDescent="0.3">
      <c r="A5" s="36"/>
      <c r="B5" s="299">
        <f>plan!B4</f>
        <v>4</v>
      </c>
      <c r="C5" s="288" t="str">
        <f>plan!C4</f>
        <v>Comprensión del pliego técnico</v>
      </c>
      <c r="D5" s="291" cm="1">
        <f t="array" ref="D5">INDEX(plan!$I:$I, $B5)</f>
        <v>20</v>
      </c>
      <c r="E5" s="289" cm="1">
        <f t="array" ref="E5">INDEX(plan!$U:$U, $B5)</f>
        <v>0</v>
      </c>
      <c r="F5" s="43" cm="1">
        <f t="array" ref="F5">IF(AND(F$4&gt;=INDEX(plan!$J:$J, $B5), F$4&lt;=INDEX(plan!$K:$K, $B5)),1,0)</f>
        <v>1</v>
      </c>
      <c r="G5" s="44" cm="1">
        <f t="array" ref="G5">IF(AND(G$4&gt;=INDEX(plan!$J:$J, $B5), G$4&lt;=INDEX(plan!$K:$K, $B5)),1,0)</f>
        <v>1</v>
      </c>
      <c r="H5" s="44" cm="1">
        <f t="array" ref="H5">IF(AND(H$4&gt;=INDEX(plan!$J:$J, $B5), H$4&lt;=INDEX(plan!$K:$K, $B5)),1,0)</f>
        <v>1</v>
      </c>
      <c r="I5" s="44" cm="1">
        <f t="array" ref="I5">IF(AND(I$4&gt;=INDEX(plan!$J:$J, $B5), I$4&lt;=INDEX(plan!$K:$K, $B5)),1,0)</f>
        <v>1</v>
      </c>
      <c r="J5" s="44" cm="1">
        <f t="array" ref="J5">IF(AND(J$4&gt;=INDEX(plan!$J:$J, $B5), J$4&lt;=INDEX(plan!$K:$K, $B5)),1,0)</f>
        <v>0</v>
      </c>
      <c r="K5" s="44" cm="1">
        <f t="array" ref="K5">IF(AND(K$4&gt;=INDEX(plan!$J:$J, $B5), K$4&lt;=INDEX(plan!$K:$K, $B5)),1,0)</f>
        <v>0</v>
      </c>
      <c r="L5" s="45" cm="1">
        <f t="array" ref="L5">IF(AND(L$4&gt;=INDEX(plan!$J:$J, $B5), L$4&lt;=INDEX(plan!$K:$K, $B5)),1,0)</f>
        <v>0</v>
      </c>
      <c r="M5" s="43" cm="1">
        <f t="array" ref="M5">IF(AND(M$4&gt;=INDEX(plan!$J:$J, $B5), M$4&lt;=INDEX(plan!$K:$K, $B5)),1,0)</f>
        <v>0</v>
      </c>
      <c r="N5" s="44" cm="1">
        <f t="array" ref="N5">IF(AND(N$4&gt;=INDEX(plan!$J:$J, $B5), N$4&lt;=INDEX(plan!$K:$K, $B5)),1,0)</f>
        <v>0</v>
      </c>
      <c r="O5" s="44" cm="1">
        <f t="array" ref="O5">IF(AND(O$4&gt;=INDEX(plan!$J:$J, $B5), O$4&lt;=INDEX(plan!$K:$K, $B5)),1,0)</f>
        <v>0</v>
      </c>
      <c r="P5" s="44" cm="1">
        <f t="array" ref="P5">IF(AND(P$4&gt;=INDEX(plan!$J:$J, $B5), P$4&lt;=INDEX(plan!$K:$K, $B5)),1,0)</f>
        <v>0</v>
      </c>
      <c r="Q5" s="44" cm="1">
        <f t="array" ref="Q5">IF(AND(Q$4&gt;=INDEX(plan!$J:$J, $B5), Q$4&lt;=INDEX(plan!$K:$K, $B5)),1,0)</f>
        <v>0</v>
      </c>
      <c r="R5" s="44" cm="1">
        <f t="array" ref="R5">IF(AND(R$4&gt;=INDEX(plan!$J:$J, $B5), R$4&lt;=INDEX(plan!$K:$K, $B5)),1,0)</f>
        <v>0</v>
      </c>
      <c r="S5" s="45" cm="1">
        <f t="array" ref="S5">IF(AND(S$4&gt;=INDEX(plan!$J:$J, $B5), S$4&lt;=INDEX(plan!$K:$K, $B5)),1,0)</f>
        <v>0</v>
      </c>
      <c r="T5" s="43" cm="1">
        <f t="array" ref="T5">IF(AND(T$4&gt;=INDEX(plan!$J:$J, $B5), T$4&lt;=INDEX(plan!$K:$K, $B5)),1,0)</f>
        <v>0</v>
      </c>
      <c r="U5" s="44" cm="1">
        <f t="array" ref="U5">IF(AND(U$4&gt;=INDEX(plan!$J:$J, $B5), U$4&lt;=INDEX(plan!$K:$K, $B5)),1,0)</f>
        <v>0</v>
      </c>
      <c r="V5" s="44" cm="1">
        <f t="array" ref="V5">IF(AND(V$4&gt;=INDEX(plan!$J:$J, $B5), V$4&lt;=INDEX(plan!$K:$K, $B5)),1,0)</f>
        <v>0</v>
      </c>
      <c r="W5" s="44" cm="1">
        <f t="array" ref="W5">IF(AND(W$4&gt;=INDEX(plan!$J:$J, $B5), W$4&lt;=INDEX(plan!$K:$K, $B5)),1,0)</f>
        <v>0</v>
      </c>
      <c r="X5" s="44" cm="1">
        <f t="array" ref="X5">IF(AND(X$4&gt;=INDEX(plan!$J:$J, $B5), X$4&lt;=INDEX(plan!$K:$K, $B5)),1,0)</f>
        <v>0</v>
      </c>
      <c r="Y5" s="44" cm="1">
        <f t="array" ref="Y5">IF(AND(Y$4&gt;=INDEX(plan!$J:$J, $B5), Y$4&lt;=INDEX(plan!$K:$K, $B5)),1,0)</f>
        <v>0</v>
      </c>
      <c r="Z5" s="45" cm="1">
        <f t="array" ref="Z5">IF(AND(Z$4&gt;=INDEX(plan!$J:$J, $B5), Z$4&lt;=INDEX(plan!$K:$K, $B5)),1,0)</f>
        <v>0</v>
      </c>
      <c r="AA5" s="43" cm="1">
        <f t="array" ref="AA5">IF(AND(AA$4&gt;=INDEX(plan!$J:$J, $B5), AA$4&lt;=INDEX(plan!$K:$K, $B5)),1,0)</f>
        <v>0</v>
      </c>
      <c r="AB5" s="44" cm="1">
        <f t="array" ref="AB5">IF(AND(AB$4&gt;=INDEX(plan!$J:$J, $B5), AB$4&lt;=INDEX(plan!$K:$K, $B5)),1,0)</f>
        <v>0</v>
      </c>
      <c r="AC5" s="44" cm="1">
        <f t="array" ref="AC5">IF(AND(AC$4&gt;=INDEX(plan!$J:$J, $B5), AC$4&lt;=INDEX(plan!$K:$K, $B5)),1,0)</f>
        <v>0</v>
      </c>
      <c r="AD5" s="44" cm="1">
        <f t="array" ref="AD5">IF(AND(AD$4&gt;=INDEX(plan!$J:$J, $B5), AD$4&lt;=INDEX(plan!$K:$K, $B5)),1,0)</f>
        <v>0</v>
      </c>
      <c r="AE5" s="44" cm="1">
        <f t="array" ref="AE5">IF(AND(AE$4&gt;=INDEX(plan!$J:$J, $B5), AE$4&lt;=INDEX(plan!$K:$K, $B5)),1,0)</f>
        <v>0</v>
      </c>
      <c r="AF5" s="44" cm="1">
        <f t="array" ref="AF5">IF(AND(AF$4&gt;=INDEX(plan!$J:$J, $B5), AF$4&lt;=INDEX(plan!$K:$K, $B5)),1,0)</f>
        <v>0</v>
      </c>
      <c r="AG5" s="45" cm="1">
        <f t="array" ref="AG5">IF(AND(AG$4&gt;=INDEX(plan!$J:$J, $B5), AG$4&lt;=INDEX(plan!$K:$K, $B5)),1,0)</f>
        <v>0</v>
      </c>
      <c r="AH5" s="43" cm="1">
        <f t="array" ref="AH5">IF(AND(AH$4&gt;=INDEX(plan!$J:$J, $B5), AH$4&lt;=INDEX(plan!$K:$K, $B5)),1,0)</f>
        <v>0</v>
      </c>
      <c r="AI5" s="44" cm="1">
        <f t="array" ref="AI5">IF(AND(AI$4&gt;=INDEX(plan!$J:$J, $B5), AI$4&lt;=INDEX(plan!$K:$K, $B5)),1,0)</f>
        <v>0</v>
      </c>
      <c r="AJ5" s="44" cm="1">
        <f t="array" ref="AJ5">IF(AND(AJ$4&gt;=INDEX(plan!$J:$J, $B5), AJ$4&lt;=INDEX(plan!$K:$K, $B5)),1,0)</f>
        <v>0</v>
      </c>
      <c r="AK5" s="44" cm="1">
        <f t="array" ref="AK5">IF(AND(AK$4&gt;=INDEX(plan!$J:$J, $B5), AK$4&lt;=INDEX(plan!$K:$K, $B5)),1,0)</f>
        <v>0</v>
      </c>
      <c r="AL5" s="44" cm="1">
        <f t="array" ref="AL5">IF(AND(AL$4&gt;=INDEX(plan!$J:$J, $B5), AL$4&lt;=INDEX(plan!$K:$K, $B5)),1,0)</f>
        <v>0</v>
      </c>
      <c r="AM5" s="44" cm="1">
        <f t="array" ref="AM5">IF(AND(AM$4&gt;=INDEX(plan!$J:$J, $B5), AM$4&lt;=INDEX(plan!$K:$K, $B5)),1,0)</f>
        <v>0</v>
      </c>
      <c r="AN5" s="45" cm="1">
        <f t="array" ref="AN5">IF(AND(AN$4&gt;=INDEX(plan!$J:$J, $B5), AN$4&lt;=INDEX(plan!$K:$K, $B5)),1,0)</f>
        <v>0</v>
      </c>
      <c r="AO5" s="43" cm="1">
        <f t="array" ref="AO5">IF(AND(AO$4&gt;=INDEX(plan!$J:$J, $B5), AO$4&lt;=INDEX(plan!$K:$K, $B5)),1,0)</f>
        <v>0</v>
      </c>
      <c r="AP5" s="44" cm="1">
        <f t="array" ref="AP5">IF(AND(AP$4&gt;=INDEX(plan!$J:$J, $B5), AP$4&lt;=INDEX(plan!$K:$K, $B5)),1,0)</f>
        <v>0</v>
      </c>
      <c r="AQ5" s="44" cm="1">
        <f t="array" ref="AQ5">IF(AND(AQ$4&gt;=INDEX(plan!$J:$J, $B5), AQ$4&lt;=INDEX(plan!$K:$K, $B5)),1,0)</f>
        <v>0</v>
      </c>
      <c r="AR5" s="44" cm="1">
        <f t="array" ref="AR5">IF(AND(AR$4&gt;=INDEX(plan!$J:$J, $B5), AR$4&lt;=INDEX(plan!$K:$K, $B5)),1,0)</f>
        <v>0</v>
      </c>
      <c r="AS5" s="44" cm="1">
        <f t="array" ref="AS5">IF(AND(AS$4&gt;=INDEX(plan!$J:$J, $B5), AS$4&lt;=INDEX(plan!$K:$K, $B5)),1,0)</f>
        <v>0</v>
      </c>
      <c r="AT5" s="44" cm="1">
        <f t="array" ref="AT5">IF(AND(AT$4&gt;=INDEX(plan!$J:$J, $B5), AT$4&lt;=INDEX(plan!$K:$K, $B5)),1,0)</f>
        <v>0</v>
      </c>
      <c r="AU5" s="45" cm="1">
        <f t="array" ref="AU5">IF(AND(AU$4&gt;=INDEX(plan!$J:$J, $B5), AU$4&lt;=INDEX(plan!$K:$K, $B5)),1,0)</f>
        <v>0</v>
      </c>
    </row>
    <row r="6" spans="1:47" ht="12.95" customHeight="1" x14ac:dyDescent="0.3">
      <c r="A6" s="36"/>
      <c r="B6" s="300"/>
      <c r="C6" s="275"/>
      <c r="D6" s="279"/>
      <c r="E6" s="290"/>
      <c r="F6" s="75" cm="1">
        <f t="array" ref="F6">_xlfn.LET(
  _xlpm.act,   cronograma!$C5,
  _xlpm.fecha, cronograma!F$4,
  _xlpm.ini,   INDEX(plan!$J:$J, $B5),
  _xlpm.fin,   INDEX(plan!$K:$K, $B5),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6" s="76" cm="1">
        <f t="array" ref="G6">_xlfn.LET(
  _xlpm.act,   cronograma!$C5,
  _xlpm.fecha, cronograma!G$4,
  _xlpm.ini,   INDEX(plan!$J:$J, $B5),
  _xlpm.fin,   INDEX(plan!$K:$K, $B5),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6" s="76" cm="1">
        <f t="array" ref="H6">_xlfn.LET(
  _xlpm.act,   cronograma!$C5,
  _xlpm.fecha, cronograma!H$4,
  _xlpm.ini,   INDEX(plan!$J:$J, $B5),
  _xlpm.fin,   INDEX(plan!$K:$K, $B5),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6" s="76" cm="1">
        <f t="array" ref="I6">_xlfn.LET(
  _xlpm.act,   cronograma!$C5,
  _xlpm.fecha, cronograma!I$4,
  _xlpm.ini,   INDEX(plan!$J:$J, $B5),
  _xlpm.fin,   INDEX(plan!$K:$K, $B5),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6" s="76" cm="1">
        <f t="array" ref="J6">_xlfn.LET(
  _xlpm.act,   cronograma!$C5,
  _xlpm.fecha, cronograma!J$4,
  _xlpm.ini,   INDEX(plan!$J:$J, $B5),
  _xlpm.fin,   INDEX(plan!$K:$K, $B5),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6" s="76" cm="1">
        <f t="array" ref="K6">_xlfn.LET(
  _xlpm.act,   cronograma!$C5,
  _xlpm.fecha, cronograma!K$4,
  _xlpm.ini,   INDEX(plan!$J:$J, $B5),
  _xlpm.fin,   INDEX(plan!$K:$K, $B5),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6" s="77" cm="1">
        <f t="array" ref="L6">_xlfn.LET(
  _xlpm.act,   cronograma!$C5,
  _xlpm.fecha, cronograma!L$4,
  _xlpm.ini,   INDEX(plan!$J:$J, $B5),
  _xlpm.fin,   INDEX(plan!$K:$K, $B5),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6" s="75" cm="1">
        <f t="array" ref="M6">_xlfn.LET(
  _xlpm.act,   cronograma!$C5,
  _xlpm.fecha, cronograma!M$4,
  _xlpm.ini,   INDEX(plan!$J:$J, $B5),
  _xlpm.fin,   INDEX(plan!$K:$K, $B5),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6" s="76" cm="1">
        <f t="array" ref="N6">_xlfn.LET(
  _xlpm.act,   cronograma!$C5,
  _xlpm.fecha, cronograma!N$4,
  _xlpm.ini,   INDEX(plan!$J:$J, $B5),
  _xlpm.fin,   INDEX(plan!$K:$K, $B5),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6" s="76" cm="1">
        <f t="array" ref="O6">_xlfn.LET(
  _xlpm.act,   cronograma!$C5,
  _xlpm.fecha, cronograma!O$4,
  _xlpm.ini,   INDEX(plan!$J:$J, $B5),
  _xlpm.fin,   INDEX(plan!$K:$K, $B5),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6" s="76" cm="1">
        <f t="array" ref="P6">_xlfn.LET(
  _xlpm.act,   cronograma!$C5,
  _xlpm.fecha, cronograma!P$4,
  _xlpm.ini,   INDEX(plan!$J:$J, $B5),
  _xlpm.fin,   INDEX(plan!$K:$K, $B5),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6" s="76" cm="1">
        <f t="array" ref="Q6">_xlfn.LET(
  _xlpm.act,   cronograma!$C5,
  _xlpm.fecha, cronograma!Q$4,
  _xlpm.ini,   INDEX(plan!$J:$J, $B5),
  _xlpm.fin,   INDEX(plan!$K:$K, $B5),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6" s="76" cm="1">
        <f t="array" ref="R6">_xlfn.LET(
  _xlpm.act,   cronograma!$C5,
  _xlpm.fecha, cronograma!R$4,
  _xlpm.ini,   INDEX(plan!$J:$J, $B5),
  _xlpm.fin,   INDEX(plan!$K:$K, $B5),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6" s="77" cm="1">
        <f t="array" ref="S6">_xlfn.LET(
  _xlpm.act,   cronograma!$C5,
  _xlpm.fecha, cronograma!S$4,
  _xlpm.ini,   INDEX(plan!$J:$J, $B5),
  _xlpm.fin,   INDEX(plan!$K:$K, $B5),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6" s="75" cm="1">
        <f t="array" ref="T6">_xlfn.LET(
  _xlpm.act,   cronograma!$C5,
  _xlpm.fecha, cronograma!T$4,
  _xlpm.ini,   INDEX(plan!$J:$J, $B5),
  _xlpm.fin,   INDEX(plan!$K:$K, $B5),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6" s="76" cm="1">
        <f t="array" ref="U6">_xlfn.LET(
  _xlpm.act,   cronograma!$C5,
  _xlpm.fecha, cronograma!U$4,
  _xlpm.ini,   INDEX(plan!$J:$J, $B5),
  _xlpm.fin,   INDEX(plan!$K:$K, $B5),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6" s="76" cm="1">
        <f t="array" ref="V6">_xlfn.LET(
  _xlpm.act,   cronograma!$C5,
  _xlpm.fecha, cronograma!V$4,
  _xlpm.ini,   INDEX(plan!$J:$J, $B5),
  _xlpm.fin,   INDEX(plan!$K:$K, $B5),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6" s="76" cm="1">
        <f t="array" ref="W6">_xlfn.LET(
  _xlpm.act,   cronograma!$C5,
  _xlpm.fecha, cronograma!W$4,
  _xlpm.ini,   INDEX(plan!$J:$J, $B5),
  _xlpm.fin,   INDEX(plan!$K:$K, $B5),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6" s="76" cm="1">
        <f t="array" ref="X6">_xlfn.LET(
  _xlpm.act,   cronograma!$C5,
  _xlpm.fecha, cronograma!X$4,
  _xlpm.ini,   INDEX(plan!$J:$J, $B5),
  _xlpm.fin,   INDEX(plan!$K:$K, $B5),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6" s="76" cm="1">
        <f t="array" ref="Y6">_xlfn.LET(
  _xlpm.act,   cronograma!$C5,
  _xlpm.fecha, cronograma!Y$4,
  _xlpm.ini,   INDEX(plan!$J:$J, $B5),
  _xlpm.fin,   INDEX(plan!$K:$K, $B5),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6" s="77" cm="1">
        <f t="array" ref="Z6">_xlfn.LET(
  _xlpm.act,   cronograma!$C5,
  _xlpm.fecha, cronograma!Z$4,
  _xlpm.ini,   INDEX(plan!$J:$J, $B5),
  _xlpm.fin,   INDEX(plan!$K:$K, $B5),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6" s="75" cm="1">
        <f t="array" ref="AA6">_xlfn.LET(
  _xlpm.act,   cronograma!$C5,
  _xlpm.fecha, cronograma!AA$4,
  _xlpm.ini,   INDEX(plan!$J:$J, $B5),
  _xlpm.fin,   INDEX(plan!$K:$K, $B5),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6" s="76" cm="1">
        <f t="array" ref="AB6">_xlfn.LET(
  _xlpm.act,   cronograma!$C5,
  _xlpm.fecha, cronograma!AB$4,
  _xlpm.ini,   INDEX(plan!$J:$J, $B5),
  _xlpm.fin,   INDEX(plan!$K:$K, $B5),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6" s="76" cm="1">
        <f t="array" ref="AC6">_xlfn.LET(
  _xlpm.act,   cronograma!$C5,
  _xlpm.fecha, cronograma!AC$4,
  _xlpm.ini,   INDEX(plan!$J:$J, $B5),
  _xlpm.fin,   INDEX(plan!$K:$K, $B5),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6" s="76" cm="1">
        <f t="array" ref="AD6">_xlfn.LET(
  _xlpm.act,   cronograma!$C5,
  _xlpm.fecha, cronograma!AD$4,
  _xlpm.ini,   INDEX(plan!$J:$J, $B5),
  _xlpm.fin,   INDEX(plan!$K:$K, $B5),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6" s="76" cm="1">
        <f t="array" ref="AE6">_xlfn.LET(
  _xlpm.act,   cronograma!$C5,
  _xlpm.fecha, cronograma!AE$4,
  _xlpm.ini,   INDEX(plan!$J:$J, $B5),
  _xlpm.fin,   INDEX(plan!$K:$K, $B5),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6" s="76" cm="1">
        <f t="array" ref="AF6">_xlfn.LET(
  _xlpm.act,   cronograma!$C5,
  _xlpm.fecha, cronograma!AF$4,
  _xlpm.ini,   INDEX(plan!$J:$J, $B5),
  _xlpm.fin,   INDEX(plan!$K:$K, $B5),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6" s="77" cm="1">
        <f t="array" ref="AG6">_xlfn.LET(
  _xlpm.act,   cronograma!$C5,
  _xlpm.fecha, cronograma!AG$4,
  _xlpm.ini,   INDEX(plan!$J:$J, $B5),
  _xlpm.fin,   INDEX(plan!$K:$K, $B5),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6" s="75" cm="1">
        <f t="array" ref="AH6">_xlfn.LET(
  _xlpm.act,   cronograma!$C5,
  _xlpm.fecha, cronograma!AH$4,
  _xlpm.ini,   INDEX(plan!$J:$J, $B5),
  _xlpm.fin,   INDEX(plan!$K:$K, $B5),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6" s="76" cm="1">
        <f t="array" ref="AI6">_xlfn.LET(
  _xlpm.act,   cronograma!$C5,
  _xlpm.fecha, cronograma!AI$4,
  _xlpm.ini,   INDEX(plan!$J:$J, $B5),
  _xlpm.fin,   INDEX(plan!$K:$K, $B5),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6" s="76" cm="1">
        <f t="array" ref="AJ6">_xlfn.LET(
  _xlpm.act,   cronograma!$C5,
  _xlpm.fecha, cronograma!AJ$4,
  _xlpm.ini,   INDEX(plan!$J:$J, $B5),
  _xlpm.fin,   INDEX(plan!$K:$K, $B5),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6" s="76" cm="1">
        <f t="array" ref="AK6">_xlfn.LET(
  _xlpm.act,   cronograma!$C5,
  _xlpm.fecha, cronograma!AK$4,
  _xlpm.ini,   INDEX(plan!$J:$J, $B5),
  _xlpm.fin,   INDEX(plan!$K:$K, $B5),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6" s="76" cm="1">
        <f t="array" ref="AL6">_xlfn.LET(
  _xlpm.act,   cronograma!$C5,
  _xlpm.fecha, cronograma!AL$4,
  _xlpm.ini,   INDEX(plan!$J:$J, $B5),
  _xlpm.fin,   INDEX(plan!$K:$K, $B5),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6" s="76" cm="1">
        <f t="array" ref="AM6">_xlfn.LET(
  _xlpm.act,   cronograma!$C5,
  _xlpm.fecha, cronograma!AM$4,
  _xlpm.ini,   INDEX(plan!$J:$J, $B5),
  _xlpm.fin,   INDEX(plan!$K:$K, $B5),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6" s="77" cm="1">
        <f t="array" ref="AN6">_xlfn.LET(
  _xlpm.act,   cronograma!$C5,
  _xlpm.fecha, cronograma!AN$4,
  _xlpm.ini,   INDEX(plan!$J:$J, $B5),
  _xlpm.fin,   INDEX(plan!$K:$K, $B5),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O6" s="75" cm="1">
        <f t="array" ref="AO6">_xlfn.LET(
  _xlpm.act,   cronograma!$C5,
  _xlpm.fecha, cronograma!AO$4,
  _xlpm.ini,   INDEX(plan!$J:$J, $B5),
  _xlpm.fin,   INDEX(plan!$K:$K, $B5),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P6" s="76" cm="1">
        <f t="array" ref="AP6">_xlfn.LET(
  _xlpm.act,   cronograma!$C5,
  _xlpm.fecha, cronograma!AP$4,
  _xlpm.ini,   INDEX(plan!$J:$J, $B5),
  _xlpm.fin,   INDEX(plan!$K:$K, $B5),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Q6" s="76" cm="1">
        <f t="array" ref="AQ6">_xlfn.LET(
  _xlpm.act,   cronograma!$C5,
  _xlpm.fecha, cronograma!AQ$4,
  _xlpm.ini,   INDEX(plan!$J:$J, $B5),
  _xlpm.fin,   INDEX(plan!$K:$K, $B5),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R6" s="76" cm="1">
        <f t="array" ref="AR6">_xlfn.LET(
  _xlpm.act,   cronograma!$C5,
  _xlpm.fecha, cronograma!AR$4,
  _xlpm.ini,   INDEX(plan!$J:$J, $B5),
  _xlpm.fin,   INDEX(plan!$K:$K, $B5),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S6" s="76" cm="1">
        <f t="array" ref="AS6">_xlfn.LET(
  _xlpm.act,   cronograma!$C5,
  _xlpm.fecha, cronograma!AS$4,
  _xlpm.ini,   INDEX(plan!$J:$J, $B5),
  _xlpm.fin,   INDEX(plan!$K:$K, $B5),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T6" s="76" cm="1">
        <f t="array" ref="AT6">_xlfn.LET(
  _xlpm.act,   cronograma!$C5,
  _xlpm.fecha, cronograma!AT$4,
  _xlpm.ini,   INDEX(plan!$J:$J, $B5),
  _xlpm.fin,   INDEX(plan!$K:$K, $B5),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U6" s="77" cm="1">
        <f t="array" ref="AU6">_xlfn.LET(
  _xlpm.act,   cronograma!$C5,
  _xlpm.fecha, cronograma!AU$4,
  _xlpm.ini,   INDEX(plan!$J:$J, $B5),
  _xlpm.fin,   INDEX(plan!$K:$K, $B5),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</row>
    <row r="7" spans="1:47" ht="12.95" customHeight="1" x14ac:dyDescent="0.3">
      <c r="A7" s="36"/>
      <c r="B7" s="301">
        <f>plan!B5</f>
        <v>5</v>
      </c>
      <c r="C7" s="274" t="str">
        <f>plan!C5</f>
        <v>Reunión de inicio</v>
      </c>
      <c r="D7" s="278" cm="1">
        <f t="array" ref="D7">INDEX(plan!$I:$I, $B7)</f>
        <v>15</v>
      </c>
      <c r="E7" s="276" cm="1">
        <f t="array" ref="E7">INDEX(plan!$U:$U, $B7)</f>
        <v>0</v>
      </c>
      <c r="F7" s="74" cm="1">
        <f t="array" ref="F7">IF(AND(F$4&gt;=INDEX(plan!$J:$J, $B7), F$4&lt;=INDEX(plan!$K:$K, $B7)),1,0)</f>
        <v>0</v>
      </c>
      <c r="G7" s="78" cm="1">
        <f t="array" ref="G7">IF(AND(G$4&gt;=INDEX(plan!$J:$J, $B7), G$4&lt;=INDEX(plan!$K:$K, $B7)),1,0)</f>
        <v>0</v>
      </c>
      <c r="H7" s="78" cm="1">
        <f t="array" ref="H7">IF(AND(H$4&gt;=INDEX(plan!$J:$J, $B7), H$4&lt;=INDEX(plan!$K:$K, $B7)),1,0)</f>
        <v>0</v>
      </c>
      <c r="I7" s="78" cm="1">
        <f t="array" ref="I7">IF(AND(I$4&gt;=INDEX(plan!$J:$J, $B7), I$4&lt;=INDEX(plan!$K:$K, $B7)),1,0)</f>
        <v>1</v>
      </c>
      <c r="J7" s="78" cm="1">
        <f t="array" ref="J7">IF(AND(J$4&gt;=INDEX(plan!$J:$J, $B7), J$4&lt;=INDEX(plan!$K:$K, $B7)),1,0)</f>
        <v>1</v>
      </c>
      <c r="K7" s="78" cm="1">
        <f t="array" ref="K7">IF(AND(K$4&gt;=INDEX(plan!$J:$J, $B7), K$4&lt;=INDEX(plan!$K:$K, $B7)),1,0)</f>
        <v>0</v>
      </c>
      <c r="L7" s="79" cm="1">
        <f t="array" ref="L7">IF(AND(L$4&gt;=INDEX(plan!$J:$J, $B7), L$4&lt;=INDEX(plan!$K:$K, $B7)),1,0)</f>
        <v>0</v>
      </c>
      <c r="M7" s="74" cm="1">
        <f t="array" ref="M7">IF(AND(M$4&gt;=INDEX(plan!$J:$J, $B7), M$4&lt;=INDEX(plan!$K:$K, $B7)),1,0)</f>
        <v>0</v>
      </c>
      <c r="N7" s="78" cm="1">
        <f t="array" ref="N7">IF(AND(N$4&gt;=INDEX(plan!$J:$J, $B7), N$4&lt;=INDEX(plan!$K:$K, $B7)),1,0)</f>
        <v>0</v>
      </c>
      <c r="O7" s="78" cm="1">
        <f t="array" ref="O7">IF(AND(O$4&gt;=INDEX(plan!$J:$J, $B7), O$4&lt;=INDEX(plan!$K:$K, $B7)),1,0)</f>
        <v>0</v>
      </c>
      <c r="P7" s="78" cm="1">
        <f t="array" ref="P7">IF(AND(P$4&gt;=INDEX(plan!$J:$J, $B7), P$4&lt;=INDEX(plan!$K:$K, $B7)),1,0)</f>
        <v>0</v>
      </c>
      <c r="Q7" s="78" cm="1">
        <f t="array" ref="Q7">IF(AND(Q$4&gt;=INDEX(plan!$J:$J, $B7), Q$4&lt;=INDEX(plan!$K:$K, $B7)),1,0)</f>
        <v>0</v>
      </c>
      <c r="R7" s="78" cm="1">
        <f t="array" ref="R7">IF(AND(R$4&gt;=INDEX(plan!$J:$J, $B7), R$4&lt;=INDEX(plan!$K:$K, $B7)),1,0)</f>
        <v>0</v>
      </c>
      <c r="S7" s="79" cm="1">
        <f t="array" ref="S7">IF(AND(S$4&gt;=INDEX(plan!$J:$J, $B7), S$4&lt;=INDEX(plan!$K:$K, $B7)),1,0)</f>
        <v>0</v>
      </c>
      <c r="T7" s="74" cm="1">
        <f t="array" ref="T7">IF(AND(T$4&gt;=INDEX(plan!$J:$J, $B7), T$4&lt;=INDEX(plan!$K:$K, $B7)),1,0)</f>
        <v>0</v>
      </c>
      <c r="U7" s="78" cm="1">
        <f t="array" ref="U7">IF(AND(U$4&gt;=INDEX(plan!$J:$J, $B7), U$4&lt;=INDEX(plan!$K:$K, $B7)),1,0)</f>
        <v>0</v>
      </c>
      <c r="V7" s="78" cm="1">
        <f t="array" ref="V7">IF(AND(V$4&gt;=INDEX(plan!$J:$J, $B7), V$4&lt;=INDEX(plan!$K:$K, $B7)),1,0)</f>
        <v>0</v>
      </c>
      <c r="W7" s="78" cm="1">
        <f t="array" ref="W7">IF(AND(W$4&gt;=INDEX(plan!$J:$J, $B7), W$4&lt;=INDEX(plan!$K:$K, $B7)),1,0)</f>
        <v>0</v>
      </c>
      <c r="X7" s="78" cm="1">
        <f t="array" ref="X7">IF(AND(X$4&gt;=INDEX(plan!$J:$J, $B7), X$4&lt;=INDEX(plan!$K:$K, $B7)),1,0)</f>
        <v>0</v>
      </c>
      <c r="Y7" s="78" cm="1">
        <f t="array" ref="Y7">IF(AND(Y$4&gt;=INDEX(plan!$J:$J, $B7), Y$4&lt;=INDEX(plan!$K:$K, $B7)),1,0)</f>
        <v>0</v>
      </c>
      <c r="Z7" s="79" cm="1">
        <f t="array" ref="Z7">IF(AND(Z$4&gt;=INDEX(plan!$J:$J, $B7), Z$4&lt;=INDEX(plan!$K:$K, $B7)),1,0)</f>
        <v>0</v>
      </c>
      <c r="AA7" s="74" cm="1">
        <f t="array" ref="AA7">IF(AND(AA$4&gt;=INDEX(plan!$J:$J, $B7), AA$4&lt;=INDEX(plan!$K:$K, $B7)),1,0)</f>
        <v>0</v>
      </c>
      <c r="AB7" s="78" cm="1">
        <f t="array" ref="AB7">IF(AND(AB$4&gt;=INDEX(plan!$J:$J, $B7), AB$4&lt;=INDEX(plan!$K:$K, $B7)),1,0)</f>
        <v>0</v>
      </c>
      <c r="AC7" s="78" cm="1">
        <f t="array" ref="AC7">IF(AND(AC$4&gt;=INDEX(plan!$J:$J, $B7), AC$4&lt;=INDEX(plan!$K:$K, $B7)),1,0)</f>
        <v>0</v>
      </c>
      <c r="AD7" s="78" cm="1">
        <f t="array" ref="AD7">IF(AND(AD$4&gt;=INDEX(plan!$J:$J, $B7), AD$4&lt;=INDEX(plan!$K:$K, $B7)),1,0)</f>
        <v>0</v>
      </c>
      <c r="AE7" s="78" cm="1">
        <f t="array" ref="AE7">IF(AND(AE$4&gt;=INDEX(plan!$J:$J, $B7), AE$4&lt;=INDEX(plan!$K:$K, $B7)),1,0)</f>
        <v>0</v>
      </c>
      <c r="AF7" s="78" cm="1">
        <f t="array" ref="AF7">IF(AND(AF$4&gt;=INDEX(plan!$J:$J, $B7), AF$4&lt;=INDEX(plan!$K:$K, $B7)),1,0)</f>
        <v>0</v>
      </c>
      <c r="AG7" s="79" cm="1">
        <f t="array" ref="AG7">IF(AND(AG$4&gt;=INDEX(plan!$J:$J, $B7), AG$4&lt;=INDEX(plan!$K:$K, $B7)),1,0)</f>
        <v>0</v>
      </c>
      <c r="AH7" s="74" cm="1">
        <f t="array" ref="AH7">IF(AND(AH$4&gt;=INDEX(plan!$J:$J, $B7), AH$4&lt;=INDEX(plan!$K:$K, $B7)),1,0)</f>
        <v>0</v>
      </c>
      <c r="AI7" s="78" cm="1">
        <f t="array" ref="AI7">IF(AND(AI$4&gt;=INDEX(plan!$J:$J, $B7), AI$4&lt;=INDEX(plan!$K:$K, $B7)),1,0)</f>
        <v>0</v>
      </c>
      <c r="AJ7" s="78" cm="1">
        <f t="array" ref="AJ7">IF(AND(AJ$4&gt;=INDEX(plan!$J:$J, $B7), AJ$4&lt;=INDEX(plan!$K:$K, $B7)),1,0)</f>
        <v>0</v>
      </c>
      <c r="AK7" s="78" cm="1">
        <f t="array" ref="AK7">IF(AND(AK$4&gt;=INDEX(plan!$J:$J, $B7), AK$4&lt;=INDEX(plan!$K:$K, $B7)),1,0)</f>
        <v>0</v>
      </c>
      <c r="AL7" s="78" cm="1">
        <f t="array" ref="AL7">IF(AND(AL$4&gt;=INDEX(plan!$J:$J, $B7), AL$4&lt;=INDEX(plan!$K:$K, $B7)),1,0)</f>
        <v>0</v>
      </c>
      <c r="AM7" s="78" cm="1">
        <f t="array" ref="AM7">IF(AND(AM$4&gt;=INDEX(plan!$J:$J, $B7), AM$4&lt;=INDEX(plan!$K:$K, $B7)),1,0)</f>
        <v>0</v>
      </c>
      <c r="AN7" s="79" cm="1">
        <f t="array" ref="AN7">IF(AND(AN$4&gt;=INDEX(plan!$J:$J, $B7), AN$4&lt;=INDEX(plan!$K:$K, $B7)),1,0)</f>
        <v>0</v>
      </c>
      <c r="AO7" s="74" cm="1">
        <f t="array" ref="AO7">IF(AND(AO$4&gt;=INDEX(plan!$J:$J, $B7), AO$4&lt;=INDEX(plan!$K:$K, $B7)),1,0)</f>
        <v>0</v>
      </c>
      <c r="AP7" s="78" cm="1">
        <f t="array" ref="AP7">IF(AND(AP$4&gt;=INDEX(plan!$J:$J, $B7), AP$4&lt;=INDEX(plan!$K:$K, $B7)),1,0)</f>
        <v>0</v>
      </c>
      <c r="AQ7" s="78" cm="1">
        <f t="array" ref="AQ7">IF(AND(AQ$4&gt;=INDEX(plan!$J:$J, $B7), AQ$4&lt;=INDEX(plan!$K:$K, $B7)),1,0)</f>
        <v>0</v>
      </c>
      <c r="AR7" s="78" cm="1">
        <f t="array" ref="AR7">IF(AND(AR$4&gt;=INDEX(plan!$J:$J, $B7), AR$4&lt;=INDEX(plan!$K:$K, $B7)),1,0)</f>
        <v>0</v>
      </c>
      <c r="AS7" s="78" cm="1">
        <f t="array" ref="AS7">IF(AND(AS$4&gt;=INDEX(plan!$J:$J, $B7), AS$4&lt;=INDEX(plan!$K:$K, $B7)),1,0)</f>
        <v>0</v>
      </c>
      <c r="AT7" s="78" cm="1">
        <f t="array" ref="AT7">IF(AND(AT$4&gt;=INDEX(plan!$J:$J, $B7), AT$4&lt;=INDEX(plan!$K:$K, $B7)),1,0)</f>
        <v>0</v>
      </c>
      <c r="AU7" s="79" cm="1">
        <f t="array" ref="AU7">IF(AND(AU$4&gt;=INDEX(plan!$J:$J, $B7), AU$4&lt;=INDEX(plan!$K:$K, $B7)),1,0)</f>
        <v>0</v>
      </c>
    </row>
    <row r="8" spans="1:47" ht="12.95" customHeight="1" x14ac:dyDescent="0.3">
      <c r="A8" s="36"/>
      <c r="B8" s="300"/>
      <c r="C8" s="275"/>
      <c r="D8" s="279"/>
      <c r="E8" s="277"/>
      <c r="F8" s="75" cm="1">
        <f t="array" ref="F8">_xlfn.LET(
  _xlpm.act,   cronograma!$C7,
  _xlpm.fecha, cronograma!F$4,
  _xlpm.ini,   INDEX(plan!$J:$J, $B7),
  _xlpm.fin,   INDEX(plan!$K:$K, $B7),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8" s="76" cm="1">
        <f t="array" ref="G8">_xlfn.LET(
  _xlpm.act,   cronograma!$C7,
  _xlpm.fecha, cronograma!G$4,
  _xlpm.ini,   INDEX(plan!$J:$J, $B7),
  _xlpm.fin,   INDEX(plan!$K:$K, $B7),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8" s="76" cm="1">
        <f t="array" ref="H8">_xlfn.LET(
  _xlpm.act,   cronograma!$C7,
  _xlpm.fecha, cronograma!H$4,
  _xlpm.ini,   INDEX(plan!$J:$J, $B7),
  _xlpm.fin,   INDEX(plan!$K:$K, $B7),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8" s="76" cm="1">
        <f t="array" ref="I8">_xlfn.LET(
  _xlpm.act,   cronograma!$C7,
  _xlpm.fecha, cronograma!I$4,
  _xlpm.ini,   INDEX(plan!$J:$J, $B7),
  _xlpm.fin,   INDEX(plan!$K:$K, $B7),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8" s="76" cm="1">
        <f t="array" ref="J8">_xlfn.LET(
  _xlpm.act,   cronograma!$C7,
  _xlpm.fecha, cronograma!J$4,
  _xlpm.ini,   INDEX(plan!$J:$J, $B7),
  _xlpm.fin,   INDEX(plan!$K:$K, $B7),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8" s="76" cm="1">
        <f t="array" ref="K8">_xlfn.LET(
  _xlpm.act,   cronograma!$C7,
  _xlpm.fecha, cronograma!K$4,
  _xlpm.ini,   INDEX(plan!$J:$J, $B7),
  _xlpm.fin,   INDEX(plan!$K:$K, $B7),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8" s="77" cm="1">
        <f t="array" ref="L8">_xlfn.LET(
  _xlpm.act,   cronograma!$C7,
  _xlpm.fecha, cronograma!L$4,
  _xlpm.ini,   INDEX(plan!$J:$J, $B7),
  _xlpm.fin,   INDEX(plan!$K:$K, $B7),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8" s="75" cm="1">
        <f t="array" ref="M8">_xlfn.LET(
  _xlpm.act,   cronograma!$C7,
  _xlpm.fecha, cronograma!M$4,
  _xlpm.ini,   INDEX(plan!$J:$J, $B7),
  _xlpm.fin,   INDEX(plan!$K:$K, $B7),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8" s="76" cm="1">
        <f t="array" ref="N8">_xlfn.LET(
  _xlpm.act,   cronograma!$C7,
  _xlpm.fecha, cronograma!N$4,
  _xlpm.ini,   INDEX(plan!$J:$J, $B7),
  _xlpm.fin,   INDEX(plan!$K:$K, $B7),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8" s="76" cm="1">
        <f t="array" ref="O8">_xlfn.LET(
  _xlpm.act,   cronograma!$C7,
  _xlpm.fecha, cronograma!O$4,
  _xlpm.ini,   INDEX(plan!$J:$J, $B7),
  _xlpm.fin,   INDEX(plan!$K:$K, $B7),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8" s="76" cm="1">
        <f t="array" ref="P8">_xlfn.LET(
  _xlpm.act,   cronograma!$C7,
  _xlpm.fecha, cronograma!P$4,
  _xlpm.ini,   INDEX(plan!$J:$J, $B7),
  _xlpm.fin,   INDEX(plan!$K:$K, $B7),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8" s="76" cm="1">
        <f t="array" ref="Q8">_xlfn.LET(
  _xlpm.act,   cronograma!$C7,
  _xlpm.fecha, cronograma!Q$4,
  _xlpm.ini,   INDEX(plan!$J:$J, $B7),
  _xlpm.fin,   INDEX(plan!$K:$K, $B7),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8" s="76" cm="1">
        <f t="array" ref="R8">_xlfn.LET(
  _xlpm.act,   cronograma!$C7,
  _xlpm.fecha, cronograma!R$4,
  _xlpm.ini,   INDEX(plan!$J:$J, $B7),
  _xlpm.fin,   INDEX(plan!$K:$K, $B7),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8" s="77" cm="1">
        <f t="array" ref="S8">_xlfn.LET(
  _xlpm.act,   cronograma!$C7,
  _xlpm.fecha, cronograma!S$4,
  _xlpm.ini,   INDEX(plan!$J:$J, $B7),
  _xlpm.fin,   INDEX(plan!$K:$K, $B7),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8" s="75" cm="1">
        <f t="array" ref="T8">_xlfn.LET(
  _xlpm.act,   cronograma!$C7,
  _xlpm.fecha, cronograma!T$4,
  _xlpm.ini,   INDEX(plan!$J:$J, $B7),
  _xlpm.fin,   INDEX(plan!$K:$K, $B7),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8" s="76" cm="1">
        <f t="array" ref="U8">_xlfn.LET(
  _xlpm.act,   cronograma!$C7,
  _xlpm.fecha, cronograma!U$4,
  _xlpm.ini,   INDEX(plan!$J:$J, $B7),
  _xlpm.fin,   INDEX(plan!$K:$K, $B7),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8" s="76" cm="1">
        <f t="array" ref="V8">_xlfn.LET(
  _xlpm.act,   cronograma!$C7,
  _xlpm.fecha, cronograma!V$4,
  _xlpm.ini,   INDEX(plan!$J:$J, $B7),
  _xlpm.fin,   INDEX(plan!$K:$K, $B7),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8" s="76" cm="1">
        <f t="array" ref="W8">_xlfn.LET(
  _xlpm.act,   cronograma!$C7,
  _xlpm.fecha, cronograma!W$4,
  _xlpm.ini,   INDEX(plan!$J:$J, $B7),
  _xlpm.fin,   INDEX(plan!$K:$K, $B7),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8" s="76" cm="1">
        <f t="array" ref="X8">_xlfn.LET(
  _xlpm.act,   cronograma!$C7,
  _xlpm.fecha, cronograma!X$4,
  _xlpm.ini,   INDEX(plan!$J:$J, $B7),
  _xlpm.fin,   INDEX(plan!$K:$K, $B7),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8" s="76" cm="1">
        <f t="array" ref="Y8">_xlfn.LET(
  _xlpm.act,   cronograma!$C7,
  _xlpm.fecha, cronograma!Y$4,
  _xlpm.ini,   INDEX(plan!$J:$J, $B7),
  _xlpm.fin,   INDEX(plan!$K:$K, $B7),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8" s="77" cm="1">
        <f t="array" ref="Z8">_xlfn.LET(
  _xlpm.act,   cronograma!$C7,
  _xlpm.fecha, cronograma!Z$4,
  _xlpm.ini,   INDEX(plan!$J:$J, $B7),
  _xlpm.fin,   INDEX(plan!$K:$K, $B7),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8" s="75" cm="1">
        <f t="array" ref="AA8">_xlfn.LET(
  _xlpm.act,   cronograma!$C7,
  _xlpm.fecha, cronograma!AA$4,
  _xlpm.ini,   INDEX(plan!$J:$J, $B7),
  _xlpm.fin,   INDEX(plan!$K:$K, $B7),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8" s="76" cm="1">
        <f t="array" ref="AB8">_xlfn.LET(
  _xlpm.act,   cronograma!$C7,
  _xlpm.fecha, cronograma!AB$4,
  _xlpm.ini,   INDEX(plan!$J:$J, $B7),
  _xlpm.fin,   INDEX(plan!$K:$K, $B7),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8" s="76" cm="1">
        <f t="array" ref="AC8">_xlfn.LET(
  _xlpm.act,   cronograma!$C7,
  _xlpm.fecha, cronograma!AC$4,
  _xlpm.ini,   INDEX(plan!$J:$J, $B7),
  _xlpm.fin,   INDEX(plan!$K:$K, $B7),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8" s="76" cm="1">
        <f t="array" ref="AD8">_xlfn.LET(
  _xlpm.act,   cronograma!$C7,
  _xlpm.fecha, cronograma!AD$4,
  _xlpm.ini,   INDEX(plan!$J:$J, $B7),
  _xlpm.fin,   INDEX(plan!$K:$K, $B7),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8" s="76" cm="1">
        <f t="array" ref="AE8">_xlfn.LET(
  _xlpm.act,   cronograma!$C7,
  _xlpm.fecha, cronograma!AE$4,
  _xlpm.ini,   INDEX(plan!$J:$J, $B7),
  _xlpm.fin,   INDEX(plan!$K:$K, $B7),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8" s="76" cm="1">
        <f t="array" ref="AF8">_xlfn.LET(
  _xlpm.act,   cronograma!$C7,
  _xlpm.fecha, cronograma!AF$4,
  _xlpm.ini,   INDEX(plan!$J:$J, $B7),
  _xlpm.fin,   INDEX(plan!$K:$K, $B7),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8" s="77" cm="1">
        <f t="array" ref="AG8">_xlfn.LET(
  _xlpm.act,   cronograma!$C7,
  _xlpm.fecha, cronograma!AG$4,
  _xlpm.ini,   INDEX(plan!$J:$J, $B7),
  _xlpm.fin,   INDEX(plan!$K:$K, $B7),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8" s="75" cm="1">
        <f t="array" ref="AH8">_xlfn.LET(
  _xlpm.act,   cronograma!$C7,
  _xlpm.fecha, cronograma!AH$4,
  _xlpm.ini,   INDEX(plan!$J:$J, $B7),
  _xlpm.fin,   INDEX(plan!$K:$K, $B7),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8" s="76" cm="1">
        <f t="array" ref="AI8">_xlfn.LET(
  _xlpm.act,   cronograma!$C7,
  _xlpm.fecha, cronograma!AI$4,
  _xlpm.ini,   INDEX(plan!$J:$J, $B7),
  _xlpm.fin,   INDEX(plan!$K:$K, $B7),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8" s="76" cm="1">
        <f t="array" ref="AJ8">_xlfn.LET(
  _xlpm.act,   cronograma!$C7,
  _xlpm.fecha, cronograma!AJ$4,
  _xlpm.ini,   INDEX(plan!$J:$J, $B7),
  _xlpm.fin,   INDEX(plan!$K:$K, $B7),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8" s="76" cm="1">
        <f t="array" ref="AK8">_xlfn.LET(
  _xlpm.act,   cronograma!$C7,
  _xlpm.fecha, cronograma!AK$4,
  _xlpm.ini,   INDEX(plan!$J:$J, $B7),
  _xlpm.fin,   INDEX(plan!$K:$K, $B7),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8" s="76" cm="1">
        <f t="array" ref="AL8">_xlfn.LET(
  _xlpm.act,   cronograma!$C7,
  _xlpm.fecha, cronograma!AL$4,
  _xlpm.ini,   INDEX(plan!$J:$J, $B7),
  _xlpm.fin,   INDEX(plan!$K:$K, $B7),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8" s="76" cm="1">
        <f t="array" ref="AM8">_xlfn.LET(
  _xlpm.act,   cronograma!$C7,
  _xlpm.fecha, cronograma!AM$4,
  _xlpm.ini,   INDEX(plan!$J:$J, $B7),
  _xlpm.fin,   INDEX(plan!$K:$K, $B7),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8" s="77" cm="1">
        <f t="array" ref="AN8">_xlfn.LET(
  _xlpm.act,   cronograma!$C7,
  _xlpm.fecha, cronograma!AN$4,
  _xlpm.ini,   INDEX(plan!$J:$J, $B7),
  _xlpm.fin,   INDEX(plan!$K:$K, $B7),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O8" s="75" cm="1">
        <f t="array" ref="AO8">_xlfn.LET(
  _xlpm.act,   cronograma!$C7,
  _xlpm.fecha, cronograma!AO$4,
  _xlpm.ini,   INDEX(plan!$J:$J, $B7),
  _xlpm.fin,   INDEX(plan!$K:$K, $B7),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P8" s="76" cm="1">
        <f t="array" ref="AP8">_xlfn.LET(
  _xlpm.act,   cronograma!$C7,
  _xlpm.fecha, cronograma!AP$4,
  _xlpm.ini,   INDEX(plan!$J:$J, $B7),
  _xlpm.fin,   INDEX(plan!$K:$K, $B7),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Q8" s="76" cm="1">
        <f t="array" ref="AQ8">_xlfn.LET(
  _xlpm.act,   cronograma!$C7,
  _xlpm.fecha, cronograma!AQ$4,
  _xlpm.ini,   INDEX(plan!$J:$J, $B7),
  _xlpm.fin,   INDEX(plan!$K:$K, $B7),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R8" s="76" cm="1">
        <f t="array" ref="AR8">_xlfn.LET(
  _xlpm.act,   cronograma!$C7,
  _xlpm.fecha, cronograma!AR$4,
  _xlpm.ini,   INDEX(plan!$J:$J, $B7),
  _xlpm.fin,   INDEX(plan!$K:$K, $B7),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S8" s="76" cm="1">
        <f t="array" ref="AS8">_xlfn.LET(
  _xlpm.act,   cronograma!$C7,
  _xlpm.fecha, cronograma!AS$4,
  _xlpm.ini,   INDEX(plan!$J:$J, $B7),
  _xlpm.fin,   INDEX(plan!$K:$K, $B7),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T8" s="76" cm="1">
        <f t="array" ref="AT8">_xlfn.LET(
  _xlpm.act,   cronograma!$C7,
  _xlpm.fecha, cronograma!AT$4,
  _xlpm.ini,   INDEX(plan!$J:$J, $B7),
  _xlpm.fin,   INDEX(plan!$K:$K, $B7),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U8" s="77" cm="1">
        <f t="array" ref="AU8">_xlfn.LET(
  _xlpm.act,   cronograma!$C7,
  _xlpm.fecha, cronograma!AU$4,
  _xlpm.ini,   INDEX(plan!$J:$J, $B7),
  _xlpm.fin,   INDEX(plan!$K:$K, $B7),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</row>
    <row r="9" spans="1:47" ht="12.95" customHeight="1" x14ac:dyDescent="0.3">
      <c r="A9" s="36"/>
      <c r="B9" s="301">
        <f>plan!B6</f>
        <v>6</v>
      </c>
      <c r="C9" s="274" t="str">
        <f>plan!C6</f>
        <v>Gestión de cambios Diccionario</v>
      </c>
      <c r="D9" s="278" cm="1">
        <f t="array" ref="D9">INDEX(plan!$I:$I, $B9)</f>
        <v>5</v>
      </c>
      <c r="E9" s="276" cm="1">
        <f t="array" ref="E9">INDEX(plan!$U:$U, $B9)</f>
        <v>0</v>
      </c>
      <c r="F9" s="74" cm="1">
        <f t="array" ref="F9">IF(AND(F$4&gt;=INDEX(plan!$J:$J, $B9), F$4&lt;=INDEX(plan!$K:$K, $B9)),1,0)</f>
        <v>0</v>
      </c>
      <c r="G9" s="78" cm="1">
        <f t="array" ref="G9">IF(AND(G$4&gt;=INDEX(plan!$J:$J, $B9), G$4&lt;=INDEX(plan!$K:$K, $B9)),1,0)</f>
        <v>0</v>
      </c>
      <c r="H9" s="78" cm="1">
        <f t="array" ref="H9">IF(AND(H$4&gt;=INDEX(plan!$J:$J, $B9), H$4&lt;=INDEX(plan!$K:$K, $B9)),1,0)</f>
        <v>0</v>
      </c>
      <c r="I9" s="78" cm="1">
        <f t="array" ref="I9">IF(AND(I$4&gt;=INDEX(plan!$J:$J, $B9), I$4&lt;=INDEX(plan!$K:$K, $B9)),1,0)</f>
        <v>0</v>
      </c>
      <c r="J9" s="78" cm="1">
        <f t="array" ref="J9">IF(AND(J$4&gt;=INDEX(plan!$J:$J, $B9), J$4&lt;=INDEX(plan!$K:$K, $B9)),1,0)</f>
        <v>1</v>
      </c>
      <c r="K9" s="78" cm="1">
        <f t="array" ref="K9">IF(AND(K$4&gt;=INDEX(plan!$J:$J, $B9), K$4&lt;=INDEX(plan!$K:$K, $B9)),1,0)</f>
        <v>1</v>
      </c>
      <c r="L9" s="79" cm="1">
        <f t="array" ref="L9">IF(AND(L$4&gt;=INDEX(plan!$J:$J, $B9), L$4&lt;=INDEX(plan!$K:$K, $B9)),1,0)</f>
        <v>1</v>
      </c>
      <c r="M9" s="74" cm="1">
        <f t="array" ref="M9">IF(AND(M$4&gt;=INDEX(plan!$J:$J, $B9), M$4&lt;=INDEX(plan!$K:$K, $B9)),1,0)</f>
        <v>1</v>
      </c>
      <c r="N9" s="78" cm="1">
        <f t="array" ref="N9">IF(AND(N$4&gt;=INDEX(plan!$J:$J, $B9), N$4&lt;=INDEX(plan!$K:$K, $B9)),1,0)</f>
        <v>0</v>
      </c>
      <c r="O9" s="78" cm="1">
        <f t="array" ref="O9">IF(AND(O$4&gt;=INDEX(plan!$J:$J, $B9), O$4&lt;=INDEX(plan!$K:$K, $B9)),1,0)</f>
        <v>0</v>
      </c>
      <c r="P9" s="78" cm="1">
        <f t="array" ref="P9">IF(AND(P$4&gt;=INDEX(plan!$J:$J, $B9), P$4&lt;=INDEX(plan!$K:$K, $B9)),1,0)</f>
        <v>0</v>
      </c>
      <c r="Q9" s="78" cm="1">
        <f t="array" ref="Q9">IF(AND(Q$4&gt;=INDEX(plan!$J:$J, $B9), Q$4&lt;=INDEX(plan!$K:$K, $B9)),1,0)</f>
        <v>0</v>
      </c>
      <c r="R9" s="78" cm="1">
        <f t="array" ref="R9">IF(AND(R$4&gt;=INDEX(plan!$J:$J, $B9), R$4&lt;=INDEX(plan!$K:$K, $B9)),1,0)</f>
        <v>0</v>
      </c>
      <c r="S9" s="79" cm="1">
        <f t="array" ref="S9">IF(AND(S$4&gt;=INDEX(plan!$J:$J, $B9), S$4&lt;=INDEX(plan!$K:$K, $B9)),1,0)</f>
        <v>0</v>
      </c>
      <c r="T9" s="74" cm="1">
        <f t="array" ref="T9">IF(AND(T$4&gt;=INDEX(plan!$J:$J, $B9), T$4&lt;=INDEX(plan!$K:$K, $B9)),1,0)</f>
        <v>0</v>
      </c>
      <c r="U9" s="78" cm="1">
        <f t="array" ref="U9">IF(AND(U$4&gt;=INDEX(plan!$J:$J, $B9), U$4&lt;=INDEX(plan!$K:$K, $B9)),1,0)</f>
        <v>0</v>
      </c>
      <c r="V9" s="78" cm="1">
        <f t="array" ref="V9">IF(AND(V$4&gt;=INDEX(plan!$J:$J, $B9), V$4&lt;=INDEX(plan!$K:$K, $B9)),1,0)</f>
        <v>0</v>
      </c>
      <c r="W9" s="78" cm="1">
        <f t="array" ref="W9">IF(AND(W$4&gt;=INDEX(plan!$J:$J, $B9), W$4&lt;=INDEX(plan!$K:$K, $B9)),1,0)</f>
        <v>0</v>
      </c>
      <c r="X9" s="78" cm="1">
        <f t="array" ref="X9">IF(AND(X$4&gt;=INDEX(plan!$J:$J, $B9), X$4&lt;=INDEX(plan!$K:$K, $B9)),1,0)</f>
        <v>0</v>
      </c>
      <c r="Y9" s="78" cm="1">
        <f t="array" ref="Y9">IF(AND(Y$4&gt;=INDEX(plan!$J:$J, $B9), Y$4&lt;=INDEX(plan!$K:$K, $B9)),1,0)</f>
        <v>0</v>
      </c>
      <c r="Z9" s="79" cm="1">
        <f t="array" ref="Z9">IF(AND(Z$4&gt;=INDEX(plan!$J:$J, $B9), Z$4&lt;=INDEX(plan!$K:$K, $B9)),1,0)</f>
        <v>0</v>
      </c>
      <c r="AA9" s="74" cm="1">
        <f t="array" ref="AA9">IF(AND(AA$4&gt;=INDEX(plan!$J:$J, $B9), AA$4&lt;=INDEX(plan!$K:$K, $B9)),1,0)</f>
        <v>0</v>
      </c>
      <c r="AB9" s="78" cm="1">
        <f t="array" ref="AB9">IF(AND(AB$4&gt;=INDEX(plan!$J:$J, $B9), AB$4&lt;=INDEX(plan!$K:$K, $B9)),1,0)</f>
        <v>0</v>
      </c>
      <c r="AC9" s="78" cm="1">
        <f t="array" ref="AC9">IF(AND(AC$4&gt;=INDEX(plan!$J:$J, $B9), AC$4&lt;=INDEX(plan!$K:$K, $B9)),1,0)</f>
        <v>0</v>
      </c>
      <c r="AD9" s="78" cm="1">
        <f t="array" ref="AD9">IF(AND(AD$4&gt;=INDEX(plan!$J:$J, $B9), AD$4&lt;=INDEX(plan!$K:$K, $B9)),1,0)</f>
        <v>0</v>
      </c>
      <c r="AE9" s="78" cm="1">
        <f t="array" ref="AE9">IF(AND(AE$4&gt;=INDEX(plan!$J:$J, $B9), AE$4&lt;=INDEX(plan!$K:$K, $B9)),1,0)</f>
        <v>0</v>
      </c>
      <c r="AF9" s="78" cm="1">
        <f t="array" ref="AF9">IF(AND(AF$4&gt;=INDEX(plan!$J:$J, $B9), AF$4&lt;=INDEX(plan!$K:$K, $B9)),1,0)</f>
        <v>0</v>
      </c>
      <c r="AG9" s="79" cm="1">
        <f t="array" ref="AG9">IF(AND(AG$4&gt;=INDEX(plan!$J:$J, $B9), AG$4&lt;=INDEX(plan!$K:$K, $B9)),1,0)</f>
        <v>0</v>
      </c>
      <c r="AH9" s="74" cm="1">
        <f t="array" ref="AH9">IF(AND(AH$4&gt;=INDEX(plan!$J:$J, $B9), AH$4&lt;=INDEX(plan!$K:$K, $B9)),1,0)</f>
        <v>0</v>
      </c>
      <c r="AI9" s="78" cm="1">
        <f t="array" ref="AI9">IF(AND(AI$4&gt;=INDEX(plan!$J:$J, $B9), AI$4&lt;=INDEX(plan!$K:$K, $B9)),1,0)</f>
        <v>0</v>
      </c>
      <c r="AJ9" s="78" cm="1">
        <f t="array" ref="AJ9">IF(AND(AJ$4&gt;=INDEX(plan!$J:$J, $B9), AJ$4&lt;=INDEX(plan!$K:$K, $B9)),1,0)</f>
        <v>0</v>
      </c>
      <c r="AK9" s="78" cm="1">
        <f t="array" ref="AK9">IF(AND(AK$4&gt;=INDEX(plan!$J:$J, $B9), AK$4&lt;=INDEX(plan!$K:$K, $B9)),1,0)</f>
        <v>0</v>
      </c>
      <c r="AL9" s="78" cm="1">
        <f t="array" ref="AL9">IF(AND(AL$4&gt;=INDEX(plan!$J:$J, $B9), AL$4&lt;=INDEX(plan!$K:$K, $B9)),1,0)</f>
        <v>0</v>
      </c>
      <c r="AM9" s="78" cm="1">
        <f t="array" ref="AM9">IF(AND(AM$4&gt;=INDEX(plan!$J:$J, $B9), AM$4&lt;=INDEX(plan!$K:$K, $B9)),1,0)</f>
        <v>0</v>
      </c>
      <c r="AN9" s="79" cm="1">
        <f t="array" ref="AN9">IF(AND(AN$4&gt;=INDEX(plan!$J:$J, $B9), AN$4&lt;=INDEX(plan!$K:$K, $B9)),1,0)</f>
        <v>0</v>
      </c>
      <c r="AO9" s="74" cm="1">
        <f t="array" ref="AO9">IF(AND(AO$4&gt;=INDEX(plan!$J:$J, $B9), AO$4&lt;=INDEX(plan!$K:$K, $B9)),1,0)</f>
        <v>0</v>
      </c>
      <c r="AP9" s="78" cm="1">
        <f t="array" ref="AP9">IF(AND(AP$4&gt;=INDEX(plan!$J:$J, $B9), AP$4&lt;=INDEX(plan!$K:$K, $B9)),1,0)</f>
        <v>0</v>
      </c>
      <c r="AQ9" s="78" cm="1">
        <f t="array" ref="AQ9">IF(AND(AQ$4&gt;=INDEX(plan!$J:$J, $B9), AQ$4&lt;=INDEX(plan!$K:$K, $B9)),1,0)</f>
        <v>0</v>
      </c>
      <c r="AR9" s="78" cm="1">
        <f t="array" ref="AR9">IF(AND(AR$4&gt;=INDEX(plan!$J:$J, $B9), AR$4&lt;=INDEX(plan!$K:$K, $B9)),1,0)</f>
        <v>0</v>
      </c>
      <c r="AS9" s="78" cm="1">
        <f t="array" ref="AS9">IF(AND(AS$4&gt;=INDEX(plan!$J:$J, $B9), AS$4&lt;=INDEX(plan!$K:$K, $B9)),1,0)</f>
        <v>0</v>
      </c>
      <c r="AT9" s="78" cm="1">
        <f t="array" ref="AT9">IF(AND(AT$4&gt;=INDEX(plan!$J:$J, $B9), AT$4&lt;=INDEX(plan!$K:$K, $B9)),1,0)</f>
        <v>0</v>
      </c>
      <c r="AU9" s="79" cm="1">
        <f t="array" ref="AU9">IF(AND(AU$4&gt;=INDEX(plan!$J:$J, $B9), AU$4&lt;=INDEX(plan!$K:$K, $B9)),1,0)</f>
        <v>0</v>
      </c>
    </row>
    <row r="10" spans="1:47" ht="12.95" customHeight="1" x14ac:dyDescent="0.3">
      <c r="A10" s="36"/>
      <c r="B10" s="300"/>
      <c r="C10" s="275"/>
      <c r="D10" s="279"/>
      <c r="E10" s="277"/>
      <c r="F10" s="75" cm="1">
        <f t="array" ref="F10">_xlfn.LET(
  _xlpm.act,   cronograma!$C9,
  _xlpm.fecha, cronograma!F$4,
  _xlpm.ini,   INDEX(plan!$J:$J, $B9),
  _xlpm.fin,   INDEX(plan!$K:$K, $B9),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10" s="76" cm="1">
        <f t="array" ref="G10">_xlfn.LET(
  _xlpm.act,   cronograma!$C9,
  _xlpm.fecha, cronograma!G$4,
  _xlpm.ini,   INDEX(plan!$J:$J, $B9),
  _xlpm.fin,   INDEX(plan!$K:$K, $B9),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10" s="76" cm="1">
        <f t="array" ref="H10">_xlfn.LET(
  _xlpm.act,   cronograma!$C9,
  _xlpm.fecha, cronograma!H$4,
  _xlpm.ini,   INDEX(plan!$J:$J, $B9),
  _xlpm.fin,   INDEX(plan!$K:$K, $B9),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10" s="76" cm="1">
        <f t="array" ref="I10">_xlfn.LET(
  _xlpm.act,   cronograma!$C9,
  _xlpm.fecha, cronograma!I$4,
  _xlpm.ini,   INDEX(plan!$J:$J, $B9),
  _xlpm.fin,   INDEX(plan!$K:$K, $B9),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10" s="76" cm="1">
        <f t="array" ref="J10">_xlfn.LET(
  _xlpm.act,   cronograma!$C9,
  _xlpm.fecha, cronograma!J$4,
  _xlpm.ini,   INDEX(plan!$J:$J, $B9),
  _xlpm.fin,   INDEX(plan!$K:$K, $B9),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10" s="76" cm="1">
        <f t="array" ref="K10">_xlfn.LET(
  _xlpm.act,   cronograma!$C9,
  _xlpm.fecha, cronograma!K$4,
  _xlpm.ini,   INDEX(plan!$J:$J, $B9),
  _xlpm.fin,   INDEX(plan!$K:$K, $B9),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10" s="77" cm="1">
        <f t="array" ref="L10">_xlfn.LET(
  _xlpm.act,   cronograma!$C9,
  _xlpm.fecha, cronograma!L$4,
  _xlpm.ini,   INDEX(plan!$J:$J, $B9),
  _xlpm.fin,   INDEX(plan!$K:$K, $B9),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10" s="75" cm="1">
        <f t="array" ref="M10">_xlfn.LET(
  _xlpm.act,   cronograma!$C9,
  _xlpm.fecha, cronograma!M$4,
  _xlpm.ini,   INDEX(plan!$J:$J, $B9),
  _xlpm.fin,   INDEX(plan!$K:$K, $B9),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10" s="76" cm="1">
        <f t="array" ref="N10">_xlfn.LET(
  _xlpm.act,   cronograma!$C9,
  _xlpm.fecha, cronograma!N$4,
  _xlpm.ini,   INDEX(plan!$J:$J, $B9),
  _xlpm.fin,   INDEX(plan!$K:$K, $B9),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10" s="76" cm="1">
        <f t="array" ref="O10">_xlfn.LET(
  _xlpm.act,   cronograma!$C9,
  _xlpm.fecha, cronograma!O$4,
  _xlpm.ini,   INDEX(plan!$J:$J, $B9),
  _xlpm.fin,   INDEX(plan!$K:$K, $B9),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10" s="76" cm="1">
        <f t="array" ref="P10">_xlfn.LET(
  _xlpm.act,   cronograma!$C9,
  _xlpm.fecha, cronograma!P$4,
  _xlpm.ini,   INDEX(plan!$J:$J, $B9),
  _xlpm.fin,   INDEX(plan!$K:$K, $B9),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10" s="76" cm="1">
        <f t="array" ref="Q10">_xlfn.LET(
  _xlpm.act,   cronograma!$C9,
  _xlpm.fecha, cronograma!Q$4,
  _xlpm.ini,   INDEX(plan!$J:$J, $B9),
  _xlpm.fin,   INDEX(plan!$K:$K, $B9),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10" s="76" cm="1">
        <f t="array" ref="R10">_xlfn.LET(
  _xlpm.act,   cronograma!$C9,
  _xlpm.fecha, cronograma!R$4,
  _xlpm.ini,   INDEX(plan!$J:$J, $B9),
  _xlpm.fin,   INDEX(plan!$K:$K, $B9),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10" s="77" cm="1">
        <f t="array" ref="S10">_xlfn.LET(
  _xlpm.act,   cronograma!$C9,
  _xlpm.fecha, cronograma!S$4,
  _xlpm.ini,   INDEX(plan!$J:$J, $B9),
  _xlpm.fin,   INDEX(plan!$K:$K, $B9),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10" s="75" cm="1">
        <f t="array" ref="T10">_xlfn.LET(
  _xlpm.act,   cronograma!$C9,
  _xlpm.fecha, cronograma!T$4,
  _xlpm.ini,   INDEX(plan!$J:$J, $B9),
  _xlpm.fin,   INDEX(plan!$K:$K, $B9),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10" s="76" cm="1">
        <f t="array" ref="U10">_xlfn.LET(
  _xlpm.act,   cronograma!$C9,
  _xlpm.fecha, cronograma!U$4,
  _xlpm.ini,   INDEX(plan!$J:$J, $B9),
  _xlpm.fin,   INDEX(plan!$K:$K, $B9),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10" s="76" cm="1">
        <f t="array" ref="V10">_xlfn.LET(
  _xlpm.act,   cronograma!$C9,
  _xlpm.fecha, cronograma!V$4,
  _xlpm.ini,   INDEX(plan!$J:$J, $B9),
  _xlpm.fin,   INDEX(plan!$K:$K, $B9),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10" s="76" cm="1">
        <f t="array" ref="W10">_xlfn.LET(
  _xlpm.act,   cronograma!$C9,
  _xlpm.fecha, cronograma!W$4,
  _xlpm.ini,   INDEX(plan!$J:$J, $B9),
  _xlpm.fin,   INDEX(plan!$K:$K, $B9),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10" s="76" cm="1">
        <f t="array" ref="X10">_xlfn.LET(
  _xlpm.act,   cronograma!$C9,
  _xlpm.fecha, cronograma!X$4,
  _xlpm.ini,   INDEX(plan!$J:$J, $B9),
  _xlpm.fin,   INDEX(plan!$K:$K, $B9),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10" s="76" cm="1">
        <f t="array" ref="Y10">_xlfn.LET(
  _xlpm.act,   cronograma!$C9,
  _xlpm.fecha, cronograma!Y$4,
  _xlpm.ini,   INDEX(plan!$J:$J, $B9),
  _xlpm.fin,   INDEX(plan!$K:$K, $B9),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10" s="77" cm="1">
        <f t="array" ref="Z10">_xlfn.LET(
  _xlpm.act,   cronograma!$C9,
  _xlpm.fecha, cronograma!Z$4,
  _xlpm.ini,   INDEX(plan!$J:$J, $B9),
  _xlpm.fin,   INDEX(plan!$K:$K, $B9),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10" s="75" cm="1">
        <f t="array" ref="AA10">_xlfn.LET(
  _xlpm.act,   cronograma!$C9,
  _xlpm.fecha, cronograma!AA$4,
  _xlpm.ini,   INDEX(plan!$J:$J, $B9),
  _xlpm.fin,   INDEX(plan!$K:$K, $B9),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10" s="76" cm="1">
        <f t="array" ref="AB10">_xlfn.LET(
  _xlpm.act,   cronograma!$C9,
  _xlpm.fecha, cronograma!AB$4,
  _xlpm.ini,   INDEX(plan!$J:$J, $B9),
  _xlpm.fin,   INDEX(plan!$K:$K, $B9),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10" s="76" cm="1">
        <f t="array" ref="AC10">_xlfn.LET(
  _xlpm.act,   cronograma!$C9,
  _xlpm.fecha, cronograma!AC$4,
  _xlpm.ini,   INDEX(plan!$J:$J, $B9),
  _xlpm.fin,   INDEX(plan!$K:$K, $B9),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10" s="76" cm="1">
        <f t="array" ref="AD10">_xlfn.LET(
  _xlpm.act,   cronograma!$C9,
  _xlpm.fecha, cronograma!AD$4,
  _xlpm.ini,   INDEX(plan!$J:$J, $B9),
  _xlpm.fin,   INDEX(plan!$K:$K, $B9),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10" s="76" cm="1">
        <f t="array" ref="AE10">_xlfn.LET(
  _xlpm.act,   cronograma!$C9,
  _xlpm.fecha, cronograma!AE$4,
  _xlpm.ini,   INDEX(plan!$J:$J, $B9),
  _xlpm.fin,   INDEX(plan!$K:$K, $B9),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10" s="76" cm="1">
        <f t="array" ref="AF10">_xlfn.LET(
  _xlpm.act,   cronograma!$C9,
  _xlpm.fecha, cronograma!AF$4,
  _xlpm.ini,   INDEX(plan!$J:$J, $B9),
  _xlpm.fin,   INDEX(plan!$K:$K, $B9),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10" s="77" cm="1">
        <f t="array" ref="AG10">_xlfn.LET(
  _xlpm.act,   cronograma!$C9,
  _xlpm.fecha, cronograma!AG$4,
  _xlpm.ini,   INDEX(plan!$J:$J, $B9),
  _xlpm.fin,   INDEX(plan!$K:$K, $B9),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10" s="75" cm="1">
        <f t="array" ref="AH10">_xlfn.LET(
  _xlpm.act,   cronograma!$C9,
  _xlpm.fecha, cronograma!AH$4,
  _xlpm.ini,   INDEX(plan!$J:$J, $B9),
  _xlpm.fin,   INDEX(plan!$K:$K, $B9),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10" s="76" cm="1">
        <f t="array" ref="AI10">_xlfn.LET(
  _xlpm.act,   cronograma!$C9,
  _xlpm.fecha, cronograma!AI$4,
  _xlpm.ini,   INDEX(plan!$J:$J, $B9),
  _xlpm.fin,   INDEX(plan!$K:$K, $B9),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10" s="76" cm="1">
        <f t="array" ref="AJ10">_xlfn.LET(
  _xlpm.act,   cronograma!$C9,
  _xlpm.fecha, cronograma!AJ$4,
  _xlpm.ini,   INDEX(plan!$J:$J, $B9),
  _xlpm.fin,   INDEX(plan!$K:$K, $B9),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10" s="76" cm="1">
        <f t="array" ref="AK10">_xlfn.LET(
  _xlpm.act,   cronograma!$C9,
  _xlpm.fecha, cronograma!AK$4,
  _xlpm.ini,   INDEX(plan!$J:$J, $B9),
  _xlpm.fin,   INDEX(plan!$K:$K, $B9),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10" s="76" cm="1">
        <f t="array" ref="AL10">_xlfn.LET(
  _xlpm.act,   cronograma!$C9,
  _xlpm.fecha, cronograma!AL$4,
  _xlpm.ini,   INDEX(plan!$J:$J, $B9),
  _xlpm.fin,   INDEX(plan!$K:$K, $B9),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10" s="76" cm="1">
        <f t="array" ref="AM10">_xlfn.LET(
  _xlpm.act,   cronograma!$C9,
  _xlpm.fecha, cronograma!AM$4,
  _xlpm.ini,   INDEX(plan!$J:$J, $B9),
  _xlpm.fin,   INDEX(plan!$K:$K, $B9),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10" s="77" cm="1">
        <f t="array" ref="AN10">_xlfn.LET(
  _xlpm.act,   cronograma!$C9,
  _xlpm.fecha, cronograma!AN$4,
  _xlpm.ini,   INDEX(plan!$J:$J, $B9),
  _xlpm.fin,   INDEX(plan!$K:$K, $B9),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O10" s="75" cm="1">
        <f t="array" ref="AO10">_xlfn.LET(
  _xlpm.act,   cronograma!$C9,
  _xlpm.fecha, cronograma!AO$4,
  _xlpm.ini,   INDEX(plan!$J:$J, $B9),
  _xlpm.fin,   INDEX(plan!$K:$K, $B9),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P10" s="76" cm="1">
        <f t="array" ref="AP10">_xlfn.LET(
  _xlpm.act,   cronograma!$C9,
  _xlpm.fecha, cronograma!AP$4,
  _xlpm.ini,   INDEX(plan!$J:$J, $B9),
  _xlpm.fin,   INDEX(plan!$K:$K, $B9),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Q10" s="76" cm="1">
        <f t="array" ref="AQ10">_xlfn.LET(
  _xlpm.act,   cronograma!$C9,
  _xlpm.fecha, cronograma!AQ$4,
  _xlpm.ini,   INDEX(plan!$J:$J, $B9),
  _xlpm.fin,   INDEX(plan!$K:$K, $B9),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R10" s="76" cm="1">
        <f t="array" ref="AR10">_xlfn.LET(
  _xlpm.act,   cronograma!$C9,
  _xlpm.fecha, cronograma!AR$4,
  _xlpm.ini,   INDEX(plan!$J:$J, $B9),
  _xlpm.fin,   INDEX(plan!$K:$K, $B9),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S10" s="76" cm="1">
        <f t="array" ref="AS10">_xlfn.LET(
  _xlpm.act,   cronograma!$C9,
  _xlpm.fecha, cronograma!AS$4,
  _xlpm.ini,   INDEX(plan!$J:$J, $B9),
  _xlpm.fin,   INDEX(plan!$K:$K, $B9),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T10" s="76" cm="1">
        <f t="array" ref="AT10">_xlfn.LET(
  _xlpm.act,   cronograma!$C9,
  _xlpm.fecha, cronograma!AT$4,
  _xlpm.ini,   INDEX(plan!$J:$J, $B9),
  _xlpm.fin,   INDEX(plan!$K:$K, $B9),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U10" s="77" cm="1">
        <f t="array" ref="AU10">_xlfn.LET(
  _xlpm.act,   cronograma!$C9,
  _xlpm.fecha, cronograma!AU$4,
  _xlpm.ini,   INDEX(plan!$J:$J, $B9),
  _xlpm.fin,   INDEX(plan!$K:$K, $B9),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</row>
    <row r="11" spans="1:47" ht="12.95" customHeight="1" x14ac:dyDescent="0.3">
      <c r="A11" s="36"/>
      <c r="B11" s="301">
        <f>plan!B7</f>
        <v>7</v>
      </c>
      <c r="C11" s="274" t="str">
        <f>plan!C7</f>
        <v>Gestión de cambios Integridad</v>
      </c>
      <c r="D11" s="278" cm="1">
        <f t="array" ref="D11">INDEX(plan!$I:$I, $B11)</f>
        <v>10</v>
      </c>
      <c r="E11" s="276" cm="1">
        <f t="array" ref="E11">INDEX(plan!$U:$U, $B11)</f>
        <v>0</v>
      </c>
      <c r="F11" s="74" cm="1">
        <f t="array" ref="F11">IF(AND(F$4&gt;=INDEX(plan!$J:$J, $B11), F$4&lt;=INDEX(plan!$K:$K, $B11)),1,0)</f>
        <v>0</v>
      </c>
      <c r="G11" s="78" cm="1">
        <f t="array" ref="G11">IF(AND(G$4&gt;=INDEX(plan!$J:$J, $B11), G$4&lt;=INDEX(plan!$K:$K, $B11)),1,0)</f>
        <v>0</v>
      </c>
      <c r="H11" s="78" cm="1">
        <f t="array" ref="H11">IF(AND(H$4&gt;=INDEX(plan!$J:$J, $B11), H$4&lt;=INDEX(plan!$K:$K, $B11)),1,0)</f>
        <v>0</v>
      </c>
      <c r="I11" s="78" cm="1">
        <f t="array" ref="I11">IF(AND(I$4&gt;=INDEX(plan!$J:$J, $B11), I$4&lt;=INDEX(plan!$K:$K, $B11)),1,0)</f>
        <v>0</v>
      </c>
      <c r="J11" s="78" cm="1">
        <f t="array" ref="J11">IF(AND(J$4&gt;=INDEX(plan!$J:$J, $B11), J$4&lt;=INDEX(plan!$K:$K, $B11)),1,0)</f>
        <v>0</v>
      </c>
      <c r="K11" s="78" cm="1">
        <f t="array" ref="K11">IF(AND(K$4&gt;=INDEX(plan!$J:$J, $B11), K$4&lt;=INDEX(plan!$K:$K, $B11)),1,0)</f>
        <v>0</v>
      </c>
      <c r="L11" s="79" cm="1">
        <f t="array" ref="L11">IF(AND(L$4&gt;=INDEX(plan!$J:$J, $B11), L$4&lt;=INDEX(plan!$K:$K, $B11)),1,0)</f>
        <v>0</v>
      </c>
      <c r="M11" s="74" cm="1">
        <f t="array" ref="M11">IF(AND(M$4&gt;=INDEX(plan!$J:$J, $B11), M$4&lt;=INDEX(plan!$K:$K, $B11)),1,0)</f>
        <v>1</v>
      </c>
      <c r="N11" s="78" cm="1">
        <f t="array" ref="N11">IF(AND(N$4&gt;=INDEX(plan!$J:$J, $B11), N$4&lt;=INDEX(plan!$K:$K, $B11)),1,0)</f>
        <v>1</v>
      </c>
      <c r="O11" s="78" cm="1">
        <f t="array" ref="O11">IF(AND(O$4&gt;=INDEX(plan!$J:$J, $B11), O$4&lt;=INDEX(plan!$K:$K, $B11)),1,0)</f>
        <v>0</v>
      </c>
      <c r="P11" s="78" cm="1">
        <f t="array" ref="P11">IF(AND(P$4&gt;=INDEX(plan!$J:$J, $B11), P$4&lt;=INDEX(plan!$K:$K, $B11)),1,0)</f>
        <v>0</v>
      </c>
      <c r="Q11" s="78" cm="1">
        <f t="array" ref="Q11">IF(AND(Q$4&gt;=INDEX(plan!$J:$J, $B11), Q$4&lt;=INDEX(plan!$K:$K, $B11)),1,0)</f>
        <v>0</v>
      </c>
      <c r="R11" s="78" cm="1">
        <f t="array" ref="R11">IF(AND(R$4&gt;=INDEX(plan!$J:$J, $B11), R$4&lt;=INDEX(plan!$K:$K, $B11)),1,0)</f>
        <v>0</v>
      </c>
      <c r="S11" s="79" cm="1">
        <f t="array" ref="S11">IF(AND(S$4&gt;=INDEX(plan!$J:$J, $B11), S$4&lt;=INDEX(plan!$K:$K, $B11)),1,0)</f>
        <v>0</v>
      </c>
      <c r="T11" s="74" cm="1">
        <f t="array" ref="T11">IF(AND(T$4&gt;=INDEX(plan!$J:$J, $B11), T$4&lt;=INDEX(plan!$K:$K, $B11)),1,0)</f>
        <v>0</v>
      </c>
      <c r="U11" s="78" cm="1">
        <f t="array" ref="U11">IF(AND(U$4&gt;=INDEX(plan!$J:$J, $B11), U$4&lt;=INDEX(plan!$K:$K, $B11)),1,0)</f>
        <v>0</v>
      </c>
      <c r="V11" s="78" cm="1">
        <f t="array" ref="V11">IF(AND(V$4&gt;=INDEX(plan!$J:$J, $B11), V$4&lt;=INDEX(plan!$K:$K, $B11)),1,0)</f>
        <v>0</v>
      </c>
      <c r="W11" s="78" cm="1">
        <f t="array" ref="W11">IF(AND(W$4&gt;=INDEX(plan!$J:$J, $B11), W$4&lt;=INDEX(plan!$K:$K, $B11)),1,0)</f>
        <v>0</v>
      </c>
      <c r="X11" s="78" cm="1">
        <f t="array" ref="X11">IF(AND(X$4&gt;=INDEX(plan!$J:$J, $B11), X$4&lt;=INDEX(plan!$K:$K, $B11)),1,0)</f>
        <v>0</v>
      </c>
      <c r="Y11" s="78" cm="1">
        <f t="array" ref="Y11">IF(AND(Y$4&gt;=INDEX(plan!$J:$J, $B11), Y$4&lt;=INDEX(plan!$K:$K, $B11)),1,0)</f>
        <v>0</v>
      </c>
      <c r="Z11" s="79" cm="1">
        <f t="array" ref="Z11">IF(AND(Z$4&gt;=INDEX(plan!$J:$J, $B11), Z$4&lt;=INDEX(plan!$K:$K, $B11)),1,0)</f>
        <v>0</v>
      </c>
      <c r="AA11" s="74" cm="1">
        <f t="array" ref="AA11">IF(AND(AA$4&gt;=INDEX(plan!$J:$J, $B11), AA$4&lt;=INDEX(plan!$K:$K, $B11)),1,0)</f>
        <v>0</v>
      </c>
      <c r="AB11" s="78" cm="1">
        <f t="array" ref="AB11">IF(AND(AB$4&gt;=INDEX(plan!$J:$J, $B11), AB$4&lt;=INDEX(plan!$K:$K, $B11)),1,0)</f>
        <v>0</v>
      </c>
      <c r="AC11" s="78" cm="1">
        <f t="array" ref="AC11">IF(AND(AC$4&gt;=INDEX(plan!$J:$J, $B11), AC$4&lt;=INDEX(plan!$K:$K, $B11)),1,0)</f>
        <v>0</v>
      </c>
      <c r="AD11" s="78" cm="1">
        <f t="array" ref="AD11">IF(AND(AD$4&gt;=INDEX(plan!$J:$J, $B11), AD$4&lt;=INDEX(plan!$K:$K, $B11)),1,0)</f>
        <v>0</v>
      </c>
      <c r="AE11" s="78" cm="1">
        <f t="array" ref="AE11">IF(AND(AE$4&gt;=INDEX(plan!$J:$J, $B11), AE$4&lt;=INDEX(plan!$K:$K, $B11)),1,0)</f>
        <v>0</v>
      </c>
      <c r="AF11" s="78" cm="1">
        <f t="array" ref="AF11">IF(AND(AF$4&gt;=INDEX(plan!$J:$J, $B11), AF$4&lt;=INDEX(plan!$K:$K, $B11)),1,0)</f>
        <v>0</v>
      </c>
      <c r="AG11" s="79" cm="1">
        <f t="array" ref="AG11">IF(AND(AG$4&gt;=INDEX(plan!$J:$J, $B11), AG$4&lt;=INDEX(plan!$K:$K, $B11)),1,0)</f>
        <v>0</v>
      </c>
      <c r="AH11" s="74" cm="1">
        <f t="array" ref="AH11">IF(AND(AH$4&gt;=INDEX(plan!$J:$J, $B11), AH$4&lt;=INDEX(plan!$K:$K, $B11)),1,0)</f>
        <v>0</v>
      </c>
      <c r="AI11" s="78" cm="1">
        <f t="array" ref="AI11">IF(AND(AI$4&gt;=INDEX(plan!$J:$J, $B11), AI$4&lt;=INDEX(plan!$K:$K, $B11)),1,0)</f>
        <v>0</v>
      </c>
      <c r="AJ11" s="78" cm="1">
        <f t="array" ref="AJ11">IF(AND(AJ$4&gt;=INDEX(plan!$J:$J, $B11), AJ$4&lt;=INDEX(plan!$K:$K, $B11)),1,0)</f>
        <v>0</v>
      </c>
      <c r="AK11" s="78" cm="1">
        <f t="array" ref="AK11">IF(AND(AK$4&gt;=INDEX(plan!$J:$J, $B11), AK$4&lt;=INDEX(plan!$K:$K, $B11)),1,0)</f>
        <v>0</v>
      </c>
      <c r="AL11" s="78" cm="1">
        <f t="array" ref="AL11">IF(AND(AL$4&gt;=INDEX(plan!$J:$J, $B11), AL$4&lt;=INDEX(plan!$K:$K, $B11)),1,0)</f>
        <v>0</v>
      </c>
      <c r="AM11" s="78" cm="1">
        <f t="array" ref="AM11">IF(AND(AM$4&gt;=INDEX(plan!$J:$J, $B11), AM$4&lt;=INDEX(plan!$K:$K, $B11)),1,0)</f>
        <v>0</v>
      </c>
      <c r="AN11" s="79" cm="1">
        <f t="array" ref="AN11">IF(AND(AN$4&gt;=INDEX(plan!$J:$J, $B11), AN$4&lt;=INDEX(plan!$K:$K, $B11)),1,0)</f>
        <v>0</v>
      </c>
      <c r="AO11" s="74" cm="1">
        <f t="array" ref="AO11">IF(AND(AO$4&gt;=INDEX(plan!$J:$J, $B11), AO$4&lt;=INDEX(plan!$K:$K, $B11)),1,0)</f>
        <v>0</v>
      </c>
      <c r="AP11" s="78" cm="1">
        <f t="array" ref="AP11">IF(AND(AP$4&gt;=INDEX(plan!$J:$J, $B11), AP$4&lt;=INDEX(plan!$K:$K, $B11)),1,0)</f>
        <v>0</v>
      </c>
      <c r="AQ11" s="78" cm="1">
        <f t="array" ref="AQ11">IF(AND(AQ$4&gt;=INDEX(plan!$J:$J, $B11), AQ$4&lt;=INDEX(plan!$K:$K, $B11)),1,0)</f>
        <v>0</v>
      </c>
      <c r="AR11" s="78" cm="1">
        <f t="array" ref="AR11">IF(AND(AR$4&gt;=INDEX(plan!$J:$J, $B11), AR$4&lt;=INDEX(plan!$K:$K, $B11)),1,0)</f>
        <v>0</v>
      </c>
      <c r="AS11" s="78" cm="1">
        <f t="array" ref="AS11">IF(AND(AS$4&gt;=INDEX(plan!$J:$J, $B11), AS$4&lt;=INDEX(plan!$K:$K, $B11)),1,0)</f>
        <v>0</v>
      </c>
      <c r="AT11" s="78" cm="1">
        <f t="array" ref="AT11">IF(AND(AT$4&gt;=INDEX(plan!$J:$J, $B11), AT$4&lt;=INDEX(plan!$K:$K, $B11)),1,0)</f>
        <v>0</v>
      </c>
      <c r="AU11" s="79" cm="1">
        <f t="array" ref="AU11">IF(AND(AU$4&gt;=INDEX(plan!$J:$J, $B11), AU$4&lt;=INDEX(plan!$K:$K, $B11)),1,0)</f>
        <v>0</v>
      </c>
    </row>
    <row r="12" spans="1:47" ht="12.95" customHeight="1" x14ac:dyDescent="0.3">
      <c r="A12" s="36"/>
      <c r="B12" s="300"/>
      <c r="C12" s="275"/>
      <c r="D12" s="279"/>
      <c r="E12" s="277"/>
      <c r="F12" s="75" cm="1">
        <f t="array" ref="F12">_xlfn.LET(
  _xlpm.act,   cronograma!$C11,
  _xlpm.fecha, cronograma!F$4,
  _xlpm.ini,   INDEX(plan!$J:$J, $B11),
  _xlpm.fin,   INDEX(plan!$K:$K, $B11),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12" s="76" cm="1">
        <f t="array" ref="G12">_xlfn.LET(
  _xlpm.act,   cronograma!$C11,
  _xlpm.fecha, cronograma!G$4,
  _xlpm.ini,   INDEX(plan!$J:$J, $B11),
  _xlpm.fin,   INDEX(plan!$K:$K, $B11),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12" s="76" cm="1">
        <f t="array" ref="H12">_xlfn.LET(
  _xlpm.act,   cronograma!$C11,
  _xlpm.fecha, cronograma!H$4,
  _xlpm.ini,   INDEX(plan!$J:$J, $B11),
  _xlpm.fin,   INDEX(plan!$K:$K, $B11),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12" s="76" cm="1">
        <f t="array" ref="I12">_xlfn.LET(
  _xlpm.act,   cronograma!$C11,
  _xlpm.fecha, cronograma!I$4,
  _xlpm.ini,   INDEX(plan!$J:$J, $B11),
  _xlpm.fin,   INDEX(plan!$K:$K, $B11),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12" s="76" cm="1">
        <f t="array" ref="J12">_xlfn.LET(
  _xlpm.act,   cronograma!$C11,
  _xlpm.fecha, cronograma!J$4,
  _xlpm.ini,   INDEX(plan!$J:$J, $B11),
  _xlpm.fin,   INDEX(plan!$K:$K, $B11),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12" s="76" cm="1">
        <f t="array" ref="K12">_xlfn.LET(
  _xlpm.act,   cronograma!$C11,
  _xlpm.fecha, cronograma!K$4,
  _xlpm.ini,   INDEX(plan!$J:$J, $B11),
  _xlpm.fin,   INDEX(plan!$K:$K, $B11),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12" s="77" cm="1">
        <f t="array" ref="L12">_xlfn.LET(
  _xlpm.act,   cronograma!$C11,
  _xlpm.fecha, cronograma!L$4,
  _xlpm.ini,   INDEX(plan!$J:$J, $B11),
  _xlpm.fin,   INDEX(plan!$K:$K, $B11),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12" s="75" cm="1">
        <f t="array" ref="M12">_xlfn.LET(
  _xlpm.act,   cronograma!$C11,
  _xlpm.fecha, cronograma!M$4,
  _xlpm.ini,   INDEX(plan!$J:$J, $B11),
  _xlpm.fin,   INDEX(plan!$K:$K, $B11),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12" s="76" cm="1">
        <f t="array" ref="N12">_xlfn.LET(
  _xlpm.act,   cronograma!$C11,
  _xlpm.fecha, cronograma!N$4,
  _xlpm.ini,   INDEX(plan!$J:$J, $B11),
  _xlpm.fin,   INDEX(plan!$K:$K, $B11),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12" s="76" cm="1">
        <f t="array" ref="O12">_xlfn.LET(
  _xlpm.act,   cronograma!$C11,
  _xlpm.fecha, cronograma!O$4,
  _xlpm.ini,   INDEX(plan!$J:$J, $B11),
  _xlpm.fin,   INDEX(plan!$K:$K, $B11),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12" s="76" cm="1">
        <f t="array" ref="P12">_xlfn.LET(
  _xlpm.act,   cronograma!$C11,
  _xlpm.fecha, cronograma!P$4,
  _xlpm.ini,   INDEX(plan!$J:$J, $B11),
  _xlpm.fin,   INDEX(plan!$K:$K, $B11),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12" s="76" cm="1">
        <f t="array" ref="Q12">_xlfn.LET(
  _xlpm.act,   cronograma!$C11,
  _xlpm.fecha, cronograma!Q$4,
  _xlpm.ini,   INDEX(plan!$J:$J, $B11),
  _xlpm.fin,   INDEX(plan!$K:$K, $B11),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12" s="76" cm="1">
        <f t="array" ref="R12">_xlfn.LET(
  _xlpm.act,   cronograma!$C11,
  _xlpm.fecha, cronograma!R$4,
  _xlpm.ini,   INDEX(plan!$J:$J, $B11),
  _xlpm.fin,   INDEX(plan!$K:$K, $B11),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12" s="77" cm="1">
        <f t="array" ref="S12">_xlfn.LET(
  _xlpm.act,   cronograma!$C11,
  _xlpm.fecha, cronograma!S$4,
  _xlpm.ini,   INDEX(plan!$J:$J, $B11),
  _xlpm.fin,   INDEX(plan!$K:$K, $B11),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12" s="75" cm="1">
        <f t="array" ref="T12">_xlfn.LET(
  _xlpm.act,   cronograma!$C11,
  _xlpm.fecha, cronograma!T$4,
  _xlpm.ini,   INDEX(plan!$J:$J, $B11),
  _xlpm.fin,   INDEX(plan!$K:$K, $B11),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12" s="76" cm="1">
        <f t="array" ref="U12">_xlfn.LET(
  _xlpm.act,   cronograma!$C11,
  _xlpm.fecha, cronograma!U$4,
  _xlpm.ini,   INDEX(plan!$J:$J, $B11),
  _xlpm.fin,   INDEX(plan!$K:$K, $B11),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12" s="76" cm="1">
        <f t="array" ref="V12">_xlfn.LET(
  _xlpm.act,   cronograma!$C11,
  _xlpm.fecha, cronograma!V$4,
  _xlpm.ini,   INDEX(plan!$J:$J, $B11),
  _xlpm.fin,   INDEX(plan!$K:$K, $B11),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12" s="76" cm="1">
        <f t="array" ref="W12">_xlfn.LET(
  _xlpm.act,   cronograma!$C11,
  _xlpm.fecha, cronograma!W$4,
  _xlpm.ini,   INDEX(plan!$J:$J, $B11),
  _xlpm.fin,   INDEX(plan!$K:$K, $B11),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12" s="76" cm="1">
        <f t="array" ref="X12">_xlfn.LET(
  _xlpm.act,   cronograma!$C11,
  _xlpm.fecha, cronograma!X$4,
  _xlpm.ini,   INDEX(plan!$J:$J, $B11),
  _xlpm.fin,   INDEX(plan!$K:$K, $B11),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12" s="76" cm="1">
        <f t="array" ref="Y12">_xlfn.LET(
  _xlpm.act,   cronograma!$C11,
  _xlpm.fecha, cronograma!Y$4,
  _xlpm.ini,   INDEX(plan!$J:$J, $B11),
  _xlpm.fin,   INDEX(plan!$K:$K, $B11),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12" s="77" cm="1">
        <f t="array" ref="Z12">_xlfn.LET(
  _xlpm.act,   cronograma!$C11,
  _xlpm.fecha, cronograma!Z$4,
  _xlpm.ini,   INDEX(plan!$J:$J, $B11),
  _xlpm.fin,   INDEX(plan!$K:$K, $B11),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12" s="75" cm="1">
        <f t="array" ref="AA12">_xlfn.LET(
  _xlpm.act,   cronograma!$C11,
  _xlpm.fecha, cronograma!AA$4,
  _xlpm.ini,   INDEX(plan!$J:$J, $B11),
  _xlpm.fin,   INDEX(plan!$K:$K, $B11),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12" s="76" cm="1">
        <f t="array" ref="AB12">_xlfn.LET(
  _xlpm.act,   cronograma!$C11,
  _xlpm.fecha, cronograma!AB$4,
  _xlpm.ini,   INDEX(plan!$J:$J, $B11),
  _xlpm.fin,   INDEX(plan!$K:$K, $B11),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12" s="76" cm="1">
        <f t="array" ref="AC12">_xlfn.LET(
  _xlpm.act,   cronograma!$C11,
  _xlpm.fecha, cronograma!AC$4,
  _xlpm.ini,   INDEX(plan!$J:$J, $B11),
  _xlpm.fin,   INDEX(plan!$K:$K, $B11),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12" s="76" cm="1">
        <f t="array" ref="AD12">_xlfn.LET(
  _xlpm.act,   cronograma!$C11,
  _xlpm.fecha, cronograma!AD$4,
  _xlpm.ini,   INDEX(plan!$J:$J, $B11),
  _xlpm.fin,   INDEX(plan!$K:$K, $B11),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12" s="76" cm="1">
        <f t="array" ref="AE12">_xlfn.LET(
  _xlpm.act,   cronograma!$C11,
  _xlpm.fecha, cronograma!AE$4,
  _xlpm.ini,   INDEX(plan!$J:$J, $B11),
  _xlpm.fin,   INDEX(plan!$K:$K, $B11),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12" s="76" cm="1">
        <f t="array" ref="AF12">_xlfn.LET(
  _xlpm.act,   cronograma!$C11,
  _xlpm.fecha, cronograma!AF$4,
  _xlpm.ini,   INDEX(plan!$J:$J, $B11),
  _xlpm.fin,   INDEX(plan!$K:$K, $B11),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12" s="77" cm="1">
        <f t="array" ref="AG12">_xlfn.LET(
  _xlpm.act,   cronograma!$C11,
  _xlpm.fecha, cronograma!AG$4,
  _xlpm.ini,   INDEX(plan!$J:$J, $B11),
  _xlpm.fin,   INDEX(plan!$K:$K, $B11),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12" s="75" cm="1">
        <f t="array" ref="AH12">_xlfn.LET(
  _xlpm.act,   cronograma!$C11,
  _xlpm.fecha, cronograma!AH$4,
  _xlpm.ini,   INDEX(plan!$J:$J, $B11),
  _xlpm.fin,   INDEX(plan!$K:$K, $B11),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12" s="76" cm="1">
        <f t="array" ref="AI12">_xlfn.LET(
  _xlpm.act,   cronograma!$C11,
  _xlpm.fecha, cronograma!AI$4,
  _xlpm.ini,   INDEX(plan!$J:$J, $B11),
  _xlpm.fin,   INDEX(plan!$K:$K, $B11),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12" s="76" cm="1">
        <f t="array" ref="AJ12">_xlfn.LET(
  _xlpm.act,   cronograma!$C11,
  _xlpm.fecha, cronograma!AJ$4,
  _xlpm.ini,   INDEX(plan!$J:$J, $B11),
  _xlpm.fin,   INDEX(plan!$K:$K, $B11),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12" s="76" cm="1">
        <f t="array" ref="AK12">_xlfn.LET(
  _xlpm.act,   cronograma!$C11,
  _xlpm.fecha, cronograma!AK$4,
  _xlpm.ini,   INDEX(plan!$J:$J, $B11),
  _xlpm.fin,   INDEX(plan!$K:$K, $B11),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12" s="76" cm="1">
        <f t="array" ref="AL12">_xlfn.LET(
  _xlpm.act,   cronograma!$C11,
  _xlpm.fecha, cronograma!AL$4,
  _xlpm.ini,   INDEX(plan!$J:$J, $B11),
  _xlpm.fin,   INDEX(plan!$K:$K, $B11),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12" s="76" cm="1">
        <f t="array" ref="AM12">_xlfn.LET(
  _xlpm.act,   cronograma!$C11,
  _xlpm.fecha, cronograma!AM$4,
  _xlpm.ini,   INDEX(plan!$J:$J, $B11),
  _xlpm.fin,   INDEX(plan!$K:$K, $B11),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12" s="77" cm="1">
        <f t="array" ref="AN12">_xlfn.LET(
  _xlpm.act,   cronograma!$C11,
  _xlpm.fecha, cronograma!AN$4,
  _xlpm.ini,   INDEX(plan!$J:$J, $B11),
  _xlpm.fin,   INDEX(plan!$K:$K, $B11),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O12" s="75" cm="1">
        <f t="array" ref="AO12">_xlfn.LET(
  _xlpm.act,   cronograma!$C11,
  _xlpm.fecha, cronograma!AO$4,
  _xlpm.ini,   INDEX(plan!$J:$J, $B11),
  _xlpm.fin,   INDEX(plan!$K:$K, $B11),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P12" s="76" cm="1">
        <f t="array" ref="AP12">_xlfn.LET(
  _xlpm.act,   cronograma!$C11,
  _xlpm.fecha, cronograma!AP$4,
  _xlpm.ini,   INDEX(plan!$J:$J, $B11),
  _xlpm.fin,   INDEX(plan!$K:$K, $B11),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Q12" s="76" cm="1">
        <f t="array" ref="AQ12">_xlfn.LET(
  _xlpm.act,   cronograma!$C11,
  _xlpm.fecha, cronograma!AQ$4,
  _xlpm.ini,   INDEX(plan!$J:$J, $B11),
  _xlpm.fin,   INDEX(plan!$K:$K, $B11),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R12" s="76" cm="1">
        <f t="array" ref="AR12">_xlfn.LET(
  _xlpm.act,   cronograma!$C11,
  _xlpm.fecha, cronograma!AR$4,
  _xlpm.ini,   INDEX(plan!$J:$J, $B11),
  _xlpm.fin,   INDEX(plan!$K:$K, $B11),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S12" s="76" cm="1">
        <f t="array" ref="AS12">_xlfn.LET(
  _xlpm.act,   cronograma!$C11,
  _xlpm.fecha, cronograma!AS$4,
  _xlpm.ini,   INDEX(plan!$J:$J, $B11),
  _xlpm.fin,   INDEX(plan!$K:$K, $B11),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T12" s="76" cm="1">
        <f t="array" ref="AT12">_xlfn.LET(
  _xlpm.act,   cronograma!$C11,
  _xlpm.fecha, cronograma!AT$4,
  _xlpm.ini,   INDEX(plan!$J:$J, $B11),
  _xlpm.fin,   INDEX(plan!$K:$K, $B11),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U12" s="77" cm="1">
        <f t="array" ref="AU12">_xlfn.LET(
  _xlpm.act,   cronograma!$C11,
  _xlpm.fecha, cronograma!AU$4,
  _xlpm.ini,   INDEX(plan!$J:$J, $B11),
  _xlpm.fin,   INDEX(plan!$K:$K, $B11),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</row>
    <row r="13" spans="1:47" ht="12.95" customHeight="1" x14ac:dyDescent="0.3">
      <c r="A13" s="36"/>
      <c r="B13" s="301">
        <f>plan!B8</f>
        <v>8</v>
      </c>
      <c r="C13" s="274" t="str">
        <f>plan!C8</f>
        <v>Gestión de cambios Procesos</v>
      </c>
      <c r="D13" s="278" cm="1">
        <f t="array" ref="D13">INDEX(plan!$I:$I, $B13)</f>
        <v>10</v>
      </c>
      <c r="E13" s="276" cm="1">
        <f t="array" ref="E13">INDEX(plan!$U:$U, $B13)</f>
        <v>0</v>
      </c>
      <c r="F13" s="74" cm="1">
        <f t="array" ref="F13">IF(AND(F$4&gt;=INDEX(plan!$J:$J, $B13), F$4&lt;=INDEX(plan!$K:$K, $B13)),1,0)</f>
        <v>0</v>
      </c>
      <c r="G13" s="78" cm="1">
        <f t="array" ref="G13">IF(AND(G$4&gt;=INDEX(plan!$J:$J, $B13), G$4&lt;=INDEX(plan!$K:$K, $B13)),1,0)</f>
        <v>0</v>
      </c>
      <c r="H13" s="78" cm="1">
        <f t="array" ref="H13">IF(AND(H$4&gt;=INDEX(plan!$J:$J, $B13), H$4&lt;=INDEX(plan!$K:$K, $B13)),1,0)</f>
        <v>0</v>
      </c>
      <c r="I13" s="78" cm="1">
        <f t="array" ref="I13">IF(AND(I$4&gt;=INDEX(plan!$J:$J, $B13), I$4&lt;=INDEX(plan!$K:$K, $B13)),1,0)</f>
        <v>0</v>
      </c>
      <c r="J13" s="78" cm="1">
        <f t="array" ref="J13">IF(AND(J$4&gt;=INDEX(plan!$J:$J, $B13), J$4&lt;=INDEX(plan!$K:$K, $B13)),1,0)</f>
        <v>0</v>
      </c>
      <c r="K13" s="78" cm="1">
        <f t="array" ref="K13">IF(AND(K$4&gt;=INDEX(plan!$J:$J, $B13), K$4&lt;=INDEX(plan!$K:$K, $B13)),1,0)</f>
        <v>0</v>
      </c>
      <c r="L13" s="79" cm="1">
        <f t="array" ref="L13">IF(AND(L$4&gt;=INDEX(plan!$J:$J, $B13), L$4&lt;=INDEX(plan!$K:$K, $B13)),1,0)</f>
        <v>0</v>
      </c>
      <c r="M13" s="74" cm="1">
        <f t="array" ref="M13">IF(AND(M$4&gt;=INDEX(plan!$J:$J, $B13), M$4&lt;=INDEX(plan!$K:$K, $B13)),1,0)</f>
        <v>1</v>
      </c>
      <c r="N13" s="78" cm="1">
        <f t="array" ref="N13">IF(AND(N$4&gt;=INDEX(plan!$J:$J, $B13), N$4&lt;=INDEX(plan!$K:$K, $B13)),1,0)</f>
        <v>1</v>
      </c>
      <c r="O13" s="78" cm="1">
        <f t="array" ref="O13">IF(AND(O$4&gt;=INDEX(plan!$J:$J, $B13), O$4&lt;=INDEX(plan!$K:$K, $B13)),1,0)</f>
        <v>0</v>
      </c>
      <c r="P13" s="78" cm="1">
        <f t="array" ref="P13">IF(AND(P$4&gt;=INDEX(plan!$J:$J, $B13), P$4&lt;=INDEX(plan!$K:$K, $B13)),1,0)</f>
        <v>0</v>
      </c>
      <c r="Q13" s="78" cm="1">
        <f t="array" ref="Q13">IF(AND(Q$4&gt;=INDEX(plan!$J:$J, $B13), Q$4&lt;=INDEX(plan!$K:$K, $B13)),1,0)</f>
        <v>0</v>
      </c>
      <c r="R13" s="78" cm="1">
        <f t="array" ref="R13">IF(AND(R$4&gt;=INDEX(plan!$J:$J, $B13), R$4&lt;=INDEX(plan!$K:$K, $B13)),1,0)</f>
        <v>0</v>
      </c>
      <c r="S13" s="79" cm="1">
        <f t="array" ref="S13">IF(AND(S$4&gt;=INDEX(plan!$J:$J, $B13), S$4&lt;=INDEX(plan!$K:$K, $B13)),1,0)</f>
        <v>0</v>
      </c>
      <c r="T13" s="74" cm="1">
        <f t="array" ref="T13">IF(AND(T$4&gt;=INDEX(plan!$J:$J, $B13), T$4&lt;=INDEX(plan!$K:$K, $B13)),1,0)</f>
        <v>0</v>
      </c>
      <c r="U13" s="78" cm="1">
        <f t="array" ref="U13">IF(AND(U$4&gt;=INDEX(plan!$J:$J, $B13), U$4&lt;=INDEX(plan!$K:$K, $B13)),1,0)</f>
        <v>0</v>
      </c>
      <c r="V13" s="78" cm="1">
        <f t="array" ref="V13">IF(AND(V$4&gt;=INDEX(plan!$J:$J, $B13), V$4&lt;=INDEX(plan!$K:$K, $B13)),1,0)</f>
        <v>0</v>
      </c>
      <c r="W13" s="78" cm="1">
        <f t="array" ref="W13">IF(AND(W$4&gt;=INDEX(plan!$J:$J, $B13), W$4&lt;=INDEX(plan!$K:$K, $B13)),1,0)</f>
        <v>0</v>
      </c>
      <c r="X13" s="78" cm="1">
        <f t="array" ref="X13">IF(AND(X$4&gt;=INDEX(plan!$J:$J, $B13), X$4&lt;=INDEX(plan!$K:$K, $B13)),1,0)</f>
        <v>0</v>
      </c>
      <c r="Y13" s="78" cm="1">
        <f t="array" ref="Y13">IF(AND(Y$4&gt;=INDEX(plan!$J:$J, $B13), Y$4&lt;=INDEX(plan!$K:$K, $B13)),1,0)</f>
        <v>0</v>
      </c>
      <c r="Z13" s="79" cm="1">
        <f t="array" ref="Z13">IF(AND(Z$4&gt;=INDEX(plan!$J:$J, $B13), Z$4&lt;=INDEX(plan!$K:$K, $B13)),1,0)</f>
        <v>0</v>
      </c>
      <c r="AA13" s="74" cm="1">
        <f t="array" ref="AA13">IF(AND(AA$4&gt;=INDEX(plan!$J:$J, $B13), AA$4&lt;=INDEX(plan!$K:$K, $B13)),1,0)</f>
        <v>0</v>
      </c>
      <c r="AB13" s="78" cm="1">
        <f t="array" ref="AB13">IF(AND(AB$4&gt;=INDEX(plan!$J:$J, $B13), AB$4&lt;=INDEX(plan!$K:$K, $B13)),1,0)</f>
        <v>0</v>
      </c>
      <c r="AC13" s="78" cm="1">
        <f t="array" ref="AC13">IF(AND(AC$4&gt;=INDEX(plan!$J:$J, $B13), AC$4&lt;=INDEX(plan!$K:$K, $B13)),1,0)</f>
        <v>0</v>
      </c>
      <c r="AD13" s="78" cm="1">
        <f t="array" ref="AD13">IF(AND(AD$4&gt;=INDEX(plan!$J:$J, $B13), AD$4&lt;=INDEX(plan!$K:$K, $B13)),1,0)</f>
        <v>0</v>
      </c>
      <c r="AE13" s="78" cm="1">
        <f t="array" ref="AE13">IF(AND(AE$4&gt;=INDEX(plan!$J:$J, $B13), AE$4&lt;=INDEX(plan!$K:$K, $B13)),1,0)</f>
        <v>0</v>
      </c>
      <c r="AF13" s="78" cm="1">
        <f t="array" ref="AF13">IF(AND(AF$4&gt;=INDEX(plan!$J:$J, $B13), AF$4&lt;=INDEX(plan!$K:$K, $B13)),1,0)</f>
        <v>0</v>
      </c>
      <c r="AG13" s="79" cm="1">
        <f t="array" ref="AG13">IF(AND(AG$4&gt;=INDEX(plan!$J:$J, $B13), AG$4&lt;=INDEX(plan!$K:$K, $B13)),1,0)</f>
        <v>0</v>
      </c>
      <c r="AH13" s="74" cm="1">
        <f t="array" ref="AH13">IF(AND(AH$4&gt;=INDEX(plan!$J:$J, $B13), AH$4&lt;=INDEX(plan!$K:$K, $B13)),1,0)</f>
        <v>0</v>
      </c>
      <c r="AI13" s="78" cm="1">
        <f t="array" ref="AI13">IF(AND(AI$4&gt;=INDEX(plan!$J:$J, $B13), AI$4&lt;=INDEX(plan!$K:$K, $B13)),1,0)</f>
        <v>0</v>
      </c>
      <c r="AJ13" s="78" cm="1">
        <f t="array" ref="AJ13">IF(AND(AJ$4&gt;=INDEX(plan!$J:$J, $B13), AJ$4&lt;=INDEX(plan!$K:$K, $B13)),1,0)</f>
        <v>0</v>
      </c>
      <c r="AK13" s="78" cm="1">
        <f t="array" ref="AK13">IF(AND(AK$4&gt;=INDEX(plan!$J:$J, $B13), AK$4&lt;=INDEX(plan!$K:$K, $B13)),1,0)</f>
        <v>0</v>
      </c>
      <c r="AL13" s="78" cm="1">
        <f t="array" ref="AL13">IF(AND(AL$4&gt;=INDEX(plan!$J:$J, $B13), AL$4&lt;=INDEX(plan!$K:$K, $B13)),1,0)</f>
        <v>0</v>
      </c>
      <c r="AM13" s="78" cm="1">
        <f t="array" ref="AM13">IF(AND(AM$4&gt;=INDEX(plan!$J:$J, $B13), AM$4&lt;=INDEX(plan!$K:$K, $B13)),1,0)</f>
        <v>0</v>
      </c>
      <c r="AN13" s="79" cm="1">
        <f t="array" ref="AN13">IF(AND(AN$4&gt;=INDEX(plan!$J:$J, $B13), AN$4&lt;=INDEX(plan!$K:$K, $B13)),1,0)</f>
        <v>0</v>
      </c>
      <c r="AO13" s="74" cm="1">
        <f t="array" ref="AO13">IF(AND(AO$4&gt;=INDEX(plan!$J:$J, $B13), AO$4&lt;=INDEX(plan!$K:$K, $B13)),1,0)</f>
        <v>0</v>
      </c>
      <c r="AP13" s="78" cm="1">
        <f t="array" ref="AP13">IF(AND(AP$4&gt;=INDEX(plan!$J:$J, $B13), AP$4&lt;=INDEX(plan!$K:$K, $B13)),1,0)</f>
        <v>0</v>
      </c>
      <c r="AQ13" s="78" cm="1">
        <f t="array" ref="AQ13">IF(AND(AQ$4&gt;=INDEX(plan!$J:$J, $B13), AQ$4&lt;=INDEX(plan!$K:$K, $B13)),1,0)</f>
        <v>0</v>
      </c>
      <c r="AR13" s="78" cm="1">
        <f t="array" ref="AR13">IF(AND(AR$4&gt;=INDEX(plan!$J:$J, $B13), AR$4&lt;=INDEX(plan!$K:$K, $B13)),1,0)</f>
        <v>0</v>
      </c>
      <c r="AS13" s="78" cm="1">
        <f t="array" ref="AS13">IF(AND(AS$4&gt;=INDEX(plan!$J:$J, $B13), AS$4&lt;=INDEX(plan!$K:$K, $B13)),1,0)</f>
        <v>0</v>
      </c>
      <c r="AT13" s="78" cm="1">
        <f t="array" ref="AT13">IF(AND(AT$4&gt;=INDEX(plan!$J:$J, $B13), AT$4&lt;=INDEX(plan!$K:$K, $B13)),1,0)</f>
        <v>0</v>
      </c>
      <c r="AU13" s="79" cm="1">
        <f t="array" ref="AU13">IF(AND(AU$4&gt;=INDEX(plan!$J:$J, $B13), AU$4&lt;=INDEX(plan!$K:$K, $B13)),1,0)</f>
        <v>0</v>
      </c>
    </row>
    <row r="14" spans="1:47" ht="12.95" customHeight="1" x14ac:dyDescent="0.3">
      <c r="A14" s="36"/>
      <c r="B14" s="300"/>
      <c r="C14" s="275"/>
      <c r="D14" s="279"/>
      <c r="E14" s="277"/>
      <c r="F14" s="75" cm="1">
        <f t="array" ref="F14">_xlfn.LET(
  _xlpm.act,   cronograma!$C13,
  _xlpm.fecha, cronograma!F$4,
  _xlpm.ini,   INDEX(plan!$J:$J, $B13),
  _xlpm.fin,   INDEX(plan!$K:$K, $B13),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14" s="76" cm="1">
        <f t="array" ref="G14">_xlfn.LET(
  _xlpm.act,   cronograma!$C13,
  _xlpm.fecha, cronograma!G$4,
  _xlpm.ini,   INDEX(plan!$J:$J, $B13),
  _xlpm.fin,   INDEX(plan!$K:$K, $B13),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14" s="76" cm="1">
        <f t="array" ref="H14">_xlfn.LET(
  _xlpm.act,   cronograma!$C13,
  _xlpm.fecha, cronograma!H$4,
  _xlpm.ini,   INDEX(plan!$J:$J, $B13),
  _xlpm.fin,   INDEX(plan!$K:$K, $B13),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14" s="76" cm="1">
        <f t="array" ref="I14">_xlfn.LET(
  _xlpm.act,   cronograma!$C13,
  _xlpm.fecha, cronograma!I$4,
  _xlpm.ini,   INDEX(plan!$J:$J, $B13),
  _xlpm.fin,   INDEX(plan!$K:$K, $B13),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14" s="76" cm="1">
        <f t="array" ref="J14">_xlfn.LET(
  _xlpm.act,   cronograma!$C13,
  _xlpm.fecha, cronograma!J$4,
  _xlpm.ini,   INDEX(plan!$J:$J, $B13),
  _xlpm.fin,   INDEX(plan!$K:$K, $B13),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14" s="76" cm="1">
        <f t="array" ref="K14">_xlfn.LET(
  _xlpm.act,   cronograma!$C13,
  _xlpm.fecha, cronograma!K$4,
  _xlpm.ini,   INDEX(plan!$J:$J, $B13),
  _xlpm.fin,   INDEX(plan!$K:$K, $B13),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14" s="77" cm="1">
        <f t="array" ref="L14">_xlfn.LET(
  _xlpm.act,   cronograma!$C13,
  _xlpm.fecha, cronograma!L$4,
  _xlpm.ini,   INDEX(plan!$J:$J, $B13),
  _xlpm.fin,   INDEX(plan!$K:$K, $B13),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14" s="75" cm="1">
        <f t="array" ref="M14">_xlfn.LET(
  _xlpm.act,   cronograma!$C13,
  _xlpm.fecha, cronograma!M$4,
  _xlpm.ini,   INDEX(plan!$J:$J, $B13),
  _xlpm.fin,   INDEX(plan!$K:$K, $B13),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14" s="76" cm="1">
        <f t="array" ref="N14">_xlfn.LET(
  _xlpm.act,   cronograma!$C13,
  _xlpm.fecha, cronograma!N$4,
  _xlpm.ini,   INDEX(plan!$J:$J, $B13),
  _xlpm.fin,   INDEX(plan!$K:$K, $B13),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14" s="76" cm="1">
        <f t="array" ref="O14">_xlfn.LET(
  _xlpm.act,   cronograma!$C13,
  _xlpm.fecha, cronograma!O$4,
  _xlpm.ini,   INDEX(plan!$J:$J, $B13),
  _xlpm.fin,   INDEX(plan!$K:$K, $B13),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14" s="76" cm="1">
        <f t="array" ref="P14">_xlfn.LET(
  _xlpm.act,   cronograma!$C13,
  _xlpm.fecha, cronograma!P$4,
  _xlpm.ini,   INDEX(plan!$J:$J, $B13),
  _xlpm.fin,   INDEX(plan!$K:$K, $B13),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14" s="76" cm="1">
        <f t="array" ref="Q14">_xlfn.LET(
  _xlpm.act,   cronograma!$C13,
  _xlpm.fecha, cronograma!Q$4,
  _xlpm.ini,   INDEX(plan!$J:$J, $B13),
  _xlpm.fin,   INDEX(plan!$K:$K, $B13),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14" s="76" cm="1">
        <f t="array" ref="R14">_xlfn.LET(
  _xlpm.act,   cronograma!$C13,
  _xlpm.fecha, cronograma!R$4,
  _xlpm.ini,   INDEX(plan!$J:$J, $B13),
  _xlpm.fin,   INDEX(plan!$K:$K, $B13),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14" s="77" cm="1">
        <f t="array" ref="S14">_xlfn.LET(
  _xlpm.act,   cronograma!$C13,
  _xlpm.fecha, cronograma!S$4,
  _xlpm.ini,   INDEX(plan!$J:$J, $B13),
  _xlpm.fin,   INDEX(plan!$K:$K, $B13),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14" s="75" cm="1">
        <f t="array" ref="T14">_xlfn.LET(
  _xlpm.act,   cronograma!$C13,
  _xlpm.fecha, cronograma!T$4,
  _xlpm.ini,   INDEX(plan!$J:$J, $B13),
  _xlpm.fin,   INDEX(plan!$K:$K, $B13),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14" s="76" cm="1">
        <f t="array" ref="U14">_xlfn.LET(
  _xlpm.act,   cronograma!$C13,
  _xlpm.fecha, cronograma!U$4,
  _xlpm.ini,   INDEX(plan!$J:$J, $B13),
  _xlpm.fin,   INDEX(plan!$K:$K, $B13),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14" s="76" cm="1">
        <f t="array" ref="V14">_xlfn.LET(
  _xlpm.act,   cronograma!$C13,
  _xlpm.fecha, cronograma!V$4,
  _xlpm.ini,   INDEX(plan!$J:$J, $B13),
  _xlpm.fin,   INDEX(plan!$K:$K, $B13),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14" s="76" cm="1">
        <f t="array" ref="W14">_xlfn.LET(
  _xlpm.act,   cronograma!$C13,
  _xlpm.fecha, cronograma!W$4,
  _xlpm.ini,   INDEX(plan!$J:$J, $B13),
  _xlpm.fin,   INDEX(plan!$K:$K, $B13),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14" s="76" cm="1">
        <f t="array" ref="X14">_xlfn.LET(
  _xlpm.act,   cronograma!$C13,
  _xlpm.fecha, cronograma!X$4,
  _xlpm.ini,   INDEX(plan!$J:$J, $B13),
  _xlpm.fin,   INDEX(plan!$K:$K, $B13),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14" s="76" cm="1">
        <f t="array" ref="Y14">_xlfn.LET(
  _xlpm.act,   cronograma!$C13,
  _xlpm.fecha, cronograma!Y$4,
  _xlpm.ini,   INDEX(plan!$J:$J, $B13),
  _xlpm.fin,   INDEX(plan!$K:$K, $B13),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14" s="77" cm="1">
        <f t="array" ref="Z14">_xlfn.LET(
  _xlpm.act,   cronograma!$C13,
  _xlpm.fecha, cronograma!Z$4,
  _xlpm.ini,   INDEX(plan!$J:$J, $B13),
  _xlpm.fin,   INDEX(plan!$K:$K, $B13),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14" s="75" cm="1">
        <f t="array" ref="AA14">_xlfn.LET(
  _xlpm.act,   cronograma!$C13,
  _xlpm.fecha, cronograma!AA$4,
  _xlpm.ini,   INDEX(plan!$J:$J, $B13),
  _xlpm.fin,   INDEX(plan!$K:$K, $B13),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14" s="76" cm="1">
        <f t="array" ref="AB14">_xlfn.LET(
  _xlpm.act,   cronograma!$C13,
  _xlpm.fecha, cronograma!AB$4,
  _xlpm.ini,   INDEX(plan!$J:$J, $B13),
  _xlpm.fin,   INDEX(plan!$K:$K, $B13),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14" s="76" cm="1">
        <f t="array" ref="AC14">_xlfn.LET(
  _xlpm.act,   cronograma!$C13,
  _xlpm.fecha, cronograma!AC$4,
  _xlpm.ini,   INDEX(plan!$J:$J, $B13),
  _xlpm.fin,   INDEX(plan!$K:$K, $B13),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14" s="76" cm="1">
        <f t="array" ref="AD14">_xlfn.LET(
  _xlpm.act,   cronograma!$C13,
  _xlpm.fecha, cronograma!AD$4,
  _xlpm.ini,   INDEX(plan!$J:$J, $B13),
  _xlpm.fin,   INDEX(plan!$K:$K, $B13),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14" s="76" cm="1">
        <f t="array" ref="AE14">_xlfn.LET(
  _xlpm.act,   cronograma!$C13,
  _xlpm.fecha, cronograma!AE$4,
  _xlpm.ini,   INDEX(plan!$J:$J, $B13),
  _xlpm.fin,   INDEX(plan!$K:$K, $B13),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14" s="76" cm="1">
        <f t="array" ref="AF14">_xlfn.LET(
  _xlpm.act,   cronograma!$C13,
  _xlpm.fecha, cronograma!AF$4,
  _xlpm.ini,   INDEX(plan!$J:$J, $B13),
  _xlpm.fin,   INDEX(plan!$K:$K, $B13),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14" s="77" cm="1">
        <f t="array" ref="AG14">_xlfn.LET(
  _xlpm.act,   cronograma!$C13,
  _xlpm.fecha, cronograma!AG$4,
  _xlpm.ini,   INDEX(plan!$J:$J, $B13),
  _xlpm.fin,   INDEX(plan!$K:$K, $B13),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14" s="75" cm="1">
        <f t="array" ref="AH14">_xlfn.LET(
  _xlpm.act,   cronograma!$C13,
  _xlpm.fecha, cronograma!AH$4,
  _xlpm.ini,   INDEX(plan!$J:$J, $B13),
  _xlpm.fin,   INDEX(plan!$K:$K, $B13),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14" s="76" cm="1">
        <f t="array" ref="AI14">_xlfn.LET(
  _xlpm.act,   cronograma!$C13,
  _xlpm.fecha, cronograma!AI$4,
  _xlpm.ini,   INDEX(plan!$J:$J, $B13),
  _xlpm.fin,   INDEX(plan!$K:$K, $B13),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14" s="76" cm="1">
        <f t="array" ref="AJ14">_xlfn.LET(
  _xlpm.act,   cronograma!$C13,
  _xlpm.fecha, cronograma!AJ$4,
  _xlpm.ini,   INDEX(plan!$J:$J, $B13),
  _xlpm.fin,   INDEX(plan!$K:$K, $B13),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14" s="76" cm="1">
        <f t="array" ref="AK14">_xlfn.LET(
  _xlpm.act,   cronograma!$C13,
  _xlpm.fecha, cronograma!AK$4,
  _xlpm.ini,   INDEX(plan!$J:$J, $B13),
  _xlpm.fin,   INDEX(plan!$K:$K, $B13),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14" s="76" cm="1">
        <f t="array" ref="AL14">_xlfn.LET(
  _xlpm.act,   cronograma!$C13,
  _xlpm.fecha, cronograma!AL$4,
  _xlpm.ini,   INDEX(plan!$J:$J, $B13),
  _xlpm.fin,   INDEX(plan!$K:$K, $B13),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14" s="76" cm="1">
        <f t="array" ref="AM14">_xlfn.LET(
  _xlpm.act,   cronograma!$C13,
  _xlpm.fecha, cronograma!AM$4,
  _xlpm.ini,   INDEX(plan!$J:$J, $B13),
  _xlpm.fin,   INDEX(plan!$K:$K, $B13),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14" s="77" cm="1">
        <f t="array" ref="AN14">_xlfn.LET(
  _xlpm.act,   cronograma!$C13,
  _xlpm.fecha, cronograma!AN$4,
  _xlpm.ini,   INDEX(plan!$J:$J, $B13),
  _xlpm.fin,   INDEX(plan!$K:$K, $B13),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O14" s="75" cm="1">
        <f t="array" ref="AO14">_xlfn.LET(
  _xlpm.act,   cronograma!$C13,
  _xlpm.fecha, cronograma!AO$4,
  _xlpm.ini,   INDEX(plan!$J:$J, $B13),
  _xlpm.fin,   INDEX(plan!$K:$K, $B13),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P14" s="76" cm="1">
        <f t="array" ref="AP14">_xlfn.LET(
  _xlpm.act,   cronograma!$C13,
  _xlpm.fecha, cronograma!AP$4,
  _xlpm.ini,   INDEX(plan!$J:$J, $B13),
  _xlpm.fin,   INDEX(plan!$K:$K, $B13),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Q14" s="76" cm="1">
        <f t="array" ref="AQ14">_xlfn.LET(
  _xlpm.act,   cronograma!$C13,
  _xlpm.fecha, cronograma!AQ$4,
  _xlpm.ini,   INDEX(plan!$J:$J, $B13),
  _xlpm.fin,   INDEX(plan!$K:$K, $B13),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R14" s="76" cm="1">
        <f t="array" ref="AR14">_xlfn.LET(
  _xlpm.act,   cronograma!$C13,
  _xlpm.fecha, cronograma!AR$4,
  _xlpm.ini,   INDEX(plan!$J:$J, $B13),
  _xlpm.fin,   INDEX(plan!$K:$K, $B13),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S14" s="76" cm="1">
        <f t="array" ref="AS14">_xlfn.LET(
  _xlpm.act,   cronograma!$C13,
  _xlpm.fecha, cronograma!AS$4,
  _xlpm.ini,   INDEX(plan!$J:$J, $B13),
  _xlpm.fin,   INDEX(plan!$K:$K, $B13),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T14" s="76" cm="1">
        <f t="array" ref="AT14">_xlfn.LET(
  _xlpm.act,   cronograma!$C13,
  _xlpm.fecha, cronograma!AT$4,
  _xlpm.ini,   INDEX(plan!$J:$J, $B13),
  _xlpm.fin,   INDEX(plan!$K:$K, $B13),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U14" s="77" cm="1">
        <f t="array" ref="AU14">_xlfn.LET(
  _xlpm.act,   cronograma!$C13,
  _xlpm.fecha, cronograma!AU$4,
  _xlpm.ini,   INDEX(plan!$J:$J, $B13),
  _xlpm.fin,   INDEX(plan!$K:$K, $B13),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</row>
    <row r="15" spans="1:47" ht="12.95" customHeight="1" x14ac:dyDescent="0.3">
      <c r="A15" s="36"/>
      <c r="B15" s="301">
        <f>plan!B9</f>
        <v>9</v>
      </c>
      <c r="C15" s="274" t="str">
        <f>plan!C9</f>
        <v>Gestión de cambios ETL</v>
      </c>
      <c r="D15" s="278" cm="1">
        <f t="array" ref="D15">INDEX(plan!$I:$I, $B15)</f>
        <v>35</v>
      </c>
      <c r="E15" s="276" cm="1">
        <f t="array" ref="E15">INDEX(plan!$U:$U, $B15)</f>
        <v>0</v>
      </c>
      <c r="F15" s="74" cm="1">
        <f t="array" ref="F15">IF(AND(F$4&gt;=INDEX(plan!$J:$J, $B15), F$4&lt;=INDEX(plan!$K:$K, $B15)),1,0)</f>
        <v>0</v>
      </c>
      <c r="G15" s="78" cm="1">
        <f t="array" ref="G15">IF(AND(G$4&gt;=INDEX(plan!$J:$J, $B15), G$4&lt;=INDEX(plan!$K:$K, $B15)),1,0)</f>
        <v>0</v>
      </c>
      <c r="H15" s="78" cm="1">
        <f t="array" ref="H15">IF(AND(H$4&gt;=INDEX(plan!$J:$J, $B15), H$4&lt;=INDEX(plan!$K:$K, $B15)),1,0)</f>
        <v>0</v>
      </c>
      <c r="I15" s="78" cm="1">
        <f t="array" ref="I15">IF(AND(I$4&gt;=INDEX(plan!$J:$J, $B15), I$4&lt;=INDEX(plan!$K:$K, $B15)),1,0)</f>
        <v>0</v>
      </c>
      <c r="J15" s="78" cm="1">
        <f t="array" ref="J15">IF(AND(J$4&gt;=INDEX(plan!$J:$J, $B15), J$4&lt;=INDEX(plan!$K:$K, $B15)),1,0)</f>
        <v>0</v>
      </c>
      <c r="K15" s="78" cm="1">
        <f t="array" ref="K15">IF(AND(K$4&gt;=INDEX(plan!$J:$J, $B15), K$4&lt;=INDEX(plan!$K:$K, $B15)),1,0)</f>
        <v>0</v>
      </c>
      <c r="L15" s="79" cm="1">
        <f t="array" ref="L15">IF(AND(L$4&gt;=INDEX(plan!$J:$J, $B15), L$4&lt;=INDEX(plan!$K:$K, $B15)),1,0)</f>
        <v>0</v>
      </c>
      <c r="M15" s="74" cm="1">
        <f t="array" ref="M15">IF(AND(M$4&gt;=INDEX(plan!$J:$J, $B15), M$4&lt;=INDEX(plan!$K:$K, $B15)),1,0)</f>
        <v>0</v>
      </c>
      <c r="N15" s="78" cm="1">
        <f t="array" ref="N15">IF(AND(N$4&gt;=INDEX(plan!$J:$J, $B15), N$4&lt;=INDEX(plan!$K:$K, $B15)),1,0)</f>
        <v>1</v>
      </c>
      <c r="O15" s="78" cm="1">
        <f t="array" ref="O15">IF(AND(O$4&gt;=INDEX(plan!$J:$J, $B15), O$4&lt;=INDEX(plan!$K:$K, $B15)),1,0)</f>
        <v>1</v>
      </c>
      <c r="P15" s="78" cm="1">
        <f t="array" ref="P15">IF(AND(P$4&gt;=INDEX(plan!$J:$J, $B15), P$4&lt;=INDEX(plan!$K:$K, $B15)),1,0)</f>
        <v>1</v>
      </c>
      <c r="Q15" s="78" cm="1">
        <f t="array" ref="Q15">IF(AND(Q$4&gt;=INDEX(plan!$J:$J, $B15), Q$4&lt;=INDEX(plan!$K:$K, $B15)),1,0)</f>
        <v>0</v>
      </c>
      <c r="R15" s="78" cm="1">
        <f t="array" ref="R15">IF(AND(R$4&gt;=INDEX(plan!$J:$J, $B15), R$4&lt;=INDEX(plan!$K:$K, $B15)),1,0)</f>
        <v>0</v>
      </c>
      <c r="S15" s="79" cm="1">
        <f t="array" ref="S15">IF(AND(S$4&gt;=INDEX(plan!$J:$J, $B15), S$4&lt;=INDEX(plan!$K:$K, $B15)),1,0)</f>
        <v>0</v>
      </c>
      <c r="T15" s="74" cm="1">
        <f t="array" ref="T15">IF(AND(T$4&gt;=INDEX(plan!$J:$J, $B15), T$4&lt;=INDEX(plan!$K:$K, $B15)),1,0)</f>
        <v>0</v>
      </c>
      <c r="U15" s="78" cm="1">
        <f t="array" ref="U15">IF(AND(U$4&gt;=INDEX(plan!$J:$J, $B15), U$4&lt;=INDEX(plan!$K:$K, $B15)),1,0)</f>
        <v>0</v>
      </c>
      <c r="V15" s="78" cm="1">
        <f t="array" ref="V15">IF(AND(V$4&gt;=INDEX(plan!$J:$J, $B15), V$4&lt;=INDEX(plan!$K:$K, $B15)),1,0)</f>
        <v>0</v>
      </c>
      <c r="W15" s="78" cm="1">
        <f t="array" ref="W15">IF(AND(W$4&gt;=INDEX(plan!$J:$J, $B15), W$4&lt;=INDEX(plan!$K:$K, $B15)),1,0)</f>
        <v>0</v>
      </c>
      <c r="X15" s="78" cm="1">
        <f t="array" ref="X15">IF(AND(X$4&gt;=INDEX(plan!$J:$J, $B15), X$4&lt;=INDEX(plan!$K:$K, $B15)),1,0)</f>
        <v>0</v>
      </c>
      <c r="Y15" s="78" cm="1">
        <f t="array" ref="Y15">IF(AND(Y$4&gt;=INDEX(plan!$J:$J, $B15), Y$4&lt;=INDEX(plan!$K:$K, $B15)),1,0)</f>
        <v>0</v>
      </c>
      <c r="Z15" s="79" cm="1">
        <f t="array" ref="Z15">IF(AND(Z$4&gt;=INDEX(plan!$J:$J, $B15), Z$4&lt;=INDEX(plan!$K:$K, $B15)),1,0)</f>
        <v>0</v>
      </c>
      <c r="AA15" s="74" cm="1">
        <f t="array" ref="AA15">IF(AND(AA$4&gt;=INDEX(plan!$J:$J, $B15), AA$4&lt;=INDEX(plan!$K:$K, $B15)),1,0)</f>
        <v>0</v>
      </c>
      <c r="AB15" s="78" cm="1">
        <f t="array" ref="AB15">IF(AND(AB$4&gt;=INDEX(plan!$J:$J, $B15), AB$4&lt;=INDEX(plan!$K:$K, $B15)),1,0)</f>
        <v>0</v>
      </c>
      <c r="AC15" s="78" cm="1">
        <f t="array" ref="AC15">IF(AND(AC$4&gt;=INDEX(plan!$J:$J, $B15), AC$4&lt;=INDEX(plan!$K:$K, $B15)),1,0)</f>
        <v>0</v>
      </c>
      <c r="AD15" s="78" cm="1">
        <f t="array" ref="AD15">IF(AND(AD$4&gt;=INDEX(plan!$J:$J, $B15), AD$4&lt;=INDEX(plan!$K:$K, $B15)),1,0)</f>
        <v>0</v>
      </c>
      <c r="AE15" s="78" cm="1">
        <f t="array" ref="AE15">IF(AND(AE$4&gt;=INDEX(plan!$J:$J, $B15), AE$4&lt;=INDEX(plan!$K:$K, $B15)),1,0)</f>
        <v>0</v>
      </c>
      <c r="AF15" s="78" cm="1">
        <f t="array" ref="AF15">IF(AND(AF$4&gt;=INDEX(plan!$J:$J, $B15), AF$4&lt;=INDEX(plan!$K:$K, $B15)),1,0)</f>
        <v>0</v>
      </c>
      <c r="AG15" s="79" cm="1">
        <f t="array" ref="AG15">IF(AND(AG$4&gt;=INDEX(plan!$J:$J, $B15), AG$4&lt;=INDEX(plan!$K:$K, $B15)),1,0)</f>
        <v>0</v>
      </c>
      <c r="AH15" s="74" cm="1">
        <f t="array" ref="AH15">IF(AND(AH$4&gt;=INDEX(plan!$J:$J, $B15), AH$4&lt;=INDEX(plan!$K:$K, $B15)),1,0)</f>
        <v>0</v>
      </c>
      <c r="AI15" s="78" cm="1">
        <f t="array" ref="AI15">IF(AND(AI$4&gt;=INDEX(plan!$J:$J, $B15), AI$4&lt;=INDEX(plan!$K:$K, $B15)),1,0)</f>
        <v>0</v>
      </c>
      <c r="AJ15" s="78" cm="1">
        <f t="array" ref="AJ15">IF(AND(AJ$4&gt;=INDEX(plan!$J:$J, $B15), AJ$4&lt;=INDEX(plan!$K:$K, $B15)),1,0)</f>
        <v>0</v>
      </c>
      <c r="AK15" s="78" cm="1">
        <f t="array" ref="AK15">IF(AND(AK$4&gt;=INDEX(plan!$J:$J, $B15), AK$4&lt;=INDEX(plan!$K:$K, $B15)),1,0)</f>
        <v>0</v>
      </c>
      <c r="AL15" s="78" cm="1">
        <f t="array" ref="AL15">IF(AND(AL$4&gt;=INDEX(plan!$J:$J, $B15), AL$4&lt;=INDEX(plan!$K:$K, $B15)),1,0)</f>
        <v>0</v>
      </c>
      <c r="AM15" s="78" cm="1">
        <f t="array" ref="AM15">IF(AND(AM$4&gt;=INDEX(plan!$J:$J, $B15), AM$4&lt;=INDEX(plan!$K:$K, $B15)),1,0)</f>
        <v>0</v>
      </c>
      <c r="AN15" s="79" cm="1">
        <f t="array" ref="AN15">IF(AND(AN$4&gt;=INDEX(plan!$J:$J, $B15), AN$4&lt;=INDEX(plan!$K:$K, $B15)),1,0)</f>
        <v>0</v>
      </c>
      <c r="AO15" s="74" cm="1">
        <f t="array" ref="AO15">IF(AND(AO$4&gt;=INDEX(plan!$J:$J, $B15), AO$4&lt;=INDEX(plan!$K:$K, $B15)),1,0)</f>
        <v>0</v>
      </c>
      <c r="AP15" s="78" cm="1">
        <f t="array" ref="AP15">IF(AND(AP$4&gt;=INDEX(plan!$J:$J, $B15), AP$4&lt;=INDEX(plan!$K:$K, $B15)),1,0)</f>
        <v>0</v>
      </c>
      <c r="AQ15" s="78" cm="1">
        <f t="array" ref="AQ15">IF(AND(AQ$4&gt;=INDEX(plan!$J:$J, $B15), AQ$4&lt;=INDEX(plan!$K:$K, $B15)),1,0)</f>
        <v>0</v>
      </c>
      <c r="AR15" s="78" cm="1">
        <f t="array" ref="AR15">IF(AND(AR$4&gt;=INDEX(plan!$J:$J, $B15), AR$4&lt;=INDEX(plan!$K:$K, $B15)),1,0)</f>
        <v>0</v>
      </c>
      <c r="AS15" s="78" cm="1">
        <f t="array" ref="AS15">IF(AND(AS$4&gt;=INDEX(plan!$J:$J, $B15), AS$4&lt;=INDEX(plan!$K:$K, $B15)),1,0)</f>
        <v>0</v>
      </c>
      <c r="AT15" s="78" cm="1">
        <f t="array" ref="AT15">IF(AND(AT$4&gt;=INDEX(plan!$J:$J, $B15), AT$4&lt;=INDEX(plan!$K:$K, $B15)),1,0)</f>
        <v>0</v>
      </c>
      <c r="AU15" s="79" cm="1">
        <f t="array" ref="AU15">IF(AND(AU$4&gt;=INDEX(plan!$J:$J, $B15), AU$4&lt;=INDEX(plan!$K:$K, $B15)),1,0)</f>
        <v>0</v>
      </c>
    </row>
    <row r="16" spans="1:47" ht="12.95" customHeight="1" x14ac:dyDescent="0.3">
      <c r="A16" s="36"/>
      <c r="B16" s="300"/>
      <c r="C16" s="275"/>
      <c r="D16" s="279"/>
      <c r="E16" s="277"/>
      <c r="F16" s="75" cm="1">
        <f t="array" ref="F16">_xlfn.LET(
  _xlpm.act,   cronograma!$C15,
  _xlpm.fecha, cronograma!F$4,
  _xlpm.ini,   INDEX(plan!$J:$J, $B15),
  _xlpm.fin,   INDEX(plan!$K:$K, $B15),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16" s="76" cm="1">
        <f t="array" ref="G16">_xlfn.LET(
  _xlpm.act,   cronograma!$C15,
  _xlpm.fecha, cronograma!G$4,
  _xlpm.ini,   INDEX(plan!$J:$J, $B15),
  _xlpm.fin,   INDEX(plan!$K:$K, $B15),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16" s="76" cm="1">
        <f t="array" ref="H16">_xlfn.LET(
  _xlpm.act,   cronograma!$C15,
  _xlpm.fecha, cronograma!H$4,
  _xlpm.ini,   INDEX(plan!$J:$J, $B15),
  _xlpm.fin,   INDEX(plan!$K:$K, $B15),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16" s="76" cm="1">
        <f t="array" ref="I16">_xlfn.LET(
  _xlpm.act,   cronograma!$C15,
  _xlpm.fecha, cronograma!I$4,
  _xlpm.ini,   INDEX(plan!$J:$J, $B15),
  _xlpm.fin,   INDEX(plan!$K:$K, $B15),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16" s="76" cm="1">
        <f t="array" ref="J16">_xlfn.LET(
  _xlpm.act,   cronograma!$C15,
  _xlpm.fecha, cronograma!J$4,
  _xlpm.ini,   INDEX(plan!$J:$J, $B15),
  _xlpm.fin,   INDEX(plan!$K:$K, $B15),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16" s="76" cm="1">
        <f t="array" ref="K16">_xlfn.LET(
  _xlpm.act,   cronograma!$C15,
  _xlpm.fecha, cronograma!K$4,
  _xlpm.ini,   INDEX(plan!$J:$J, $B15),
  _xlpm.fin,   INDEX(plan!$K:$K, $B15),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16" s="77" cm="1">
        <f t="array" ref="L16">_xlfn.LET(
  _xlpm.act,   cronograma!$C15,
  _xlpm.fecha, cronograma!L$4,
  _xlpm.ini,   INDEX(plan!$J:$J, $B15),
  _xlpm.fin,   INDEX(plan!$K:$K, $B15),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16" s="75" cm="1">
        <f t="array" ref="M16">_xlfn.LET(
  _xlpm.act,   cronograma!$C15,
  _xlpm.fecha, cronograma!M$4,
  _xlpm.ini,   INDEX(plan!$J:$J, $B15),
  _xlpm.fin,   INDEX(plan!$K:$K, $B15),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16" s="76" cm="1">
        <f t="array" ref="N16">_xlfn.LET(
  _xlpm.act,   cronograma!$C15,
  _xlpm.fecha, cronograma!N$4,
  _xlpm.ini,   INDEX(plan!$J:$J, $B15),
  _xlpm.fin,   INDEX(plan!$K:$K, $B15),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16" s="76" cm="1">
        <f t="array" ref="O16">_xlfn.LET(
  _xlpm.act,   cronograma!$C15,
  _xlpm.fecha, cronograma!O$4,
  _xlpm.ini,   INDEX(plan!$J:$J, $B15),
  _xlpm.fin,   INDEX(plan!$K:$K, $B15),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16" s="76" cm="1">
        <f t="array" ref="P16">_xlfn.LET(
  _xlpm.act,   cronograma!$C15,
  _xlpm.fecha, cronograma!P$4,
  _xlpm.ini,   INDEX(plan!$J:$J, $B15),
  _xlpm.fin,   INDEX(plan!$K:$K, $B15),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16" s="76" cm="1">
        <f t="array" ref="Q16">_xlfn.LET(
  _xlpm.act,   cronograma!$C15,
  _xlpm.fecha, cronograma!Q$4,
  _xlpm.ini,   INDEX(plan!$J:$J, $B15),
  _xlpm.fin,   INDEX(plan!$K:$K, $B15),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16" s="76" cm="1">
        <f t="array" ref="R16">_xlfn.LET(
  _xlpm.act,   cronograma!$C15,
  _xlpm.fecha, cronograma!R$4,
  _xlpm.ini,   INDEX(plan!$J:$J, $B15),
  _xlpm.fin,   INDEX(plan!$K:$K, $B15),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16" s="77" cm="1">
        <f t="array" ref="S16">_xlfn.LET(
  _xlpm.act,   cronograma!$C15,
  _xlpm.fecha, cronograma!S$4,
  _xlpm.ini,   INDEX(plan!$J:$J, $B15),
  _xlpm.fin,   INDEX(plan!$K:$K, $B15),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16" s="75" cm="1">
        <f t="array" ref="T16">_xlfn.LET(
  _xlpm.act,   cronograma!$C15,
  _xlpm.fecha, cronograma!T$4,
  _xlpm.ini,   INDEX(plan!$J:$J, $B15),
  _xlpm.fin,   INDEX(plan!$K:$K, $B15),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16" s="76" cm="1">
        <f t="array" ref="U16">_xlfn.LET(
  _xlpm.act,   cronograma!$C15,
  _xlpm.fecha, cronograma!U$4,
  _xlpm.ini,   INDEX(plan!$J:$J, $B15),
  _xlpm.fin,   INDEX(plan!$K:$K, $B15),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16" s="76" cm="1">
        <f t="array" ref="V16">_xlfn.LET(
  _xlpm.act,   cronograma!$C15,
  _xlpm.fecha, cronograma!V$4,
  _xlpm.ini,   INDEX(plan!$J:$J, $B15),
  _xlpm.fin,   INDEX(plan!$K:$K, $B15),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16" s="76" cm="1">
        <f t="array" ref="W16">_xlfn.LET(
  _xlpm.act,   cronograma!$C15,
  _xlpm.fecha, cronograma!W$4,
  _xlpm.ini,   INDEX(plan!$J:$J, $B15),
  _xlpm.fin,   INDEX(plan!$K:$K, $B15),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16" s="76" cm="1">
        <f t="array" ref="X16">_xlfn.LET(
  _xlpm.act,   cronograma!$C15,
  _xlpm.fecha, cronograma!X$4,
  _xlpm.ini,   INDEX(plan!$J:$J, $B15),
  _xlpm.fin,   INDEX(plan!$K:$K, $B15),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16" s="76" cm="1">
        <f t="array" ref="Y16">_xlfn.LET(
  _xlpm.act,   cronograma!$C15,
  _xlpm.fecha, cronograma!Y$4,
  _xlpm.ini,   INDEX(plan!$J:$J, $B15),
  _xlpm.fin,   INDEX(plan!$K:$K, $B15),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16" s="77" cm="1">
        <f t="array" ref="Z16">_xlfn.LET(
  _xlpm.act,   cronograma!$C15,
  _xlpm.fecha, cronograma!Z$4,
  _xlpm.ini,   INDEX(plan!$J:$J, $B15),
  _xlpm.fin,   INDEX(plan!$K:$K, $B15),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16" s="75" cm="1">
        <f t="array" ref="AA16">_xlfn.LET(
  _xlpm.act,   cronograma!$C15,
  _xlpm.fecha, cronograma!AA$4,
  _xlpm.ini,   INDEX(plan!$J:$J, $B15),
  _xlpm.fin,   INDEX(plan!$K:$K, $B15),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16" s="76" cm="1">
        <f t="array" ref="AB16">_xlfn.LET(
  _xlpm.act,   cronograma!$C15,
  _xlpm.fecha, cronograma!AB$4,
  _xlpm.ini,   INDEX(plan!$J:$J, $B15),
  _xlpm.fin,   INDEX(plan!$K:$K, $B15),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16" s="76" cm="1">
        <f t="array" ref="AC16">_xlfn.LET(
  _xlpm.act,   cronograma!$C15,
  _xlpm.fecha, cronograma!AC$4,
  _xlpm.ini,   INDEX(plan!$J:$J, $B15),
  _xlpm.fin,   INDEX(plan!$K:$K, $B15),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16" s="76" cm="1">
        <f t="array" ref="AD16">_xlfn.LET(
  _xlpm.act,   cronograma!$C15,
  _xlpm.fecha, cronograma!AD$4,
  _xlpm.ini,   INDEX(plan!$J:$J, $B15),
  _xlpm.fin,   INDEX(plan!$K:$K, $B15),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16" s="76" cm="1">
        <f t="array" ref="AE16">_xlfn.LET(
  _xlpm.act,   cronograma!$C15,
  _xlpm.fecha, cronograma!AE$4,
  _xlpm.ini,   INDEX(plan!$J:$J, $B15),
  _xlpm.fin,   INDEX(plan!$K:$K, $B15),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16" s="76" cm="1">
        <f t="array" ref="AF16">_xlfn.LET(
  _xlpm.act,   cronograma!$C15,
  _xlpm.fecha, cronograma!AF$4,
  _xlpm.ini,   INDEX(plan!$J:$J, $B15),
  _xlpm.fin,   INDEX(plan!$K:$K, $B15),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16" s="77" cm="1">
        <f t="array" ref="AG16">_xlfn.LET(
  _xlpm.act,   cronograma!$C15,
  _xlpm.fecha, cronograma!AG$4,
  _xlpm.ini,   INDEX(plan!$J:$J, $B15),
  _xlpm.fin,   INDEX(plan!$K:$K, $B15),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16" s="75" cm="1">
        <f t="array" ref="AH16">_xlfn.LET(
  _xlpm.act,   cronograma!$C15,
  _xlpm.fecha, cronograma!AH$4,
  _xlpm.ini,   INDEX(plan!$J:$J, $B15),
  _xlpm.fin,   INDEX(plan!$K:$K, $B15),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16" s="76" cm="1">
        <f t="array" ref="AI16">_xlfn.LET(
  _xlpm.act,   cronograma!$C15,
  _xlpm.fecha, cronograma!AI$4,
  _xlpm.ini,   INDEX(plan!$J:$J, $B15),
  _xlpm.fin,   INDEX(plan!$K:$K, $B15),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16" s="76" cm="1">
        <f t="array" ref="AJ16">_xlfn.LET(
  _xlpm.act,   cronograma!$C15,
  _xlpm.fecha, cronograma!AJ$4,
  _xlpm.ini,   INDEX(plan!$J:$J, $B15),
  _xlpm.fin,   INDEX(plan!$K:$K, $B15),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16" s="76" cm="1">
        <f t="array" ref="AK16">_xlfn.LET(
  _xlpm.act,   cronograma!$C15,
  _xlpm.fecha, cronograma!AK$4,
  _xlpm.ini,   INDEX(plan!$J:$J, $B15),
  _xlpm.fin,   INDEX(plan!$K:$K, $B15),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16" s="76" cm="1">
        <f t="array" ref="AL16">_xlfn.LET(
  _xlpm.act,   cronograma!$C15,
  _xlpm.fecha, cronograma!AL$4,
  _xlpm.ini,   INDEX(plan!$J:$J, $B15),
  _xlpm.fin,   INDEX(plan!$K:$K, $B15),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16" s="76" cm="1">
        <f t="array" ref="AM16">_xlfn.LET(
  _xlpm.act,   cronograma!$C15,
  _xlpm.fecha, cronograma!AM$4,
  _xlpm.ini,   INDEX(plan!$J:$J, $B15),
  _xlpm.fin,   INDEX(plan!$K:$K, $B15),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16" s="77" cm="1">
        <f t="array" ref="AN16">_xlfn.LET(
  _xlpm.act,   cronograma!$C15,
  _xlpm.fecha, cronograma!AN$4,
  _xlpm.ini,   INDEX(plan!$J:$J, $B15),
  _xlpm.fin,   INDEX(plan!$K:$K, $B15),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O16" s="75" cm="1">
        <f t="array" ref="AO16">_xlfn.LET(
  _xlpm.act,   cronograma!$C15,
  _xlpm.fecha, cronograma!AO$4,
  _xlpm.ini,   INDEX(plan!$J:$J, $B15),
  _xlpm.fin,   INDEX(plan!$K:$K, $B15),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P16" s="76" cm="1">
        <f t="array" ref="AP16">_xlfn.LET(
  _xlpm.act,   cronograma!$C15,
  _xlpm.fecha, cronograma!AP$4,
  _xlpm.ini,   INDEX(plan!$J:$J, $B15),
  _xlpm.fin,   INDEX(plan!$K:$K, $B15),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Q16" s="76" cm="1">
        <f t="array" ref="AQ16">_xlfn.LET(
  _xlpm.act,   cronograma!$C15,
  _xlpm.fecha, cronograma!AQ$4,
  _xlpm.ini,   INDEX(plan!$J:$J, $B15),
  _xlpm.fin,   INDEX(plan!$K:$K, $B15),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R16" s="76" cm="1">
        <f t="array" ref="AR16">_xlfn.LET(
  _xlpm.act,   cronograma!$C15,
  _xlpm.fecha, cronograma!AR$4,
  _xlpm.ini,   INDEX(plan!$J:$J, $B15),
  _xlpm.fin,   INDEX(plan!$K:$K, $B15),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S16" s="76" cm="1">
        <f t="array" ref="AS16">_xlfn.LET(
  _xlpm.act,   cronograma!$C15,
  _xlpm.fecha, cronograma!AS$4,
  _xlpm.ini,   INDEX(plan!$J:$J, $B15),
  _xlpm.fin,   INDEX(plan!$K:$K, $B15),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T16" s="76" cm="1">
        <f t="array" ref="AT16">_xlfn.LET(
  _xlpm.act,   cronograma!$C15,
  _xlpm.fecha, cronograma!AT$4,
  _xlpm.ini,   INDEX(plan!$J:$J, $B15),
  _xlpm.fin,   INDEX(plan!$K:$K, $B15),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U16" s="77" cm="1">
        <f t="array" ref="AU16">_xlfn.LET(
  _xlpm.act,   cronograma!$C15,
  _xlpm.fecha, cronograma!AU$4,
  _xlpm.ini,   INDEX(plan!$J:$J, $B15),
  _xlpm.fin,   INDEX(plan!$K:$K, $B15),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</row>
    <row r="17" spans="1:47" ht="12.95" customHeight="1" x14ac:dyDescent="0.3">
      <c r="A17" s="36"/>
      <c r="B17" s="301">
        <f>plan!B10</f>
        <v>10</v>
      </c>
      <c r="C17" s="274" t="str">
        <f>plan!C10</f>
        <v>Gestión de cambios Datos sintéticos</v>
      </c>
      <c r="D17" s="278" cm="1">
        <f t="array" ref="D17">INDEX(plan!$I:$I, $B17)</f>
        <v>35</v>
      </c>
      <c r="E17" s="276" cm="1">
        <f t="array" ref="E17">INDEX(plan!$U:$U, $B17)</f>
        <v>0</v>
      </c>
      <c r="F17" s="74" cm="1">
        <f t="array" ref="F17">IF(AND(F$4&gt;=INDEX(plan!$J:$J, $B17), F$4&lt;=INDEX(plan!$K:$K, $B17)),1,0)</f>
        <v>0</v>
      </c>
      <c r="G17" s="78" cm="1">
        <f t="array" ref="G17">IF(AND(G$4&gt;=INDEX(plan!$J:$J, $B17), G$4&lt;=INDEX(plan!$K:$K, $B17)),1,0)</f>
        <v>0</v>
      </c>
      <c r="H17" s="78" cm="1">
        <f t="array" ref="H17">IF(AND(H$4&gt;=INDEX(plan!$J:$J, $B17), H$4&lt;=INDEX(plan!$K:$K, $B17)),1,0)</f>
        <v>0</v>
      </c>
      <c r="I17" s="78" cm="1">
        <f t="array" ref="I17">IF(AND(I$4&gt;=INDEX(plan!$J:$J, $B17), I$4&lt;=INDEX(plan!$K:$K, $B17)),1,0)</f>
        <v>0</v>
      </c>
      <c r="J17" s="78" cm="1">
        <f t="array" ref="J17">IF(AND(J$4&gt;=INDEX(plan!$J:$J, $B17), J$4&lt;=INDEX(plan!$K:$K, $B17)),1,0)</f>
        <v>0</v>
      </c>
      <c r="K17" s="78" cm="1">
        <f t="array" ref="K17">IF(AND(K$4&gt;=INDEX(plan!$J:$J, $B17), K$4&lt;=INDEX(plan!$K:$K, $B17)),1,0)</f>
        <v>0</v>
      </c>
      <c r="L17" s="79" cm="1">
        <f t="array" ref="L17">IF(AND(L$4&gt;=INDEX(plan!$J:$J, $B17), L$4&lt;=INDEX(plan!$K:$K, $B17)),1,0)</f>
        <v>0</v>
      </c>
      <c r="M17" s="74" cm="1">
        <f t="array" ref="M17">IF(AND(M$4&gt;=INDEX(plan!$J:$J, $B17), M$4&lt;=INDEX(plan!$K:$K, $B17)),1,0)</f>
        <v>0</v>
      </c>
      <c r="N17" s="78" cm="1">
        <f t="array" ref="N17">IF(AND(N$4&gt;=INDEX(plan!$J:$J, $B17), N$4&lt;=INDEX(plan!$K:$K, $B17)),1,0)</f>
        <v>1</v>
      </c>
      <c r="O17" s="78" cm="1">
        <f t="array" ref="O17">IF(AND(O$4&gt;=INDEX(plan!$J:$J, $B17), O$4&lt;=INDEX(plan!$K:$K, $B17)),1,0)</f>
        <v>1</v>
      </c>
      <c r="P17" s="78" cm="1">
        <f t="array" ref="P17">IF(AND(P$4&gt;=INDEX(plan!$J:$J, $B17), P$4&lt;=INDEX(plan!$K:$K, $B17)),1,0)</f>
        <v>1</v>
      </c>
      <c r="Q17" s="78" cm="1">
        <f t="array" ref="Q17">IF(AND(Q$4&gt;=INDEX(plan!$J:$J, $B17), Q$4&lt;=INDEX(plan!$K:$K, $B17)),1,0)</f>
        <v>0</v>
      </c>
      <c r="R17" s="78" cm="1">
        <f t="array" ref="R17">IF(AND(R$4&gt;=INDEX(plan!$J:$J, $B17), R$4&lt;=INDEX(plan!$K:$K, $B17)),1,0)</f>
        <v>0</v>
      </c>
      <c r="S17" s="79" cm="1">
        <f t="array" ref="S17">IF(AND(S$4&gt;=INDEX(plan!$J:$J, $B17), S$4&lt;=INDEX(plan!$K:$K, $B17)),1,0)</f>
        <v>0</v>
      </c>
      <c r="T17" s="74" cm="1">
        <f t="array" ref="T17">IF(AND(T$4&gt;=INDEX(plan!$J:$J, $B17), T$4&lt;=INDEX(plan!$K:$K, $B17)),1,0)</f>
        <v>0</v>
      </c>
      <c r="U17" s="78" cm="1">
        <f t="array" ref="U17">IF(AND(U$4&gt;=INDEX(plan!$J:$J, $B17), U$4&lt;=INDEX(plan!$K:$K, $B17)),1,0)</f>
        <v>0</v>
      </c>
      <c r="V17" s="78" cm="1">
        <f t="array" ref="V17">IF(AND(V$4&gt;=INDEX(plan!$J:$J, $B17), V$4&lt;=INDEX(plan!$K:$K, $B17)),1,0)</f>
        <v>0</v>
      </c>
      <c r="W17" s="78" cm="1">
        <f t="array" ref="W17">IF(AND(W$4&gt;=INDEX(plan!$J:$J, $B17), W$4&lt;=INDEX(plan!$K:$K, $B17)),1,0)</f>
        <v>0</v>
      </c>
      <c r="X17" s="78" cm="1">
        <f t="array" ref="X17">IF(AND(X$4&gt;=INDEX(plan!$J:$J, $B17), X$4&lt;=INDEX(plan!$K:$K, $B17)),1,0)</f>
        <v>0</v>
      </c>
      <c r="Y17" s="78" cm="1">
        <f t="array" ref="Y17">IF(AND(Y$4&gt;=INDEX(plan!$J:$J, $B17), Y$4&lt;=INDEX(plan!$K:$K, $B17)),1,0)</f>
        <v>0</v>
      </c>
      <c r="Z17" s="79" cm="1">
        <f t="array" ref="Z17">IF(AND(Z$4&gt;=INDEX(plan!$J:$J, $B17), Z$4&lt;=INDEX(plan!$K:$K, $B17)),1,0)</f>
        <v>0</v>
      </c>
      <c r="AA17" s="74" cm="1">
        <f t="array" ref="AA17">IF(AND(AA$4&gt;=INDEX(plan!$J:$J, $B17), AA$4&lt;=INDEX(plan!$K:$K, $B17)),1,0)</f>
        <v>0</v>
      </c>
      <c r="AB17" s="78" cm="1">
        <f t="array" ref="AB17">IF(AND(AB$4&gt;=INDEX(plan!$J:$J, $B17), AB$4&lt;=INDEX(plan!$K:$K, $B17)),1,0)</f>
        <v>0</v>
      </c>
      <c r="AC17" s="78" cm="1">
        <f t="array" ref="AC17">IF(AND(AC$4&gt;=INDEX(plan!$J:$J, $B17), AC$4&lt;=INDEX(plan!$K:$K, $B17)),1,0)</f>
        <v>0</v>
      </c>
      <c r="AD17" s="78" cm="1">
        <f t="array" ref="AD17">IF(AND(AD$4&gt;=INDEX(plan!$J:$J, $B17), AD$4&lt;=INDEX(plan!$K:$K, $B17)),1,0)</f>
        <v>0</v>
      </c>
      <c r="AE17" s="78" cm="1">
        <f t="array" ref="AE17">IF(AND(AE$4&gt;=INDEX(plan!$J:$J, $B17), AE$4&lt;=INDEX(plan!$K:$K, $B17)),1,0)</f>
        <v>0</v>
      </c>
      <c r="AF17" s="78" cm="1">
        <f t="array" ref="AF17">IF(AND(AF$4&gt;=INDEX(plan!$J:$J, $B17), AF$4&lt;=INDEX(plan!$K:$K, $B17)),1,0)</f>
        <v>0</v>
      </c>
      <c r="AG17" s="79" cm="1">
        <f t="array" ref="AG17">IF(AND(AG$4&gt;=INDEX(plan!$J:$J, $B17), AG$4&lt;=INDEX(plan!$K:$K, $B17)),1,0)</f>
        <v>0</v>
      </c>
      <c r="AH17" s="74" cm="1">
        <f t="array" ref="AH17">IF(AND(AH$4&gt;=INDEX(plan!$J:$J, $B17), AH$4&lt;=INDEX(plan!$K:$K, $B17)),1,0)</f>
        <v>0</v>
      </c>
      <c r="AI17" s="78" cm="1">
        <f t="array" ref="AI17">IF(AND(AI$4&gt;=INDEX(plan!$J:$J, $B17), AI$4&lt;=INDEX(plan!$K:$K, $B17)),1,0)</f>
        <v>0</v>
      </c>
      <c r="AJ17" s="78" cm="1">
        <f t="array" ref="AJ17">IF(AND(AJ$4&gt;=INDEX(plan!$J:$J, $B17), AJ$4&lt;=INDEX(plan!$K:$K, $B17)),1,0)</f>
        <v>0</v>
      </c>
      <c r="AK17" s="78" cm="1">
        <f t="array" ref="AK17">IF(AND(AK$4&gt;=INDEX(plan!$J:$J, $B17), AK$4&lt;=INDEX(plan!$K:$K, $B17)),1,0)</f>
        <v>0</v>
      </c>
      <c r="AL17" s="78" cm="1">
        <f t="array" ref="AL17">IF(AND(AL$4&gt;=INDEX(plan!$J:$J, $B17), AL$4&lt;=INDEX(plan!$K:$K, $B17)),1,0)</f>
        <v>0</v>
      </c>
      <c r="AM17" s="78" cm="1">
        <f t="array" ref="AM17">IF(AND(AM$4&gt;=INDEX(plan!$J:$J, $B17), AM$4&lt;=INDEX(plan!$K:$K, $B17)),1,0)</f>
        <v>0</v>
      </c>
      <c r="AN17" s="79" cm="1">
        <f t="array" ref="AN17">IF(AND(AN$4&gt;=INDEX(plan!$J:$J, $B17), AN$4&lt;=INDEX(plan!$K:$K, $B17)),1,0)</f>
        <v>0</v>
      </c>
      <c r="AO17" s="74" cm="1">
        <f t="array" ref="AO17">IF(AND(AO$4&gt;=INDEX(plan!$J:$J, $B17), AO$4&lt;=INDEX(plan!$K:$K, $B17)),1,0)</f>
        <v>0</v>
      </c>
      <c r="AP17" s="78" cm="1">
        <f t="array" ref="AP17">IF(AND(AP$4&gt;=INDEX(plan!$J:$J, $B17), AP$4&lt;=INDEX(plan!$K:$K, $B17)),1,0)</f>
        <v>0</v>
      </c>
      <c r="AQ17" s="78" cm="1">
        <f t="array" ref="AQ17">IF(AND(AQ$4&gt;=INDEX(plan!$J:$J, $B17), AQ$4&lt;=INDEX(plan!$K:$K, $B17)),1,0)</f>
        <v>0</v>
      </c>
      <c r="AR17" s="78" cm="1">
        <f t="array" ref="AR17">IF(AND(AR$4&gt;=INDEX(plan!$J:$J, $B17), AR$4&lt;=INDEX(plan!$K:$K, $B17)),1,0)</f>
        <v>0</v>
      </c>
      <c r="AS17" s="78" cm="1">
        <f t="array" ref="AS17">IF(AND(AS$4&gt;=INDEX(plan!$J:$J, $B17), AS$4&lt;=INDEX(plan!$K:$K, $B17)),1,0)</f>
        <v>0</v>
      </c>
      <c r="AT17" s="78" cm="1">
        <f t="array" ref="AT17">IF(AND(AT$4&gt;=INDEX(plan!$J:$J, $B17), AT$4&lt;=INDEX(plan!$K:$K, $B17)),1,0)</f>
        <v>0</v>
      </c>
      <c r="AU17" s="79" cm="1">
        <f t="array" ref="AU17">IF(AND(AU$4&gt;=INDEX(plan!$J:$J, $B17), AU$4&lt;=INDEX(plan!$K:$K, $B17)),1,0)</f>
        <v>0</v>
      </c>
    </row>
    <row r="18" spans="1:47" ht="12.95" customHeight="1" x14ac:dyDescent="0.3">
      <c r="A18" s="36"/>
      <c r="B18" s="300"/>
      <c r="C18" s="275"/>
      <c r="D18" s="279"/>
      <c r="E18" s="277"/>
      <c r="F18" s="75" cm="1">
        <f t="array" ref="F18">_xlfn.LET(
  _xlpm.act,   cronograma!$C17,
  _xlpm.fecha, cronograma!F$4,
  _xlpm.ini,   INDEX(plan!$J:$J, $B17),
  _xlpm.fin,   INDEX(plan!$K:$K, $B17),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18" s="76" cm="1">
        <f t="array" ref="G18">_xlfn.LET(
  _xlpm.act,   cronograma!$C17,
  _xlpm.fecha, cronograma!G$4,
  _xlpm.ini,   INDEX(plan!$J:$J, $B17),
  _xlpm.fin,   INDEX(plan!$K:$K, $B17),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18" s="76" cm="1">
        <f t="array" ref="H18">_xlfn.LET(
  _xlpm.act,   cronograma!$C17,
  _xlpm.fecha, cronograma!H$4,
  _xlpm.ini,   INDEX(plan!$J:$J, $B17),
  _xlpm.fin,   INDEX(plan!$K:$K, $B17),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18" s="76" cm="1">
        <f t="array" ref="I18">_xlfn.LET(
  _xlpm.act,   cronograma!$C17,
  _xlpm.fecha, cronograma!I$4,
  _xlpm.ini,   INDEX(plan!$J:$J, $B17),
  _xlpm.fin,   INDEX(plan!$K:$K, $B17),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18" s="76" cm="1">
        <f t="array" ref="J18">_xlfn.LET(
  _xlpm.act,   cronograma!$C17,
  _xlpm.fecha, cronograma!J$4,
  _xlpm.ini,   INDEX(plan!$J:$J, $B17),
  _xlpm.fin,   INDEX(plan!$K:$K, $B17),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18" s="76" cm="1">
        <f t="array" ref="K18">_xlfn.LET(
  _xlpm.act,   cronograma!$C17,
  _xlpm.fecha, cronograma!K$4,
  _xlpm.ini,   INDEX(plan!$J:$J, $B17),
  _xlpm.fin,   INDEX(plan!$K:$K, $B17),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18" s="77" cm="1">
        <f t="array" ref="L18">_xlfn.LET(
  _xlpm.act,   cronograma!$C17,
  _xlpm.fecha, cronograma!L$4,
  _xlpm.ini,   INDEX(plan!$J:$J, $B17),
  _xlpm.fin,   INDEX(plan!$K:$K, $B17),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18" s="75" cm="1">
        <f t="array" ref="M18">_xlfn.LET(
  _xlpm.act,   cronograma!$C17,
  _xlpm.fecha, cronograma!M$4,
  _xlpm.ini,   INDEX(plan!$J:$J, $B17),
  _xlpm.fin,   INDEX(plan!$K:$K, $B17),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18" s="76" cm="1">
        <f t="array" ref="N18">_xlfn.LET(
  _xlpm.act,   cronograma!$C17,
  _xlpm.fecha, cronograma!N$4,
  _xlpm.ini,   INDEX(plan!$J:$J, $B17),
  _xlpm.fin,   INDEX(plan!$K:$K, $B17),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18" s="76" cm="1">
        <f t="array" ref="O18">_xlfn.LET(
  _xlpm.act,   cronograma!$C17,
  _xlpm.fecha, cronograma!O$4,
  _xlpm.ini,   INDEX(plan!$J:$J, $B17),
  _xlpm.fin,   INDEX(plan!$K:$K, $B17),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18" s="76" cm="1">
        <f t="array" ref="P18">_xlfn.LET(
  _xlpm.act,   cronograma!$C17,
  _xlpm.fecha, cronograma!P$4,
  _xlpm.ini,   INDEX(plan!$J:$J, $B17),
  _xlpm.fin,   INDEX(plan!$K:$K, $B17),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18" s="76" cm="1">
        <f t="array" ref="Q18">_xlfn.LET(
  _xlpm.act,   cronograma!$C17,
  _xlpm.fecha, cronograma!Q$4,
  _xlpm.ini,   INDEX(plan!$J:$J, $B17),
  _xlpm.fin,   INDEX(plan!$K:$K, $B17),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18" s="76" cm="1">
        <f t="array" ref="R18">_xlfn.LET(
  _xlpm.act,   cronograma!$C17,
  _xlpm.fecha, cronograma!R$4,
  _xlpm.ini,   INDEX(plan!$J:$J, $B17),
  _xlpm.fin,   INDEX(plan!$K:$K, $B17),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18" s="77" cm="1">
        <f t="array" ref="S18">_xlfn.LET(
  _xlpm.act,   cronograma!$C17,
  _xlpm.fecha, cronograma!S$4,
  _xlpm.ini,   INDEX(plan!$J:$J, $B17),
  _xlpm.fin,   INDEX(plan!$K:$K, $B17),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18" s="75" cm="1">
        <f t="array" ref="T18">_xlfn.LET(
  _xlpm.act,   cronograma!$C17,
  _xlpm.fecha, cronograma!T$4,
  _xlpm.ini,   INDEX(plan!$J:$J, $B17),
  _xlpm.fin,   INDEX(plan!$K:$K, $B17),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18" s="76" cm="1">
        <f t="array" ref="U18">_xlfn.LET(
  _xlpm.act,   cronograma!$C17,
  _xlpm.fecha, cronograma!U$4,
  _xlpm.ini,   INDEX(plan!$J:$J, $B17),
  _xlpm.fin,   INDEX(plan!$K:$K, $B17),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18" s="76" cm="1">
        <f t="array" ref="V18">_xlfn.LET(
  _xlpm.act,   cronograma!$C17,
  _xlpm.fecha, cronograma!V$4,
  _xlpm.ini,   INDEX(plan!$J:$J, $B17),
  _xlpm.fin,   INDEX(plan!$K:$K, $B17),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18" s="76" cm="1">
        <f t="array" ref="W18">_xlfn.LET(
  _xlpm.act,   cronograma!$C17,
  _xlpm.fecha, cronograma!W$4,
  _xlpm.ini,   INDEX(plan!$J:$J, $B17),
  _xlpm.fin,   INDEX(plan!$K:$K, $B17),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18" s="76" cm="1">
        <f t="array" ref="X18">_xlfn.LET(
  _xlpm.act,   cronograma!$C17,
  _xlpm.fecha, cronograma!X$4,
  _xlpm.ini,   INDEX(plan!$J:$J, $B17),
  _xlpm.fin,   INDEX(plan!$K:$K, $B17),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18" s="76" cm="1">
        <f t="array" ref="Y18">_xlfn.LET(
  _xlpm.act,   cronograma!$C17,
  _xlpm.fecha, cronograma!Y$4,
  _xlpm.ini,   INDEX(plan!$J:$J, $B17),
  _xlpm.fin,   INDEX(plan!$K:$K, $B17),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18" s="77" cm="1">
        <f t="array" ref="Z18">_xlfn.LET(
  _xlpm.act,   cronograma!$C17,
  _xlpm.fecha, cronograma!Z$4,
  _xlpm.ini,   INDEX(plan!$J:$J, $B17),
  _xlpm.fin,   INDEX(plan!$K:$K, $B17),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18" s="75" cm="1">
        <f t="array" ref="AA18">_xlfn.LET(
  _xlpm.act,   cronograma!$C17,
  _xlpm.fecha, cronograma!AA$4,
  _xlpm.ini,   INDEX(plan!$J:$J, $B17),
  _xlpm.fin,   INDEX(plan!$K:$K, $B17),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18" s="76" cm="1">
        <f t="array" ref="AB18">_xlfn.LET(
  _xlpm.act,   cronograma!$C17,
  _xlpm.fecha, cronograma!AB$4,
  _xlpm.ini,   INDEX(plan!$J:$J, $B17),
  _xlpm.fin,   INDEX(plan!$K:$K, $B17),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18" s="76" cm="1">
        <f t="array" ref="AC18">_xlfn.LET(
  _xlpm.act,   cronograma!$C17,
  _xlpm.fecha, cronograma!AC$4,
  _xlpm.ini,   INDEX(plan!$J:$J, $B17),
  _xlpm.fin,   INDEX(plan!$K:$K, $B17),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18" s="76" cm="1">
        <f t="array" ref="AD18">_xlfn.LET(
  _xlpm.act,   cronograma!$C17,
  _xlpm.fecha, cronograma!AD$4,
  _xlpm.ini,   INDEX(plan!$J:$J, $B17),
  _xlpm.fin,   INDEX(plan!$K:$K, $B17),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18" s="76" cm="1">
        <f t="array" ref="AE18">_xlfn.LET(
  _xlpm.act,   cronograma!$C17,
  _xlpm.fecha, cronograma!AE$4,
  _xlpm.ini,   INDEX(plan!$J:$J, $B17),
  _xlpm.fin,   INDEX(plan!$K:$K, $B17),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18" s="76" cm="1">
        <f t="array" ref="AF18">_xlfn.LET(
  _xlpm.act,   cronograma!$C17,
  _xlpm.fecha, cronograma!AF$4,
  _xlpm.ini,   INDEX(plan!$J:$J, $B17),
  _xlpm.fin,   INDEX(plan!$K:$K, $B17),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18" s="77" cm="1">
        <f t="array" ref="AG18">_xlfn.LET(
  _xlpm.act,   cronograma!$C17,
  _xlpm.fecha, cronograma!AG$4,
  _xlpm.ini,   INDEX(plan!$J:$J, $B17),
  _xlpm.fin,   INDEX(plan!$K:$K, $B17),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18" s="75" cm="1">
        <f t="array" ref="AH18">_xlfn.LET(
  _xlpm.act,   cronograma!$C17,
  _xlpm.fecha, cronograma!AH$4,
  _xlpm.ini,   INDEX(plan!$J:$J, $B17),
  _xlpm.fin,   INDEX(plan!$K:$K, $B17),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18" s="76" cm="1">
        <f t="array" ref="AI18">_xlfn.LET(
  _xlpm.act,   cronograma!$C17,
  _xlpm.fecha, cronograma!AI$4,
  _xlpm.ini,   INDEX(plan!$J:$J, $B17),
  _xlpm.fin,   INDEX(plan!$K:$K, $B17),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18" s="76" cm="1">
        <f t="array" ref="AJ18">_xlfn.LET(
  _xlpm.act,   cronograma!$C17,
  _xlpm.fecha, cronograma!AJ$4,
  _xlpm.ini,   INDEX(plan!$J:$J, $B17),
  _xlpm.fin,   INDEX(plan!$K:$K, $B17),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18" s="76" cm="1">
        <f t="array" ref="AK18">_xlfn.LET(
  _xlpm.act,   cronograma!$C17,
  _xlpm.fecha, cronograma!AK$4,
  _xlpm.ini,   INDEX(plan!$J:$J, $B17),
  _xlpm.fin,   INDEX(plan!$K:$K, $B17),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18" s="76" cm="1">
        <f t="array" ref="AL18">_xlfn.LET(
  _xlpm.act,   cronograma!$C17,
  _xlpm.fecha, cronograma!AL$4,
  _xlpm.ini,   INDEX(plan!$J:$J, $B17),
  _xlpm.fin,   INDEX(plan!$K:$K, $B17),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18" s="76" cm="1">
        <f t="array" ref="AM18">_xlfn.LET(
  _xlpm.act,   cronograma!$C17,
  _xlpm.fecha, cronograma!AM$4,
  _xlpm.ini,   INDEX(plan!$J:$J, $B17),
  _xlpm.fin,   INDEX(plan!$K:$K, $B17),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18" s="77" cm="1">
        <f t="array" ref="AN18">_xlfn.LET(
  _xlpm.act,   cronograma!$C17,
  _xlpm.fecha, cronograma!AN$4,
  _xlpm.ini,   INDEX(plan!$J:$J, $B17),
  _xlpm.fin,   INDEX(plan!$K:$K, $B17),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O18" s="75" cm="1">
        <f t="array" ref="AO18">_xlfn.LET(
  _xlpm.act,   cronograma!$C17,
  _xlpm.fecha, cronograma!AO$4,
  _xlpm.ini,   INDEX(plan!$J:$J, $B17),
  _xlpm.fin,   INDEX(plan!$K:$K, $B17),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P18" s="76" cm="1">
        <f t="array" ref="AP18">_xlfn.LET(
  _xlpm.act,   cronograma!$C17,
  _xlpm.fecha, cronograma!AP$4,
  _xlpm.ini,   INDEX(plan!$J:$J, $B17),
  _xlpm.fin,   INDEX(plan!$K:$K, $B17),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Q18" s="76" cm="1">
        <f t="array" ref="AQ18">_xlfn.LET(
  _xlpm.act,   cronograma!$C17,
  _xlpm.fecha, cronograma!AQ$4,
  _xlpm.ini,   INDEX(plan!$J:$J, $B17),
  _xlpm.fin,   INDEX(plan!$K:$K, $B17),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R18" s="76" cm="1">
        <f t="array" ref="AR18">_xlfn.LET(
  _xlpm.act,   cronograma!$C17,
  _xlpm.fecha, cronograma!AR$4,
  _xlpm.ini,   INDEX(plan!$J:$J, $B17),
  _xlpm.fin,   INDEX(plan!$K:$K, $B17),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S18" s="76" cm="1">
        <f t="array" ref="AS18">_xlfn.LET(
  _xlpm.act,   cronograma!$C17,
  _xlpm.fecha, cronograma!AS$4,
  _xlpm.ini,   INDEX(plan!$J:$J, $B17),
  _xlpm.fin,   INDEX(plan!$K:$K, $B17),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T18" s="76" cm="1">
        <f t="array" ref="AT18">_xlfn.LET(
  _xlpm.act,   cronograma!$C17,
  _xlpm.fecha, cronograma!AT$4,
  _xlpm.ini,   INDEX(plan!$J:$J, $B17),
  _xlpm.fin,   INDEX(plan!$K:$K, $B17),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U18" s="77" cm="1">
        <f t="array" ref="AU18">_xlfn.LET(
  _xlpm.act,   cronograma!$C17,
  _xlpm.fecha, cronograma!AU$4,
  _xlpm.ini,   INDEX(plan!$J:$J, $B17),
  _xlpm.fin,   INDEX(plan!$K:$K, $B17),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</row>
    <row r="19" spans="1:47" ht="12.95" customHeight="1" x14ac:dyDescent="0.3">
      <c r="A19" s="36"/>
      <c r="B19" s="301">
        <f>plan!B11</f>
        <v>11</v>
      </c>
      <c r="C19" s="274" t="str">
        <f>plan!C11</f>
        <v>Reunión de sincronización #1</v>
      </c>
      <c r="D19" s="278" cm="1">
        <f t="array" ref="D19">INDEX(plan!$I:$I, $B19)</f>
        <v>5</v>
      </c>
      <c r="E19" s="276" cm="1">
        <f t="array" ref="E19">INDEX(plan!$U:$U, $B19)</f>
        <v>0</v>
      </c>
      <c r="F19" s="74" cm="1">
        <f t="array" ref="F19">IF(AND(F$4&gt;=INDEX(plan!$J:$J, $B19), F$4&lt;=INDEX(plan!$K:$K, $B19)),1,0)</f>
        <v>0</v>
      </c>
      <c r="G19" s="78" cm="1">
        <f t="array" ref="G19">IF(AND(G$4&gt;=INDEX(plan!$J:$J, $B19), G$4&lt;=INDEX(plan!$K:$K, $B19)),1,0)</f>
        <v>0</v>
      </c>
      <c r="H19" s="78" cm="1">
        <f t="array" ref="H19">IF(AND(H$4&gt;=INDEX(plan!$J:$J, $B19), H$4&lt;=INDEX(plan!$K:$K, $B19)),1,0)</f>
        <v>0</v>
      </c>
      <c r="I19" s="78" cm="1">
        <f t="array" ref="I19">IF(AND(I$4&gt;=INDEX(plan!$J:$J, $B19), I$4&lt;=INDEX(plan!$K:$K, $B19)),1,0)</f>
        <v>0</v>
      </c>
      <c r="J19" s="78" cm="1">
        <f t="array" ref="J19">IF(AND(J$4&gt;=INDEX(plan!$J:$J, $B19), J$4&lt;=INDEX(plan!$K:$K, $B19)),1,0)</f>
        <v>0</v>
      </c>
      <c r="K19" s="78" cm="1">
        <f t="array" ref="K19">IF(AND(K$4&gt;=INDEX(plan!$J:$J, $B19), K$4&lt;=INDEX(plan!$K:$K, $B19)),1,0)</f>
        <v>0</v>
      </c>
      <c r="L19" s="79" cm="1">
        <f t="array" ref="L19">IF(AND(L$4&gt;=INDEX(plan!$J:$J, $B19), L$4&lt;=INDEX(plan!$K:$K, $B19)),1,0)</f>
        <v>0</v>
      </c>
      <c r="M19" s="74" cm="1">
        <f t="array" ref="M19">IF(AND(M$4&gt;=INDEX(plan!$J:$J, $B19), M$4&lt;=INDEX(plan!$K:$K, $B19)),1,0)</f>
        <v>0</v>
      </c>
      <c r="N19" s="78" cm="1">
        <f t="array" ref="N19">IF(AND(N$4&gt;=INDEX(plan!$J:$J, $B19), N$4&lt;=INDEX(plan!$K:$K, $B19)),1,0)</f>
        <v>0</v>
      </c>
      <c r="O19" s="78" cm="1">
        <f t="array" ref="O19">IF(AND(O$4&gt;=INDEX(plan!$J:$J, $B19), O$4&lt;=INDEX(plan!$K:$K, $B19)),1,0)</f>
        <v>0</v>
      </c>
      <c r="P19" s="78" cm="1">
        <f t="array" ref="P19">IF(AND(P$4&gt;=INDEX(plan!$J:$J, $B19), P$4&lt;=INDEX(plan!$K:$K, $B19)),1,0)</f>
        <v>0</v>
      </c>
      <c r="Q19" s="78" cm="1">
        <f t="array" ref="Q19">IF(AND(Q$4&gt;=INDEX(plan!$J:$J, $B19), Q$4&lt;=INDEX(plan!$K:$K, $B19)),1,0)</f>
        <v>1</v>
      </c>
      <c r="R19" s="78" cm="1">
        <f t="array" ref="R19">IF(AND(R$4&gt;=INDEX(plan!$J:$J, $B19), R$4&lt;=INDEX(plan!$K:$K, $B19)),1,0)</f>
        <v>0</v>
      </c>
      <c r="S19" s="79" cm="1">
        <f t="array" ref="S19">IF(AND(S$4&gt;=INDEX(plan!$J:$J, $B19), S$4&lt;=INDEX(plan!$K:$K, $B19)),1,0)</f>
        <v>0</v>
      </c>
      <c r="T19" s="74" cm="1">
        <f t="array" ref="T19">IF(AND(T$4&gt;=INDEX(plan!$J:$J, $B19), T$4&lt;=INDEX(plan!$K:$K, $B19)),1,0)</f>
        <v>0</v>
      </c>
      <c r="U19" s="78" cm="1">
        <f t="array" ref="U19">IF(AND(U$4&gt;=INDEX(plan!$J:$J, $B19), U$4&lt;=INDEX(plan!$K:$K, $B19)),1,0)</f>
        <v>0</v>
      </c>
      <c r="V19" s="78" cm="1">
        <f t="array" ref="V19">IF(AND(V$4&gt;=INDEX(plan!$J:$J, $B19), V$4&lt;=INDEX(plan!$K:$K, $B19)),1,0)</f>
        <v>0</v>
      </c>
      <c r="W19" s="78" cm="1">
        <f t="array" ref="W19">IF(AND(W$4&gt;=INDEX(plan!$J:$J, $B19), W$4&lt;=INDEX(plan!$K:$K, $B19)),1,0)</f>
        <v>0</v>
      </c>
      <c r="X19" s="78" cm="1">
        <f t="array" ref="X19">IF(AND(X$4&gt;=INDEX(plan!$J:$J, $B19), X$4&lt;=INDEX(plan!$K:$K, $B19)),1,0)</f>
        <v>0</v>
      </c>
      <c r="Y19" s="78" cm="1">
        <f t="array" ref="Y19">IF(AND(Y$4&gt;=INDEX(plan!$J:$J, $B19), Y$4&lt;=INDEX(plan!$K:$K, $B19)),1,0)</f>
        <v>0</v>
      </c>
      <c r="Z19" s="79" cm="1">
        <f t="array" ref="Z19">IF(AND(Z$4&gt;=INDEX(plan!$J:$J, $B19), Z$4&lt;=INDEX(plan!$K:$K, $B19)),1,0)</f>
        <v>0</v>
      </c>
      <c r="AA19" s="74" cm="1">
        <f t="array" ref="AA19">IF(AND(AA$4&gt;=INDEX(plan!$J:$J, $B19), AA$4&lt;=INDEX(plan!$K:$K, $B19)),1,0)</f>
        <v>0</v>
      </c>
      <c r="AB19" s="78" cm="1">
        <f t="array" ref="AB19">IF(AND(AB$4&gt;=INDEX(plan!$J:$J, $B19), AB$4&lt;=INDEX(plan!$K:$K, $B19)),1,0)</f>
        <v>0</v>
      </c>
      <c r="AC19" s="78" cm="1">
        <f t="array" ref="AC19">IF(AND(AC$4&gt;=INDEX(plan!$J:$J, $B19), AC$4&lt;=INDEX(plan!$K:$K, $B19)),1,0)</f>
        <v>0</v>
      </c>
      <c r="AD19" s="78" cm="1">
        <f t="array" ref="AD19">IF(AND(AD$4&gt;=INDEX(plan!$J:$J, $B19), AD$4&lt;=INDEX(plan!$K:$K, $B19)),1,0)</f>
        <v>0</v>
      </c>
      <c r="AE19" s="78" cm="1">
        <f t="array" ref="AE19">IF(AND(AE$4&gt;=INDEX(plan!$J:$J, $B19), AE$4&lt;=INDEX(plan!$K:$K, $B19)),1,0)</f>
        <v>0</v>
      </c>
      <c r="AF19" s="78" cm="1">
        <f t="array" ref="AF19">IF(AND(AF$4&gt;=INDEX(plan!$J:$J, $B19), AF$4&lt;=INDEX(plan!$K:$K, $B19)),1,0)</f>
        <v>0</v>
      </c>
      <c r="AG19" s="79" cm="1">
        <f t="array" ref="AG19">IF(AND(AG$4&gt;=INDEX(plan!$J:$J, $B19), AG$4&lt;=INDEX(plan!$K:$K, $B19)),1,0)</f>
        <v>0</v>
      </c>
      <c r="AH19" s="74" cm="1">
        <f t="array" ref="AH19">IF(AND(AH$4&gt;=INDEX(plan!$J:$J, $B19), AH$4&lt;=INDEX(plan!$K:$K, $B19)),1,0)</f>
        <v>0</v>
      </c>
      <c r="AI19" s="78" cm="1">
        <f t="array" ref="AI19">IF(AND(AI$4&gt;=INDEX(plan!$J:$J, $B19), AI$4&lt;=INDEX(plan!$K:$K, $B19)),1,0)</f>
        <v>0</v>
      </c>
      <c r="AJ19" s="78" cm="1">
        <f t="array" ref="AJ19">IF(AND(AJ$4&gt;=INDEX(plan!$J:$J, $B19), AJ$4&lt;=INDEX(plan!$K:$K, $B19)),1,0)</f>
        <v>0</v>
      </c>
      <c r="AK19" s="78" cm="1">
        <f t="array" ref="AK19">IF(AND(AK$4&gt;=INDEX(plan!$J:$J, $B19), AK$4&lt;=INDEX(plan!$K:$K, $B19)),1,0)</f>
        <v>0</v>
      </c>
      <c r="AL19" s="78" cm="1">
        <f t="array" ref="AL19">IF(AND(AL$4&gt;=INDEX(plan!$J:$J, $B19), AL$4&lt;=INDEX(plan!$K:$K, $B19)),1,0)</f>
        <v>0</v>
      </c>
      <c r="AM19" s="78" cm="1">
        <f t="array" ref="AM19">IF(AND(AM$4&gt;=INDEX(plan!$J:$J, $B19), AM$4&lt;=INDEX(plan!$K:$K, $B19)),1,0)</f>
        <v>0</v>
      </c>
      <c r="AN19" s="79" cm="1">
        <f t="array" ref="AN19">IF(AND(AN$4&gt;=INDEX(plan!$J:$J, $B19), AN$4&lt;=INDEX(plan!$K:$K, $B19)),1,0)</f>
        <v>0</v>
      </c>
      <c r="AO19" s="74" cm="1">
        <f t="array" ref="AO19">IF(AND(AO$4&gt;=INDEX(plan!$J:$J, $B19), AO$4&lt;=INDEX(plan!$K:$K, $B19)),1,0)</f>
        <v>0</v>
      </c>
      <c r="AP19" s="78" cm="1">
        <f t="array" ref="AP19">IF(AND(AP$4&gt;=INDEX(plan!$J:$J, $B19), AP$4&lt;=INDEX(plan!$K:$K, $B19)),1,0)</f>
        <v>0</v>
      </c>
      <c r="AQ19" s="78" cm="1">
        <f t="array" ref="AQ19">IF(AND(AQ$4&gt;=INDEX(plan!$J:$J, $B19), AQ$4&lt;=INDEX(plan!$K:$K, $B19)),1,0)</f>
        <v>0</v>
      </c>
      <c r="AR19" s="78" cm="1">
        <f t="array" ref="AR19">IF(AND(AR$4&gt;=INDEX(plan!$J:$J, $B19), AR$4&lt;=INDEX(plan!$K:$K, $B19)),1,0)</f>
        <v>0</v>
      </c>
      <c r="AS19" s="78" cm="1">
        <f t="array" ref="AS19">IF(AND(AS$4&gt;=INDEX(plan!$J:$J, $B19), AS$4&lt;=INDEX(plan!$K:$K, $B19)),1,0)</f>
        <v>0</v>
      </c>
      <c r="AT19" s="78" cm="1">
        <f t="array" ref="AT19">IF(AND(AT$4&gt;=INDEX(plan!$J:$J, $B19), AT$4&lt;=INDEX(plan!$K:$K, $B19)),1,0)</f>
        <v>0</v>
      </c>
      <c r="AU19" s="79" cm="1">
        <f t="array" ref="AU19">IF(AND(AU$4&gt;=INDEX(plan!$J:$J, $B19), AU$4&lt;=INDEX(plan!$K:$K, $B19)),1,0)</f>
        <v>0</v>
      </c>
    </row>
    <row r="20" spans="1:47" ht="12.95" customHeight="1" x14ac:dyDescent="0.3">
      <c r="A20" s="36"/>
      <c r="B20" s="300"/>
      <c r="C20" s="275"/>
      <c r="D20" s="279"/>
      <c r="E20" s="277"/>
      <c r="F20" s="75" cm="1">
        <f t="array" ref="F20">_xlfn.LET(
  _xlpm.act,   cronograma!$C19,
  _xlpm.fecha, cronograma!F$4,
  _xlpm.ini,   INDEX(plan!$J:$J, $B19),
  _xlpm.fin,   INDEX(plan!$K:$K, $B19),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20" s="76" cm="1">
        <f t="array" ref="G20">_xlfn.LET(
  _xlpm.act,   cronograma!$C19,
  _xlpm.fecha, cronograma!G$4,
  _xlpm.ini,   INDEX(plan!$J:$J, $B19),
  _xlpm.fin,   INDEX(plan!$K:$K, $B19),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20" s="76" cm="1">
        <f t="array" ref="H20">_xlfn.LET(
  _xlpm.act,   cronograma!$C19,
  _xlpm.fecha, cronograma!H$4,
  _xlpm.ini,   INDEX(plan!$J:$J, $B19),
  _xlpm.fin,   INDEX(plan!$K:$K, $B19),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20" s="76" cm="1">
        <f t="array" ref="I20">_xlfn.LET(
  _xlpm.act,   cronograma!$C19,
  _xlpm.fecha, cronograma!I$4,
  _xlpm.ini,   INDEX(plan!$J:$J, $B19),
  _xlpm.fin,   INDEX(plan!$K:$K, $B19),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20" s="76" cm="1">
        <f t="array" ref="J20">_xlfn.LET(
  _xlpm.act,   cronograma!$C19,
  _xlpm.fecha, cronograma!J$4,
  _xlpm.ini,   INDEX(plan!$J:$J, $B19),
  _xlpm.fin,   INDEX(plan!$K:$K, $B19),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20" s="76" cm="1">
        <f t="array" ref="K20">_xlfn.LET(
  _xlpm.act,   cronograma!$C19,
  _xlpm.fecha, cronograma!K$4,
  _xlpm.ini,   INDEX(plan!$J:$J, $B19),
  _xlpm.fin,   INDEX(plan!$K:$K, $B19),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20" s="77" cm="1">
        <f t="array" ref="L20">_xlfn.LET(
  _xlpm.act,   cronograma!$C19,
  _xlpm.fecha, cronograma!L$4,
  _xlpm.ini,   INDEX(plan!$J:$J, $B19),
  _xlpm.fin,   INDEX(plan!$K:$K, $B19),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20" s="75" cm="1">
        <f t="array" ref="M20">_xlfn.LET(
  _xlpm.act,   cronograma!$C19,
  _xlpm.fecha, cronograma!M$4,
  _xlpm.ini,   INDEX(plan!$J:$J, $B19),
  _xlpm.fin,   INDEX(plan!$K:$K, $B19),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20" s="76" cm="1">
        <f t="array" ref="N20">_xlfn.LET(
  _xlpm.act,   cronograma!$C19,
  _xlpm.fecha, cronograma!N$4,
  _xlpm.ini,   INDEX(plan!$J:$J, $B19),
  _xlpm.fin,   INDEX(plan!$K:$K, $B19),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20" s="76" cm="1">
        <f t="array" ref="O20">_xlfn.LET(
  _xlpm.act,   cronograma!$C19,
  _xlpm.fecha, cronograma!O$4,
  _xlpm.ini,   INDEX(plan!$J:$J, $B19),
  _xlpm.fin,   INDEX(plan!$K:$K, $B19),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20" s="76" cm="1">
        <f t="array" ref="P20">_xlfn.LET(
  _xlpm.act,   cronograma!$C19,
  _xlpm.fecha, cronograma!P$4,
  _xlpm.ini,   INDEX(plan!$J:$J, $B19),
  _xlpm.fin,   INDEX(plan!$K:$K, $B19),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20" s="76" cm="1">
        <f t="array" ref="Q20">_xlfn.LET(
  _xlpm.act,   cronograma!$C19,
  _xlpm.fecha, cronograma!Q$4,
  _xlpm.ini,   INDEX(plan!$J:$J, $B19),
  _xlpm.fin,   INDEX(plan!$K:$K, $B19),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20" s="76" cm="1">
        <f t="array" ref="R20">_xlfn.LET(
  _xlpm.act,   cronograma!$C19,
  _xlpm.fecha, cronograma!R$4,
  _xlpm.ini,   INDEX(plan!$J:$J, $B19),
  _xlpm.fin,   INDEX(plan!$K:$K, $B19),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20" s="77" cm="1">
        <f t="array" ref="S20">_xlfn.LET(
  _xlpm.act,   cronograma!$C19,
  _xlpm.fecha, cronograma!S$4,
  _xlpm.ini,   INDEX(plan!$J:$J, $B19),
  _xlpm.fin,   INDEX(plan!$K:$K, $B19),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20" s="75" cm="1">
        <f t="array" ref="T20">_xlfn.LET(
  _xlpm.act,   cronograma!$C19,
  _xlpm.fecha, cronograma!T$4,
  _xlpm.ini,   INDEX(plan!$J:$J, $B19),
  _xlpm.fin,   INDEX(plan!$K:$K, $B19),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20" s="76" cm="1">
        <f t="array" ref="U20">_xlfn.LET(
  _xlpm.act,   cronograma!$C19,
  _xlpm.fecha, cronograma!U$4,
  _xlpm.ini,   INDEX(plan!$J:$J, $B19),
  _xlpm.fin,   INDEX(plan!$K:$K, $B19),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20" s="76" cm="1">
        <f t="array" ref="V20">_xlfn.LET(
  _xlpm.act,   cronograma!$C19,
  _xlpm.fecha, cronograma!V$4,
  _xlpm.ini,   INDEX(plan!$J:$J, $B19),
  _xlpm.fin,   INDEX(plan!$K:$K, $B19),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20" s="76" cm="1">
        <f t="array" ref="W20">_xlfn.LET(
  _xlpm.act,   cronograma!$C19,
  _xlpm.fecha, cronograma!W$4,
  _xlpm.ini,   INDEX(plan!$J:$J, $B19),
  _xlpm.fin,   INDEX(plan!$K:$K, $B19),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20" s="76" cm="1">
        <f t="array" ref="X20">_xlfn.LET(
  _xlpm.act,   cronograma!$C19,
  _xlpm.fecha, cronograma!X$4,
  _xlpm.ini,   INDEX(plan!$J:$J, $B19),
  _xlpm.fin,   INDEX(plan!$K:$K, $B19),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20" s="76" cm="1">
        <f t="array" ref="Y20">_xlfn.LET(
  _xlpm.act,   cronograma!$C19,
  _xlpm.fecha, cronograma!Y$4,
  _xlpm.ini,   INDEX(plan!$J:$J, $B19),
  _xlpm.fin,   INDEX(plan!$K:$K, $B19),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20" s="77" cm="1">
        <f t="array" ref="Z20">_xlfn.LET(
  _xlpm.act,   cronograma!$C19,
  _xlpm.fecha, cronograma!Z$4,
  _xlpm.ini,   INDEX(plan!$J:$J, $B19),
  _xlpm.fin,   INDEX(plan!$K:$K, $B19),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20" s="75" cm="1">
        <f t="array" ref="AA20">_xlfn.LET(
  _xlpm.act,   cronograma!$C19,
  _xlpm.fecha, cronograma!AA$4,
  _xlpm.ini,   INDEX(plan!$J:$J, $B19),
  _xlpm.fin,   INDEX(plan!$K:$K, $B19),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20" s="76" cm="1">
        <f t="array" ref="AB20">_xlfn.LET(
  _xlpm.act,   cronograma!$C19,
  _xlpm.fecha, cronograma!AB$4,
  _xlpm.ini,   INDEX(plan!$J:$J, $B19),
  _xlpm.fin,   INDEX(plan!$K:$K, $B19),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20" s="76" cm="1">
        <f t="array" ref="AC20">_xlfn.LET(
  _xlpm.act,   cronograma!$C19,
  _xlpm.fecha, cronograma!AC$4,
  _xlpm.ini,   INDEX(plan!$J:$J, $B19),
  _xlpm.fin,   INDEX(plan!$K:$K, $B19),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20" s="76" cm="1">
        <f t="array" ref="AD20">_xlfn.LET(
  _xlpm.act,   cronograma!$C19,
  _xlpm.fecha, cronograma!AD$4,
  _xlpm.ini,   INDEX(plan!$J:$J, $B19),
  _xlpm.fin,   INDEX(plan!$K:$K, $B19),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20" s="76" cm="1">
        <f t="array" ref="AE20">_xlfn.LET(
  _xlpm.act,   cronograma!$C19,
  _xlpm.fecha, cronograma!AE$4,
  _xlpm.ini,   INDEX(plan!$J:$J, $B19),
  _xlpm.fin,   INDEX(plan!$K:$K, $B19),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20" s="76" cm="1">
        <f t="array" ref="AF20">_xlfn.LET(
  _xlpm.act,   cronograma!$C19,
  _xlpm.fecha, cronograma!AF$4,
  _xlpm.ini,   INDEX(plan!$J:$J, $B19),
  _xlpm.fin,   INDEX(plan!$K:$K, $B19),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20" s="77" cm="1">
        <f t="array" ref="AG20">_xlfn.LET(
  _xlpm.act,   cronograma!$C19,
  _xlpm.fecha, cronograma!AG$4,
  _xlpm.ini,   INDEX(plan!$J:$J, $B19),
  _xlpm.fin,   INDEX(plan!$K:$K, $B19),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20" s="75" cm="1">
        <f t="array" ref="AH20">_xlfn.LET(
  _xlpm.act,   cronograma!$C19,
  _xlpm.fecha, cronograma!AH$4,
  _xlpm.ini,   INDEX(plan!$J:$J, $B19),
  _xlpm.fin,   INDEX(plan!$K:$K, $B19),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20" s="76" cm="1">
        <f t="array" ref="AI20">_xlfn.LET(
  _xlpm.act,   cronograma!$C19,
  _xlpm.fecha, cronograma!AI$4,
  _xlpm.ini,   INDEX(plan!$J:$J, $B19),
  _xlpm.fin,   INDEX(plan!$K:$K, $B19),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20" s="76" cm="1">
        <f t="array" ref="AJ20">_xlfn.LET(
  _xlpm.act,   cronograma!$C19,
  _xlpm.fecha, cronograma!AJ$4,
  _xlpm.ini,   INDEX(plan!$J:$J, $B19),
  _xlpm.fin,   INDEX(plan!$K:$K, $B19),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20" s="76" cm="1">
        <f t="array" ref="AK20">_xlfn.LET(
  _xlpm.act,   cronograma!$C19,
  _xlpm.fecha, cronograma!AK$4,
  _xlpm.ini,   INDEX(plan!$J:$J, $B19),
  _xlpm.fin,   INDEX(plan!$K:$K, $B19),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20" s="76" cm="1">
        <f t="array" ref="AL20">_xlfn.LET(
  _xlpm.act,   cronograma!$C19,
  _xlpm.fecha, cronograma!AL$4,
  _xlpm.ini,   INDEX(plan!$J:$J, $B19),
  _xlpm.fin,   INDEX(plan!$K:$K, $B19),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20" s="76" cm="1">
        <f t="array" ref="AM20">_xlfn.LET(
  _xlpm.act,   cronograma!$C19,
  _xlpm.fecha, cronograma!AM$4,
  _xlpm.ini,   INDEX(plan!$J:$J, $B19),
  _xlpm.fin,   INDEX(plan!$K:$K, $B19),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20" s="77" cm="1">
        <f t="array" ref="AN20">_xlfn.LET(
  _xlpm.act,   cronograma!$C19,
  _xlpm.fecha, cronograma!AN$4,
  _xlpm.ini,   INDEX(plan!$J:$J, $B19),
  _xlpm.fin,   INDEX(plan!$K:$K, $B19),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O20" s="75" cm="1">
        <f t="array" ref="AO20">_xlfn.LET(
  _xlpm.act,   cronograma!$C19,
  _xlpm.fecha, cronograma!AO$4,
  _xlpm.ini,   INDEX(plan!$J:$J, $B19),
  _xlpm.fin,   INDEX(plan!$K:$K, $B19),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P20" s="76" cm="1">
        <f t="array" ref="AP20">_xlfn.LET(
  _xlpm.act,   cronograma!$C19,
  _xlpm.fecha, cronograma!AP$4,
  _xlpm.ini,   INDEX(plan!$J:$J, $B19),
  _xlpm.fin,   INDEX(plan!$K:$K, $B19),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Q20" s="76" cm="1">
        <f t="array" ref="AQ20">_xlfn.LET(
  _xlpm.act,   cronograma!$C19,
  _xlpm.fecha, cronograma!AQ$4,
  _xlpm.ini,   INDEX(plan!$J:$J, $B19),
  _xlpm.fin,   INDEX(plan!$K:$K, $B19),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R20" s="76" cm="1">
        <f t="array" ref="AR20">_xlfn.LET(
  _xlpm.act,   cronograma!$C19,
  _xlpm.fecha, cronograma!AR$4,
  _xlpm.ini,   INDEX(plan!$J:$J, $B19),
  _xlpm.fin,   INDEX(plan!$K:$K, $B19),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S20" s="76" cm="1">
        <f t="array" ref="AS20">_xlfn.LET(
  _xlpm.act,   cronograma!$C19,
  _xlpm.fecha, cronograma!AS$4,
  _xlpm.ini,   INDEX(plan!$J:$J, $B19),
  _xlpm.fin,   INDEX(plan!$K:$K, $B19),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T20" s="76" cm="1">
        <f t="array" ref="AT20">_xlfn.LET(
  _xlpm.act,   cronograma!$C19,
  _xlpm.fecha, cronograma!AT$4,
  _xlpm.ini,   INDEX(plan!$J:$J, $B19),
  _xlpm.fin,   INDEX(plan!$K:$K, $B19),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U20" s="77" cm="1">
        <f t="array" ref="AU20">_xlfn.LET(
  _xlpm.act,   cronograma!$C19,
  _xlpm.fecha, cronograma!AU$4,
  _xlpm.ini,   INDEX(plan!$J:$J, $B19),
  _xlpm.fin,   INDEX(plan!$K:$K, $B19),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</row>
    <row r="21" spans="1:47" ht="12.95" customHeight="1" x14ac:dyDescent="0.3">
      <c r="A21" s="36"/>
      <c r="B21" s="301">
        <f>plan!B12</f>
        <v>12</v>
      </c>
      <c r="C21" s="274" t="str">
        <f>plan!C12</f>
        <v>Evaluar  baseline de almacenamiento</v>
      </c>
      <c r="D21" s="278" cm="1">
        <f t="array" ref="D21">INDEX(plan!$I:$I, $B21)</f>
        <v>60</v>
      </c>
      <c r="E21" s="276" cm="1">
        <f t="array" ref="E21">INDEX(plan!$U:$U, $B21)</f>
        <v>0</v>
      </c>
      <c r="F21" s="74" cm="1">
        <f t="array" ref="F21">IF(AND(F$4&gt;=INDEX(plan!$J:$J, $B21), F$4&lt;=INDEX(plan!$K:$K, $B21)),1,0)</f>
        <v>0</v>
      </c>
      <c r="G21" s="78" cm="1">
        <f t="array" ref="G21">IF(AND(G$4&gt;=INDEX(plan!$J:$J, $B21), G$4&lt;=INDEX(plan!$K:$K, $B21)),1,0)</f>
        <v>0</v>
      </c>
      <c r="H21" s="78" cm="1">
        <f t="array" ref="H21">IF(AND(H$4&gt;=INDEX(plan!$J:$J, $B21), H$4&lt;=INDEX(plan!$K:$K, $B21)),1,0)</f>
        <v>0</v>
      </c>
      <c r="I21" s="78" cm="1">
        <f t="array" ref="I21">IF(AND(I$4&gt;=INDEX(plan!$J:$J, $B21), I$4&lt;=INDEX(plan!$K:$K, $B21)),1,0)</f>
        <v>0</v>
      </c>
      <c r="J21" s="78" cm="1">
        <f t="array" ref="J21">IF(AND(J$4&gt;=INDEX(plan!$J:$J, $B21), J$4&lt;=INDEX(plan!$K:$K, $B21)),1,0)</f>
        <v>0</v>
      </c>
      <c r="K21" s="78" cm="1">
        <f t="array" ref="K21">IF(AND(K$4&gt;=INDEX(plan!$J:$J, $B21), K$4&lt;=INDEX(plan!$K:$K, $B21)),1,0)</f>
        <v>0</v>
      </c>
      <c r="L21" s="79" cm="1">
        <f t="array" ref="L21">IF(AND(L$4&gt;=INDEX(plan!$J:$J, $B21), L$4&lt;=INDEX(plan!$K:$K, $B21)),1,0)</f>
        <v>0</v>
      </c>
      <c r="M21" s="74" cm="1">
        <f t="array" ref="M21">IF(AND(M$4&gt;=INDEX(plan!$J:$J, $B21), M$4&lt;=INDEX(plan!$K:$K, $B21)),1,0)</f>
        <v>0</v>
      </c>
      <c r="N21" s="78" cm="1">
        <f t="array" ref="N21">IF(AND(N$4&gt;=INDEX(plan!$J:$J, $B21), N$4&lt;=INDEX(plan!$K:$K, $B21)),1,0)</f>
        <v>0</v>
      </c>
      <c r="O21" s="78" cm="1">
        <f t="array" ref="O21">IF(AND(O$4&gt;=INDEX(plan!$J:$J, $B21), O$4&lt;=INDEX(plan!$K:$K, $B21)),1,0)</f>
        <v>0</v>
      </c>
      <c r="P21" s="78" cm="1">
        <f t="array" ref="P21">IF(AND(P$4&gt;=INDEX(plan!$J:$J, $B21), P$4&lt;=INDEX(plan!$K:$K, $B21)),1,0)</f>
        <v>0</v>
      </c>
      <c r="Q21" s="78" cm="1">
        <f t="array" ref="Q21">IF(AND(Q$4&gt;=INDEX(plan!$J:$J, $B21), Q$4&lt;=INDEX(plan!$K:$K, $B21)),1,0)</f>
        <v>0</v>
      </c>
      <c r="R21" s="78" cm="1">
        <f t="array" ref="R21">IF(AND(R$4&gt;=INDEX(plan!$J:$J, $B21), R$4&lt;=INDEX(plan!$K:$K, $B21)),1,0)</f>
        <v>0</v>
      </c>
      <c r="S21" s="79" cm="1">
        <f t="array" ref="S21">IF(AND(S$4&gt;=INDEX(plan!$J:$J, $B21), S$4&lt;=INDEX(plan!$K:$K, $B21)),1,0)</f>
        <v>0</v>
      </c>
      <c r="T21" s="74" cm="1">
        <f t="array" ref="T21">IF(AND(T$4&gt;=INDEX(plan!$J:$J, $B21), T$4&lt;=INDEX(plan!$K:$K, $B21)),1,0)</f>
        <v>0</v>
      </c>
      <c r="U21" s="78" cm="1">
        <f t="array" ref="U21">IF(AND(U$4&gt;=INDEX(plan!$J:$J, $B21), U$4&lt;=INDEX(plan!$K:$K, $B21)),1,0)</f>
        <v>0</v>
      </c>
      <c r="V21" s="78" cm="1">
        <f t="array" ref="V21">IF(AND(V$4&gt;=INDEX(plan!$J:$J, $B21), V$4&lt;=INDEX(plan!$K:$K, $B21)),1,0)</f>
        <v>0</v>
      </c>
      <c r="W21" s="78" cm="1">
        <f t="array" ref="W21">IF(AND(W$4&gt;=INDEX(plan!$J:$J, $B21), W$4&lt;=INDEX(plan!$K:$K, $B21)),1,0)</f>
        <v>0</v>
      </c>
      <c r="X21" s="78" cm="1">
        <f t="array" ref="X21">IF(AND(X$4&gt;=INDEX(plan!$J:$J, $B21), X$4&lt;=INDEX(plan!$K:$K, $B21)),1,0)</f>
        <v>0</v>
      </c>
      <c r="Y21" s="78" cm="1">
        <f t="array" ref="Y21">IF(AND(Y$4&gt;=INDEX(plan!$J:$J, $B21), Y$4&lt;=INDEX(plan!$K:$K, $B21)),1,0)</f>
        <v>0</v>
      </c>
      <c r="Z21" s="79" cm="1">
        <f t="array" ref="Z21">IF(AND(Z$4&gt;=INDEX(plan!$J:$J, $B21), Z$4&lt;=INDEX(plan!$K:$K, $B21)),1,0)</f>
        <v>0</v>
      </c>
      <c r="AA21" s="74" cm="1">
        <f t="array" ref="AA21">IF(AND(AA$4&gt;=INDEX(plan!$J:$J, $B21), AA$4&lt;=INDEX(plan!$K:$K, $B21)),1,0)</f>
        <v>0</v>
      </c>
      <c r="AB21" s="78" cm="1">
        <f t="array" ref="AB21">IF(AND(AB$4&gt;=INDEX(plan!$J:$J, $B21), AB$4&lt;=INDEX(plan!$K:$K, $B21)),1,0)</f>
        <v>1</v>
      </c>
      <c r="AC21" s="78" cm="1">
        <f t="array" ref="AC21">IF(AND(AC$4&gt;=INDEX(plan!$J:$J, $B21), AC$4&lt;=INDEX(plan!$K:$K, $B21)),1,0)</f>
        <v>1</v>
      </c>
      <c r="AD21" s="78" cm="1">
        <f t="array" ref="AD21">IF(AND(AD$4&gt;=INDEX(plan!$J:$J, $B21), AD$4&lt;=INDEX(plan!$K:$K, $B21)),1,0)</f>
        <v>1</v>
      </c>
      <c r="AE21" s="78" cm="1">
        <f t="array" ref="AE21">IF(AND(AE$4&gt;=INDEX(plan!$J:$J, $B21), AE$4&lt;=INDEX(plan!$K:$K, $B21)),1,0)</f>
        <v>1</v>
      </c>
      <c r="AF21" s="78" cm="1">
        <f t="array" ref="AF21">IF(AND(AF$4&gt;=INDEX(plan!$J:$J, $B21), AF$4&lt;=INDEX(plan!$K:$K, $B21)),1,0)</f>
        <v>1</v>
      </c>
      <c r="AG21" s="79" cm="1">
        <f t="array" ref="AG21">IF(AND(AG$4&gt;=INDEX(plan!$J:$J, $B21), AG$4&lt;=INDEX(plan!$K:$K, $B21)),1,0)</f>
        <v>0</v>
      </c>
      <c r="AH21" s="74" cm="1">
        <f t="array" ref="AH21">IF(AND(AH$4&gt;=INDEX(plan!$J:$J, $B21), AH$4&lt;=INDEX(plan!$K:$K, $B21)),1,0)</f>
        <v>0</v>
      </c>
      <c r="AI21" s="78" cm="1">
        <f t="array" ref="AI21">IF(AND(AI$4&gt;=INDEX(plan!$J:$J, $B21), AI$4&lt;=INDEX(plan!$K:$K, $B21)),1,0)</f>
        <v>0</v>
      </c>
      <c r="AJ21" s="78" cm="1">
        <f t="array" ref="AJ21">IF(AND(AJ$4&gt;=INDEX(plan!$J:$J, $B21), AJ$4&lt;=INDEX(plan!$K:$K, $B21)),1,0)</f>
        <v>0</v>
      </c>
      <c r="AK21" s="78" cm="1">
        <f t="array" ref="AK21">IF(AND(AK$4&gt;=INDEX(plan!$J:$J, $B21), AK$4&lt;=INDEX(plan!$K:$K, $B21)),1,0)</f>
        <v>0</v>
      </c>
      <c r="AL21" s="78" cm="1">
        <f t="array" ref="AL21">IF(AND(AL$4&gt;=INDEX(plan!$J:$J, $B21), AL$4&lt;=INDEX(plan!$K:$K, $B21)),1,0)</f>
        <v>0</v>
      </c>
      <c r="AM21" s="78" cm="1">
        <f t="array" ref="AM21">IF(AND(AM$4&gt;=INDEX(plan!$J:$J, $B21), AM$4&lt;=INDEX(plan!$K:$K, $B21)),1,0)</f>
        <v>0</v>
      </c>
      <c r="AN21" s="79" cm="1">
        <f t="array" ref="AN21">IF(AND(AN$4&gt;=INDEX(plan!$J:$J, $B21), AN$4&lt;=INDEX(plan!$K:$K, $B21)),1,0)</f>
        <v>0</v>
      </c>
      <c r="AO21" s="74" cm="1">
        <f t="array" ref="AO21">IF(AND(AO$4&gt;=INDEX(plan!$J:$J, $B21), AO$4&lt;=INDEX(plan!$K:$K, $B21)),1,0)</f>
        <v>0</v>
      </c>
      <c r="AP21" s="78" cm="1">
        <f t="array" ref="AP21">IF(AND(AP$4&gt;=INDEX(plan!$J:$J, $B21), AP$4&lt;=INDEX(plan!$K:$K, $B21)),1,0)</f>
        <v>0</v>
      </c>
      <c r="AQ21" s="78" cm="1">
        <f t="array" ref="AQ21">IF(AND(AQ$4&gt;=INDEX(plan!$J:$J, $B21), AQ$4&lt;=INDEX(plan!$K:$K, $B21)),1,0)</f>
        <v>0</v>
      </c>
      <c r="AR21" s="78" cm="1">
        <f t="array" ref="AR21">IF(AND(AR$4&gt;=INDEX(plan!$J:$J, $B21), AR$4&lt;=INDEX(plan!$K:$K, $B21)),1,0)</f>
        <v>0</v>
      </c>
      <c r="AS21" s="78" cm="1">
        <f t="array" ref="AS21">IF(AND(AS$4&gt;=INDEX(plan!$J:$J, $B21), AS$4&lt;=INDEX(plan!$K:$K, $B21)),1,0)</f>
        <v>0</v>
      </c>
      <c r="AT21" s="78" cm="1">
        <f t="array" ref="AT21">IF(AND(AT$4&gt;=INDEX(plan!$J:$J, $B21), AT$4&lt;=INDEX(plan!$K:$K, $B21)),1,0)</f>
        <v>0</v>
      </c>
      <c r="AU21" s="79" cm="1">
        <f t="array" ref="AU21">IF(AND(AU$4&gt;=INDEX(plan!$J:$J, $B21), AU$4&lt;=INDEX(plan!$K:$K, $B21)),1,0)</f>
        <v>0</v>
      </c>
    </row>
    <row r="22" spans="1:47" ht="12.95" customHeight="1" x14ac:dyDescent="0.3">
      <c r="A22" s="36"/>
      <c r="B22" s="300"/>
      <c r="C22" s="275"/>
      <c r="D22" s="279"/>
      <c r="E22" s="277"/>
      <c r="F22" s="75" cm="1">
        <f t="array" ref="F22">_xlfn.LET(
  _xlpm.act,   cronograma!$C21,
  _xlpm.fecha, cronograma!F$4,
  _xlpm.ini,   INDEX(plan!$J:$J, $B21),
  _xlpm.fin,   INDEX(plan!$K:$K, $B21),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22" s="76" cm="1">
        <f t="array" ref="G22">_xlfn.LET(
  _xlpm.act,   cronograma!$C21,
  _xlpm.fecha, cronograma!G$4,
  _xlpm.ini,   INDEX(plan!$J:$J, $B21),
  _xlpm.fin,   INDEX(plan!$K:$K, $B21),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22" s="76" cm="1">
        <f t="array" ref="H22">_xlfn.LET(
  _xlpm.act,   cronograma!$C21,
  _xlpm.fecha, cronograma!H$4,
  _xlpm.ini,   INDEX(plan!$J:$J, $B21),
  _xlpm.fin,   INDEX(plan!$K:$K, $B21),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22" s="76" cm="1">
        <f t="array" ref="I22">_xlfn.LET(
  _xlpm.act,   cronograma!$C21,
  _xlpm.fecha, cronograma!I$4,
  _xlpm.ini,   INDEX(plan!$J:$J, $B21),
  _xlpm.fin,   INDEX(plan!$K:$K, $B21),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22" s="76" cm="1">
        <f t="array" ref="J22">_xlfn.LET(
  _xlpm.act,   cronograma!$C21,
  _xlpm.fecha, cronograma!J$4,
  _xlpm.ini,   INDEX(plan!$J:$J, $B21),
  _xlpm.fin,   INDEX(plan!$K:$K, $B21),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22" s="76" cm="1">
        <f t="array" ref="K22">_xlfn.LET(
  _xlpm.act,   cronograma!$C21,
  _xlpm.fecha, cronograma!K$4,
  _xlpm.ini,   INDEX(plan!$J:$J, $B21),
  _xlpm.fin,   INDEX(plan!$K:$K, $B21),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22" s="77" cm="1">
        <f t="array" ref="L22">_xlfn.LET(
  _xlpm.act,   cronograma!$C21,
  _xlpm.fecha, cronograma!L$4,
  _xlpm.ini,   INDEX(plan!$J:$J, $B21),
  _xlpm.fin,   INDEX(plan!$K:$K, $B21),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22" s="75" cm="1">
        <f t="array" ref="M22">_xlfn.LET(
  _xlpm.act,   cronograma!$C21,
  _xlpm.fecha, cronograma!M$4,
  _xlpm.ini,   INDEX(plan!$J:$J, $B21),
  _xlpm.fin,   INDEX(plan!$K:$K, $B21),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22" s="76" cm="1">
        <f t="array" ref="N22">_xlfn.LET(
  _xlpm.act,   cronograma!$C21,
  _xlpm.fecha, cronograma!N$4,
  _xlpm.ini,   INDEX(plan!$J:$J, $B21),
  _xlpm.fin,   INDEX(plan!$K:$K, $B21),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22" s="76" cm="1">
        <f t="array" ref="O22">_xlfn.LET(
  _xlpm.act,   cronograma!$C21,
  _xlpm.fecha, cronograma!O$4,
  _xlpm.ini,   INDEX(plan!$J:$J, $B21),
  _xlpm.fin,   INDEX(plan!$K:$K, $B21),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22" s="76" cm="1">
        <f t="array" ref="P22">_xlfn.LET(
  _xlpm.act,   cronograma!$C21,
  _xlpm.fecha, cronograma!P$4,
  _xlpm.ini,   INDEX(plan!$J:$J, $B21),
  _xlpm.fin,   INDEX(plan!$K:$K, $B21),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22" s="76" cm="1">
        <f t="array" ref="Q22">_xlfn.LET(
  _xlpm.act,   cronograma!$C21,
  _xlpm.fecha, cronograma!Q$4,
  _xlpm.ini,   INDEX(plan!$J:$J, $B21),
  _xlpm.fin,   INDEX(plan!$K:$K, $B21),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22" s="76" cm="1">
        <f t="array" ref="R22">_xlfn.LET(
  _xlpm.act,   cronograma!$C21,
  _xlpm.fecha, cronograma!R$4,
  _xlpm.ini,   INDEX(plan!$J:$J, $B21),
  _xlpm.fin,   INDEX(plan!$K:$K, $B21),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22" s="77" cm="1">
        <f t="array" ref="S22">_xlfn.LET(
  _xlpm.act,   cronograma!$C21,
  _xlpm.fecha, cronograma!S$4,
  _xlpm.ini,   INDEX(plan!$J:$J, $B21),
  _xlpm.fin,   INDEX(plan!$K:$K, $B21),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22" s="75" cm="1">
        <f t="array" ref="T22">_xlfn.LET(
  _xlpm.act,   cronograma!$C21,
  _xlpm.fecha, cronograma!T$4,
  _xlpm.ini,   INDEX(plan!$J:$J, $B21),
  _xlpm.fin,   INDEX(plan!$K:$K, $B21),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22" s="76" cm="1">
        <f t="array" ref="U22">_xlfn.LET(
  _xlpm.act,   cronograma!$C21,
  _xlpm.fecha, cronograma!U$4,
  _xlpm.ini,   INDEX(plan!$J:$J, $B21),
  _xlpm.fin,   INDEX(plan!$K:$K, $B21),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22" s="76" cm="1">
        <f t="array" ref="V22">_xlfn.LET(
  _xlpm.act,   cronograma!$C21,
  _xlpm.fecha, cronograma!V$4,
  _xlpm.ini,   INDEX(plan!$J:$J, $B21),
  _xlpm.fin,   INDEX(plan!$K:$K, $B21),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22" s="76" cm="1">
        <f t="array" ref="W22">_xlfn.LET(
  _xlpm.act,   cronograma!$C21,
  _xlpm.fecha, cronograma!W$4,
  _xlpm.ini,   INDEX(plan!$J:$J, $B21),
  _xlpm.fin,   INDEX(plan!$K:$K, $B21),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22" s="76" cm="1">
        <f t="array" ref="X22">_xlfn.LET(
  _xlpm.act,   cronograma!$C21,
  _xlpm.fecha, cronograma!X$4,
  _xlpm.ini,   INDEX(plan!$J:$J, $B21),
  _xlpm.fin,   INDEX(plan!$K:$K, $B21),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22" s="76" cm="1">
        <f t="array" ref="Y22">_xlfn.LET(
  _xlpm.act,   cronograma!$C21,
  _xlpm.fecha, cronograma!Y$4,
  _xlpm.ini,   INDEX(plan!$J:$J, $B21),
  _xlpm.fin,   INDEX(plan!$K:$K, $B21),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22" s="77" cm="1">
        <f t="array" ref="Z22">_xlfn.LET(
  _xlpm.act,   cronograma!$C21,
  _xlpm.fecha, cronograma!Z$4,
  _xlpm.ini,   INDEX(plan!$J:$J, $B21),
  _xlpm.fin,   INDEX(plan!$K:$K, $B21),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22" s="75" cm="1">
        <f t="array" ref="AA22">_xlfn.LET(
  _xlpm.act,   cronograma!$C21,
  _xlpm.fecha, cronograma!AA$4,
  _xlpm.ini,   INDEX(plan!$J:$J, $B21),
  _xlpm.fin,   INDEX(plan!$K:$K, $B21),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22" s="76" cm="1">
        <f t="array" ref="AB22">_xlfn.LET(
  _xlpm.act,   cronograma!$C21,
  _xlpm.fecha, cronograma!AB$4,
  _xlpm.ini,   INDEX(plan!$J:$J, $B21),
  _xlpm.fin,   INDEX(plan!$K:$K, $B21),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22" s="76" cm="1">
        <f t="array" ref="AC22">_xlfn.LET(
  _xlpm.act,   cronograma!$C21,
  _xlpm.fecha, cronograma!AC$4,
  _xlpm.ini,   INDEX(plan!$J:$J, $B21),
  _xlpm.fin,   INDEX(plan!$K:$K, $B21),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22" s="76" cm="1">
        <f t="array" ref="AD22">_xlfn.LET(
  _xlpm.act,   cronograma!$C21,
  _xlpm.fecha, cronograma!AD$4,
  _xlpm.ini,   INDEX(plan!$J:$J, $B21),
  _xlpm.fin,   INDEX(plan!$K:$K, $B21),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22" s="76" cm="1">
        <f t="array" ref="AE22">_xlfn.LET(
  _xlpm.act,   cronograma!$C21,
  _xlpm.fecha, cronograma!AE$4,
  _xlpm.ini,   INDEX(plan!$J:$J, $B21),
  _xlpm.fin,   INDEX(plan!$K:$K, $B21),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22" s="76" cm="1">
        <f t="array" ref="AF22">_xlfn.LET(
  _xlpm.act,   cronograma!$C21,
  _xlpm.fecha, cronograma!AF$4,
  _xlpm.ini,   INDEX(plan!$J:$J, $B21),
  _xlpm.fin,   INDEX(plan!$K:$K, $B21),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22" s="77" cm="1">
        <f t="array" ref="AG22">_xlfn.LET(
  _xlpm.act,   cronograma!$C21,
  _xlpm.fecha, cronograma!AG$4,
  _xlpm.ini,   INDEX(plan!$J:$J, $B21),
  _xlpm.fin,   INDEX(plan!$K:$K, $B21),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22" s="75" cm="1">
        <f t="array" ref="AH22">_xlfn.LET(
  _xlpm.act,   cronograma!$C21,
  _xlpm.fecha, cronograma!AH$4,
  _xlpm.ini,   INDEX(plan!$J:$J, $B21),
  _xlpm.fin,   INDEX(plan!$K:$K, $B21),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22" s="76" cm="1">
        <f t="array" ref="AI22">_xlfn.LET(
  _xlpm.act,   cronograma!$C21,
  _xlpm.fecha, cronograma!AI$4,
  _xlpm.ini,   INDEX(plan!$J:$J, $B21),
  _xlpm.fin,   INDEX(plan!$K:$K, $B21),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22" s="76" cm="1">
        <f t="array" ref="AJ22">_xlfn.LET(
  _xlpm.act,   cronograma!$C21,
  _xlpm.fecha, cronograma!AJ$4,
  _xlpm.ini,   INDEX(plan!$J:$J, $B21),
  _xlpm.fin,   INDEX(plan!$K:$K, $B21),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22" s="76" cm="1">
        <f t="array" ref="AK22">_xlfn.LET(
  _xlpm.act,   cronograma!$C21,
  _xlpm.fecha, cronograma!AK$4,
  _xlpm.ini,   INDEX(plan!$J:$J, $B21),
  _xlpm.fin,   INDEX(plan!$K:$K, $B21),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22" s="76" cm="1">
        <f t="array" ref="AL22">_xlfn.LET(
  _xlpm.act,   cronograma!$C21,
  _xlpm.fecha, cronograma!AL$4,
  _xlpm.ini,   INDEX(plan!$J:$J, $B21),
  _xlpm.fin,   INDEX(plan!$K:$K, $B21),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22" s="76" cm="1">
        <f t="array" ref="AM22">_xlfn.LET(
  _xlpm.act,   cronograma!$C21,
  _xlpm.fecha, cronograma!AM$4,
  _xlpm.ini,   INDEX(plan!$J:$J, $B21),
  _xlpm.fin,   INDEX(plan!$K:$K, $B21),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22" s="77" cm="1">
        <f t="array" ref="AN22">_xlfn.LET(
  _xlpm.act,   cronograma!$C21,
  _xlpm.fecha, cronograma!AN$4,
  _xlpm.ini,   INDEX(plan!$J:$J, $B21),
  _xlpm.fin,   INDEX(plan!$K:$K, $B21),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O22" s="75" cm="1">
        <f t="array" ref="AO22">_xlfn.LET(
  _xlpm.act,   cronograma!$C21,
  _xlpm.fecha, cronograma!AO$4,
  _xlpm.ini,   INDEX(plan!$J:$J, $B21),
  _xlpm.fin,   INDEX(plan!$K:$K, $B21),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P22" s="76" cm="1">
        <f t="array" ref="AP22">_xlfn.LET(
  _xlpm.act,   cronograma!$C21,
  _xlpm.fecha, cronograma!AP$4,
  _xlpm.ini,   INDEX(plan!$J:$J, $B21),
  _xlpm.fin,   INDEX(plan!$K:$K, $B21),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Q22" s="76" cm="1">
        <f t="array" ref="AQ22">_xlfn.LET(
  _xlpm.act,   cronograma!$C21,
  _xlpm.fecha, cronograma!AQ$4,
  _xlpm.ini,   INDEX(plan!$J:$J, $B21),
  _xlpm.fin,   INDEX(plan!$K:$K, $B21),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R22" s="76" cm="1">
        <f t="array" ref="AR22">_xlfn.LET(
  _xlpm.act,   cronograma!$C21,
  _xlpm.fecha, cronograma!AR$4,
  _xlpm.ini,   INDEX(plan!$J:$J, $B21),
  _xlpm.fin,   INDEX(plan!$K:$K, $B21),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S22" s="76" cm="1">
        <f t="array" ref="AS22">_xlfn.LET(
  _xlpm.act,   cronograma!$C21,
  _xlpm.fecha, cronograma!AS$4,
  _xlpm.ini,   INDEX(plan!$J:$J, $B21),
  _xlpm.fin,   INDEX(plan!$K:$K, $B21),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T22" s="76" cm="1">
        <f t="array" ref="AT22">_xlfn.LET(
  _xlpm.act,   cronograma!$C21,
  _xlpm.fecha, cronograma!AT$4,
  _xlpm.ini,   INDEX(plan!$J:$J, $B21),
  _xlpm.fin,   INDEX(plan!$K:$K, $B21),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U22" s="77" cm="1">
        <f t="array" ref="AU22">_xlfn.LET(
  _xlpm.act,   cronograma!$C21,
  _xlpm.fecha, cronograma!AU$4,
  _xlpm.ini,   INDEX(plan!$J:$J, $B21),
  _xlpm.fin,   INDEX(plan!$K:$K, $B21),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</row>
    <row r="23" spans="1:47" ht="12.95" customHeight="1" x14ac:dyDescent="0.3">
      <c r="A23" s="36"/>
      <c r="B23" s="301">
        <f>plan!B13</f>
        <v>13</v>
      </c>
      <c r="C23" s="274" t="str">
        <f>plan!C13</f>
        <v>ETLs Sprint #2</v>
      </c>
      <c r="D23" s="278" cm="1">
        <f t="array" ref="D23">INDEX(plan!$I:$I, $B23)</f>
        <v>20</v>
      </c>
      <c r="E23" s="276" cm="1">
        <f t="array" ref="E23">INDEX(plan!$U:$U, $B23)</f>
        <v>0</v>
      </c>
      <c r="F23" s="74" cm="1">
        <f t="array" ref="F23">IF(AND(F$4&gt;=INDEX(plan!$J:$J, $B23), F$4&lt;=INDEX(plan!$K:$K, $B23)),1,0)</f>
        <v>0</v>
      </c>
      <c r="G23" s="78" cm="1">
        <f t="array" ref="G23">IF(AND(G$4&gt;=INDEX(plan!$J:$J, $B23), G$4&lt;=INDEX(plan!$K:$K, $B23)),1,0)</f>
        <v>0</v>
      </c>
      <c r="H23" s="78" cm="1">
        <f t="array" ref="H23">IF(AND(H$4&gt;=INDEX(plan!$J:$J, $B23), H$4&lt;=INDEX(plan!$K:$K, $B23)),1,0)</f>
        <v>0</v>
      </c>
      <c r="I23" s="78" cm="1">
        <f t="array" ref="I23">IF(AND(I$4&gt;=INDEX(plan!$J:$J, $B23), I$4&lt;=INDEX(plan!$K:$K, $B23)),1,0)</f>
        <v>0</v>
      </c>
      <c r="J23" s="78" cm="1">
        <f t="array" ref="J23">IF(AND(J$4&gt;=INDEX(plan!$J:$J, $B23), J$4&lt;=INDEX(plan!$K:$K, $B23)),1,0)</f>
        <v>0</v>
      </c>
      <c r="K23" s="78" cm="1">
        <f t="array" ref="K23">IF(AND(K$4&gt;=INDEX(plan!$J:$J, $B23), K$4&lt;=INDEX(plan!$K:$K, $B23)),1,0)</f>
        <v>0</v>
      </c>
      <c r="L23" s="79" cm="1">
        <f t="array" ref="L23">IF(AND(L$4&gt;=INDEX(plan!$J:$J, $B23), L$4&lt;=INDEX(plan!$K:$K, $B23)),1,0)</f>
        <v>0</v>
      </c>
      <c r="M23" s="74" cm="1">
        <f t="array" ref="M23">IF(AND(M$4&gt;=INDEX(plan!$J:$J, $B23), M$4&lt;=INDEX(plan!$K:$K, $B23)),1,0)</f>
        <v>0</v>
      </c>
      <c r="N23" s="78" cm="1">
        <f t="array" ref="N23">IF(AND(N$4&gt;=INDEX(plan!$J:$J, $B23), N$4&lt;=INDEX(plan!$K:$K, $B23)),1,0)</f>
        <v>0</v>
      </c>
      <c r="O23" s="78" cm="1">
        <f t="array" ref="O23">IF(AND(O$4&gt;=INDEX(plan!$J:$J, $B23), O$4&lt;=INDEX(plan!$K:$K, $B23)),1,0)</f>
        <v>0</v>
      </c>
      <c r="P23" s="78" cm="1">
        <f t="array" ref="P23">IF(AND(P$4&gt;=INDEX(plan!$J:$J, $B23), P$4&lt;=INDEX(plan!$K:$K, $B23)),1,0)</f>
        <v>0</v>
      </c>
      <c r="Q23" s="78" cm="1">
        <f t="array" ref="Q23">IF(AND(Q$4&gt;=INDEX(plan!$J:$J, $B23), Q$4&lt;=INDEX(plan!$K:$K, $B23)),1,0)</f>
        <v>0</v>
      </c>
      <c r="R23" s="78" cm="1">
        <f t="array" ref="R23">IF(AND(R$4&gt;=INDEX(plan!$J:$J, $B23), R$4&lt;=INDEX(plan!$K:$K, $B23)),1,0)</f>
        <v>0</v>
      </c>
      <c r="S23" s="79" cm="1">
        <f t="array" ref="S23">IF(AND(S$4&gt;=INDEX(plan!$J:$J, $B23), S$4&lt;=INDEX(plan!$K:$K, $B23)),1,0)</f>
        <v>0</v>
      </c>
      <c r="T23" s="74" cm="1">
        <f t="array" ref="T23">IF(AND(T$4&gt;=INDEX(plan!$J:$J, $B23), T$4&lt;=INDEX(plan!$K:$K, $B23)),1,0)</f>
        <v>0</v>
      </c>
      <c r="U23" s="78" cm="1">
        <f t="array" ref="U23">IF(AND(U$4&gt;=INDEX(plan!$J:$J, $B23), U$4&lt;=INDEX(plan!$K:$K, $B23)),1,0)</f>
        <v>0</v>
      </c>
      <c r="V23" s="78" cm="1">
        <f t="array" ref="V23">IF(AND(V$4&gt;=INDEX(plan!$J:$J, $B23), V$4&lt;=INDEX(plan!$K:$K, $B23)),1,0)</f>
        <v>0</v>
      </c>
      <c r="W23" s="78" cm="1">
        <f t="array" ref="W23">IF(AND(W$4&gt;=INDEX(plan!$J:$J, $B23), W$4&lt;=INDEX(plan!$K:$K, $B23)),1,0)</f>
        <v>0</v>
      </c>
      <c r="X23" s="78" cm="1">
        <f t="array" ref="X23">IF(AND(X$4&gt;=INDEX(plan!$J:$J, $B23), X$4&lt;=INDEX(plan!$K:$K, $B23)),1,0)</f>
        <v>0</v>
      </c>
      <c r="Y23" s="78" cm="1">
        <f t="array" ref="Y23">IF(AND(Y$4&gt;=INDEX(plan!$J:$J, $B23), Y$4&lt;=INDEX(plan!$K:$K, $B23)),1,0)</f>
        <v>0</v>
      </c>
      <c r="Z23" s="79" cm="1">
        <f t="array" ref="Z23">IF(AND(Z$4&gt;=INDEX(plan!$J:$J, $B23), Z$4&lt;=INDEX(plan!$K:$K, $B23)),1,0)</f>
        <v>0</v>
      </c>
      <c r="AA23" s="74" cm="1">
        <f t="array" ref="AA23">IF(AND(AA$4&gt;=INDEX(plan!$J:$J, $B23), AA$4&lt;=INDEX(plan!$K:$K, $B23)),1,0)</f>
        <v>0</v>
      </c>
      <c r="AB23" s="78" cm="1">
        <f t="array" ref="AB23">IF(AND(AB$4&gt;=INDEX(plan!$J:$J, $B23), AB$4&lt;=INDEX(plan!$K:$K, $B23)),1,0)</f>
        <v>0</v>
      </c>
      <c r="AC23" s="78" cm="1">
        <f t="array" ref="AC23">IF(AND(AC$4&gt;=INDEX(plan!$J:$J, $B23), AC$4&lt;=INDEX(plan!$K:$K, $B23)),1,0)</f>
        <v>0</v>
      </c>
      <c r="AD23" s="78" cm="1">
        <f t="array" ref="AD23">IF(AND(AD$4&gt;=INDEX(plan!$J:$J, $B23), AD$4&lt;=INDEX(plan!$K:$K, $B23)),1,0)</f>
        <v>1</v>
      </c>
      <c r="AE23" s="78" cm="1">
        <f t="array" ref="AE23">IF(AND(AE$4&gt;=INDEX(plan!$J:$J, $B23), AE$4&lt;=INDEX(plan!$K:$K, $B23)),1,0)</f>
        <v>1</v>
      </c>
      <c r="AF23" s="78" cm="1">
        <f t="array" ref="AF23">IF(AND(AF$4&gt;=INDEX(plan!$J:$J, $B23), AF$4&lt;=INDEX(plan!$K:$K, $B23)),1,0)</f>
        <v>1</v>
      </c>
      <c r="AG23" s="79" cm="1">
        <f t="array" ref="AG23">IF(AND(AG$4&gt;=INDEX(plan!$J:$J, $B23), AG$4&lt;=INDEX(plan!$K:$K, $B23)),1,0)</f>
        <v>1</v>
      </c>
      <c r="AH23" s="74" cm="1">
        <f t="array" ref="AH23">IF(AND(AH$4&gt;=INDEX(plan!$J:$J, $B23), AH$4&lt;=INDEX(plan!$K:$K, $B23)),1,0)</f>
        <v>1</v>
      </c>
      <c r="AI23" s="78" cm="1">
        <f t="array" ref="AI23">IF(AND(AI$4&gt;=INDEX(plan!$J:$J, $B23), AI$4&lt;=INDEX(plan!$K:$K, $B23)),1,0)</f>
        <v>1</v>
      </c>
      <c r="AJ23" s="78" cm="1">
        <f t="array" ref="AJ23">IF(AND(AJ$4&gt;=INDEX(plan!$J:$J, $B23), AJ$4&lt;=INDEX(plan!$K:$K, $B23)),1,0)</f>
        <v>0</v>
      </c>
      <c r="AK23" s="78" cm="1">
        <f t="array" ref="AK23">IF(AND(AK$4&gt;=INDEX(plan!$J:$J, $B23), AK$4&lt;=INDEX(plan!$K:$K, $B23)),1,0)</f>
        <v>0</v>
      </c>
      <c r="AL23" s="78" cm="1">
        <f t="array" ref="AL23">IF(AND(AL$4&gt;=INDEX(plan!$J:$J, $B23), AL$4&lt;=INDEX(plan!$K:$K, $B23)),1,0)</f>
        <v>0</v>
      </c>
      <c r="AM23" s="78" cm="1">
        <f t="array" ref="AM23">IF(AND(AM$4&gt;=INDEX(plan!$J:$J, $B23), AM$4&lt;=INDEX(plan!$K:$K, $B23)),1,0)</f>
        <v>0</v>
      </c>
      <c r="AN23" s="79" cm="1">
        <f t="array" ref="AN23">IF(AND(AN$4&gt;=INDEX(plan!$J:$J, $B23), AN$4&lt;=INDEX(plan!$K:$K, $B23)),1,0)</f>
        <v>0</v>
      </c>
      <c r="AO23" s="74" cm="1">
        <f t="array" ref="AO23">IF(AND(AO$4&gt;=INDEX(plan!$J:$J, $B23), AO$4&lt;=INDEX(plan!$K:$K, $B23)),1,0)</f>
        <v>0</v>
      </c>
      <c r="AP23" s="78" cm="1">
        <f t="array" ref="AP23">IF(AND(AP$4&gt;=INDEX(plan!$J:$J, $B23), AP$4&lt;=INDEX(plan!$K:$K, $B23)),1,0)</f>
        <v>0</v>
      </c>
      <c r="AQ23" s="78" cm="1">
        <f t="array" ref="AQ23">IF(AND(AQ$4&gt;=INDEX(plan!$J:$J, $B23), AQ$4&lt;=INDEX(plan!$K:$K, $B23)),1,0)</f>
        <v>0</v>
      </c>
      <c r="AR23" s="78" cm="1">
        <f t="array" ref="AR23">IF(AND(AR$4&gt;=INDEX(plan!$J:$J, $B23), AR$4&lt;=INDEX(plan!$K:$K, $B23)),1,0)</f>
        <v>0</v>
      </c>
      <c r="AS23" s="78" cm="1">
        <f t="array" ref="AS23">IF(AND(AS$4&gt;=INDEX(plan!$J:$J, $B23), AS$4&lt;=INDEX(plan!$K:$K, $B23)),1,0)</f>
        <v>0</v>
      </c>
      <c r="AT23" s="78" cm="1">
        <f t="array" ref="AT23">IF(AND(AT$4&gt;=INDEX(plan!$J:$J, $B23), AT$4&lt;=INDEX(plan!$K:$K, $B23)),1,0)</f>
        <v>0</v>
      </c>
      <c r="AU23" s="79" cm="1">
        <f t="array" ref="AU23">IF(AND(AU$4&gt;=INDEX(plan!$J:$J, $B23), AU$4&lt;=INDEX(plan!$K:$K, $B23)),1,0)</f>
        <v>0</v>
      </c>
    </row>
    <row r="24" spans="1:47" ht="12.95" customHeight="1" x14ac:dyDescent="0.3">
      <c r="A24" s="36"/>
      <c r="B24" s="300"/>
      <c r="C24" s="275"/>
      <c r="D24" s="279"/>
      <c r="E24" s="277"/>
      <c r="F24" s="75" cm="1">
        <f t="array" ref="F24">_xlfn.LET(
  _xlpm.act,   cronograma!$C23,
  _xlpm.fecha, cronograma!F$4,
  _xlpm.ini,   INDEX(plan!$J:$J, $B23),
  _xlpm.fin,   INDEX(plan!$K:$K, $B23),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24" s="76" cm="1">
        <f t="array" ref="G24">_xlfn.LET(
  _xlpm.act,   cronograma!$C23,
  _xlpm.fecha, cronograma!G$4,
  _xlpm.ini,   INDEX(plan!$J:$J, $B23),
  _xlpm.fin,   INDEX(plan!$K:$K, $B23),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24" s="76" cm="1">
        <f t="array" ref="H24">_xlfn.LET(
  _xlpm.act,   cronograma!$C23,
  _xlpm.fecha, cronograma!H$4,
  _xlpm.ini,   INDEX(plan!$J:$J, $B23),
  _xlpm.fin,   INDEX(plan!$K:$K, $B23),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24" s="76" cm="1">
        <f t="array" ref="I24">_xlfn.LET(
  _xlpm.act,   cronograma!$C23,
  _xlpm.fecha, cronograma!I$4,
  _xlpm.ini,   INDEX(plan!$J:$J, $B23),
  _xlpm.fin,   INDEX(plan!$K:$K, $B23),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24" s="76" cm="1">
        <f t="array" ref="J24">_xlfn.LET(
  _xlpm.act,   cronograma!$C23,
  _xlpm.fecha, cronograma!J$4,
  _xlpm.ini,   INDEX(plan!$J:$J, $B23),
  _xlpm.fin,   INDEX(plan!$K:$K, $B23),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24" s="76" cm="1">
        <f t="array" ref="K24">_xlfn.LET(
  _xlpm.act,   cronograma!$C23,
  _xlpm.fecha, cronograma!K$4,
  _xlpm.ini,   INDEX(plan!$J:$J, $B23),
  _xlpm.fin,   INDEX(plan!$K:$K, $B23),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24" s="77" cm="1">
        <f t="array" ref="L24">_xlfn.LET(
  _xlpm.act,   cronograma!$C23,
  _xlpm.fecha, cronograma!L$4,
  _xlpm.ini,   INDEX(plan!$J:$J, $B23),
  _xlpm.fin,   INDEX(plan!$K:$K, $B23),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24" s="75" cm="1">
        <f t="array" ref="M24">_xlfn.LET(
  _xlpm.act,   cronograma!$C23,
  _xlpm.fecha, cronograma!M$4,
  _xlpm.ini,   INDEX(plan!$J:$J, $B23),
  _xlpm.fin,   INDEX(plan!$K:$K, $B23),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24" s="76" cm="1">
        <f t="array" ref="N24">_xlfn.LET(
  _xlpm.act,   cronograma!$C23,
  _xlpm.fecha, cronograma!N$4,
  _xlpm.ini,   INDEX(plan!$J:$J, $B23),
  _xlpm.fin,   INDEX(plan!$K:$K, $B23),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24" s="76" cm="1">
        <f t="array" ref="O24">_xlfn.LET(
  _xlpm.act,   cronograma!$C23,
  _xlpm.fecha, cronograma!O$4,
  _xlpm.ini,   INDEX(plan!$J:$J, $B23),
  _xlpm.fin,   INDEX(plan!$K:$K, $B23),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24" s="76" cm="1">
        <f t="array" ref="P24">_xlfn.LET(
  _xlpm.act,   cronograma!$C23,
  _xlpm.fecha, cronograma!P$4,
  _xlpm.ini,   INDEX(plan!$J:$J, $B23),
  _xlpm.fin,   INDEX(plan!$K:$K, $B23),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24" s="76" cm="1">
        <f t="array" ref="Q24">_xlfn.LET(
  _xlpm.act,   cronograma!$C23,
  _xlpm.fecha, cronograma!Q$4,
  _xlpm.ini,   INDEX(plan!$J:$J, $B23),
  _xlpm.fin,   INDEX(plan!$K:$K, $B23),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24" s="76" cm="1">
        <f t="array" ref="R24">_xlfn.LET(
  _xlpm.act,   cronograma!$C23,
  _xlpm.fecha, cronograma!R$4,
  _xlpm.ini,   INDEX(plan!$J:$J, $B23),
  _xlpm.fin,   INDEX(plan!$K:$K, $B23),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24" s="77" cm="1">
        <f t="array" ref="S24">_xlfn.LET(
  _xlpm.act,   cronograma!$C23,
  _xlpm.fecha, cronograma!S$4,
  _xlpm.ini,   INDEX(plan!$J:$J, $B23),
  _xlpm.fin,   INDEX(plan!$K:$K, $B23),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24" s="75" cm="1">
        <f t="array" ref="T24">_xlfn.LET(
  _xlpm.act,   cronograma!$C23,
  _xlpm.fecha, cronograma!T$4,
  _xlpm.ini,   INDEX(plan!$J:$J, $B23),
  _xlpm.fin,   INDEX(plan!$K:$K, $B23),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24" s="76" cm="1">
        <f t="array" ref="U24">_xlfn.LET(
  _xlpm.act,   cronograma!$C23,
  _xlpm.fecha, cronograma!U$4,
  _xlpm.ini,   INDEX(plan!$J:$J, $B23),
  _xlpm.fin,   INDEX(plan!$K:$K, $B23),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24" s="76" cm="1">
        <f t="array" ref="V24">_xlfn.LET(
  _xlpm.act,   cronograma!$C23,
  _xlpm.fecha, cronograma!V$4,
  _xlpm.ini,   INDEX(plan!$J:$J, $B23),
  _xlpm.fin,   INDEX(plan!$K:$K, $B23),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24" s="76" cm="1">
        <f t="array" ref="W24">_xlfn.LET(
  _xlpm.act,   cronograma!$C23,
  _xlpm.fecha, cronograma!W$4,
  _xlpm.ini,   INDEX(plan!$J:$J, $B23),
  _xlpm.fin,   INDEX(plan!$K:$K, $B23),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24" s="76" cm="1">
        <f t="array" ref="X24">_xlfn.LET(
  _xlpm.act,   cronograma!$C23,
  _xlpm.fecha, cronograma!X$4,
  _xlpm.ini,   INDEX(plan!$J:$J, $B23),
  _xlpm.fin,   INDEX(plan!$K:$K, $B23),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24" s="76" cm="1">
        <f t="array" ref="Y24">_xlfn.LET(
  _xlpm.act,   cronograma!$C23,
  _xlpm.fecha, cronograma!Y$4,
  _xlpm.ini,   INDEX(plan!$J:$J, $B23),
  _xlpm.fin,   INDEX(plan!$K:$K, $B23),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24" s="77" cm="1">
        <f t="array" ref="Z24">_xlfn.LET(
  _xlpm.act,   cronograma!$C23,
  _xlpm.fecha, cronograma!Z$4,
  _xlpm.ini,   INDEX(plan!$J:$J, $B23),
  _xlpm.fin,   INDEX(plan!$K:$K, $B23),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24" s="75" cm="1">
        <f t="array" ref="AA24">_xlfn.LET(
  _xlpm.act,   cronograma!$C23,
  _xlpm.fecha, cronograma!AA$4,
  _xlpm.ini,   INDEX(plan!$J:$J, $B23),
  _xlpm.fin,   INDEX(plan!$K:$K, $B23),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24" s="76" cm="1">
        <f t="array" ref="AB24">_xlfn.LET(
  _xlpm.act,   cronograma!$C23,
  _xlpm.fecha, cronograma!AB$4,
  _xlpm.ini,   INDEX(plan!$J:$J, $B23),
  _xlpm.fin,   INDEX(plan!$K:$K, $B23),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24" s="76" cm="1">
        <f t="array" ref="AC24">_xlfn.LET(
  _xlpm.act,   cronograma!$C23,
  _xlpm.fecha, cronograma!AC$4,
  _xlpm.ini,   INDEX(plan!$J:$J, $B23),
  _xlpm.fin,   INDEX(plan!$K:$K, $B23),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24" s="76" cm="1">
        <f t="array" ref="AD24">_xlfn.LET(
  _xlpm.act,   cronograma!$C23,
  _xlpm.fecha, cronograma!AD$4,
  _xlpm.ini,   INDEX(plan!$J:$J, $B23),
  _xlpm.fin,   INDEX(plan!$K:$K, $B23),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24" s="76" cm="1">
        <f t="array" ref="AE24">_xlfn.LET(
  _xlpm.act,   cronograma!$C23,
  _xlpm.fecha, cronograma!AE$4,
  _xlpm.ini,   INDEX(plan!$J:$J, $B23),
  _xlpm.fin,   INDEX(plan!$K:$K, $B23),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24" s="76" cm="1">
        <f t="array" ref="AF24">_xlfn.LET(
  _xlpm.act,   cronograma!$C23,
  _xlpm.fecha, cronograma!AF$4,
  _xlpm.ini,   INDEX(plan!$J:$J, $B23),
  _xlpm.fin,   INDEX(plan!$K:$K, $B23),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24" s="77" cm="1">
        <f t="array" ref="AG24">_xlfn.LET(
  _xlpm.act,   cronograma!$C23,
  _xlpm.fecha, cronograma!AG$4,
  _xlpm.ini,   INDEX(plan!$J:$J, $B23),
  _xlpm.fin,   INDEX(plan!$K:$K, $B23),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24" s="75" cm="1">
        <f t="array" ref="AH24">_xlfn.LET(
  _xlpm.act,   cronograma!$C23,
  _xlpm.fecha, cronograma!AH$4,
  _xlpm.ini,   INDEX(plan!$J:$J, $B23),
  _xlpm.fin,   INDEX(plan!$K:$K, $B23),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24" s="76" cm="1">
        <f t="array" ref="AI24">_xlfn.LET(
  _xlpm.act,   cronograma!$C23,
  _xlpm.fecha, cronograma!AI$4,
  _xlpm.ini,   INDEX(plan!$J:$J, $B23),
  _xlpm.fin,   INDEX(plan!$K:$K, $B23),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24" s="76" cm="1">
        <f t="array" ref="AJ24">_xlfn.LET(
  _xlpm.act,   cronograma!$C23,
  _xlpm.fecha, cronograma!AJ$4,
  _xlpm.ini,   INDEX(plan!$J:$J, $B23),
  _xlpm.fin,   INDEX(plan!$K:$K, $B23),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24" s="76" cm="1">
        <f t="array" ref="AK24">_xlfn.LET(
  _xlpm.act,   cronograma!$C23,
  _xlpm.fecha, cronograma!AK$4,
  _xlpm.ini,   INDEX(plan!$J:$J, $B23),
  _xlpm.fin,   INDEX(plan!$K:$K, $B23),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24" s="76" cm="1">
        <f t="array" ref="AL24">_xlfn.LET(
  _xlpm.act,   cronograma!$C23,
  _xlpm.fecha, cronograma!AL$4,
  _xlpm.ini,   INDEX(plan!$J:$J, $B23),
  _xlpm.fin,   INDEX(plan!$K:$K, $B23),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24" s="76" cm="1">
        <f t="array" ref="AM24">_xlfn.LET(
  _xlpm.act,   cronograma!$C23,
  _xlpm.fecha, cronograma!AM$4,
  _xlpm.ini,   INDEX(plan!$J:$J, $B23),
  _xlpm.fin,   INDEX(plan!$K:$K, $B23),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24" s="77" cm="1">
        <f t="array" ref="AN24">_xlfn.LET(
  _xlpm.act,   cronograma!$C23,
  _xlpm.fecha, cronograma!AN$4,
  _xlpm.ini,   INDEX(plan!$J:$J, $B23),
  _xlpm.fin,   INDEX(plan!$K:$K, $B23),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O24" s="75" cm="1">
        <f t="array" ref="AO24">_xlfn.LET(
  _xlpm.act,   cronograma!$C23,
  _xlpm.fecha, cronograma!AO$4,
  _xlpm.ini,   INDEX(plan!$J:$J, $B23),
  _xlpm.fin,   INDEX(plan!$K:$K, $B23),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P24" s="76" cm="1">
        <f t="array" ref="AP24">_xlfn.LET(
  _xlpm.act,   cronograma!$C23,
  _xlpm.fecha, cronograma!AP$4,
  _xlpm.ini,   INDEX(plan!$J:$J, $B23),
  _xlpm.fin,   INDEX(plan!$K:$K, $B23),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Q24" s="76" cm="1">
        <f t="array" ref="AQ24">_xlfn.LET(
  _xlpm.act,   cronograma!$C23,
  _xlpm.fecha, cronograma!AQ$4,
  _xlpm.ini,   INDEX(plan!$J:$J, $B23),
  _xlpm.fin,   INDEX(plan!$K:$K, $B23),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R24" s="76" cm="1">
        <f t="array" ref="AR24">_xlfn.LET(
  _xlpm.act,   cronograma!$C23,
  _xlpm.fecha, cronograma!AR$4,
  _xlpm.ini,   INDEX(plan!$J:$J, $B23),
  _xlpm.fin,   INDEX(plan!$K:$K, $B23),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S24" s="76" cm="1">
        <f t="array" ref="AS24">_xlfn.LET(
  _xlpm.act,   cronograma!$C23,
  _xlpm.fecha, cronograma!AS$4,
  _xlpm.ini,   INDEX(plan!$J:$J, $B23),
  _xlpm.fin,   INDEX(plan!$K:$K, $B23),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T24" s="76" cm="1">
        <f t="array" ref="AT24">_xlfn.LET(
  _xlpm.act,   cronograma!$C23,
  _xlpm.fecha, cronograma!AT$4,
  _xlpm.ini,   INDEX(plan!$J:$J, $B23),
  _xlpm.fin,   INDEX(plan!$K:$K, $B23),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U24" s="77" cm="1">
        <f t="array" ref="AU24">_xlfn.LET(
  _xlpm.act,   cronograma!$C23,
  _xlpm.fecha, cronograma!AU$4,
  _xlpm.ini,   INDEX(plan!$J:$J, $B23),
  _xlpm.fin,   INDEX(plan!$K:$K, $B23),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</row>
    <row r="25" spans="1:47" ht="12.95" customHeight="1" x14ac:dyDescent="0.3">
      <c r="A25" s="36"/>
      <c r="B25" s="301">
        <f>plan!B14</f>
        <v>14</v>
      </c>
      <c r="C25" s="274" t="str">
        <f>plan!C14</f>
        <v>Generar datos sintéticos Sprint #2</v>
      </c>
      <c r="D25" s="278" cm="1">
        <f t="array" ref="D25">INDEX(plan!$I:$I, $B25)</f>
        <v>20</v>
      </c>
      <c r="E25" s="276" cm="1">
        <f t="array" ref="E25">INDEX(plan!$U:$U, $B25)</f>
        <v>0</v>
      </c>
      <c r="F25" s="74" cm="1">
        <f t="array" ref="F25">IF(AND(F$4&gt;=INDEX(plan!$J:$J, $B25), F$4&lt;=INDEX(plan!$K:$K, $B25)),1,0)</f>
        <v>0</v>
      </c>
      <c r="G25" s="78" cm="1">
        <f t="array" ref="G25">IF(AND(G$4&gt;=INDEX(plan!$J:$J, $B25), G$4&lt;=INDEX(plan!$K:$K, $B25)),1,0)</f>
        <v>0</v>
      </c>
      <c r="H25" s="78" cm="1">
        <f t="array" ref="H25">IF(AND(H$4&gt;=INDEX(plan!$J:$J, $B25), H$4&lt;=INDEX(plan!$K:$K, $B25)),1,0)</f>
        <v>0</v>
      </c>
      <c r="I25" s="78" cm="1">
        <f t="array" ref="I25">IF(AND(I$4&gt;=INDEX(plan!$J:$J, $B25), I$4&lt;=INDEX(plan!$K:$K, $B25)),1,0)</f>
        <v>0</v>
      </c>
      <c r="J25" s="78" cm="1">
        <f t="array" ref="J25">IF(AND(J$4&gt;=INDEX(plan!$J:$J, $B25), J$4&lt;=INDEX(plan!$K:$K, $B25)),1,0)</f>
        <v>0</v>
      </c>
      <c r="K25" s="78" cm="1">
        <f t="array" ref="K25">IF(AND(K$4&gt;=INDEX(plan!$J:$J, $B25), K$4&lt;=INDEX(plan!$K:$K, $B25)),1,0)</f>
        <v>0</v>
      </c>
      <c r="L25" s="79" cm="1">
        <f t="array" ref="L25">IF(AND(L$4&gt;=INDEX(plan!$J:$J, $B25), L$4&lt;=INDEX(plan!$K:$K, $B25)),1,0)</f>
        <v>0</v>
      </c>
      <c r="M25" s="74" cm="1">
        <f t="array" ref="M25">IF(AND(M$4&gt;=INDEX(plan!$J:$J, $B25), M$4&lt;=INDEX(plan!$K:$K, $B25)),1,0)</f>
        <v>0</v>
      </c>
      <c r="N25" s="78" cm="1">
        <f t="array" ref="N25">IF(AND(N$4&gt;=INDEX(plan!$J:$J, $B25), N$4&lt;=INDEX(plan!$K:$K, $B25)),1,0)</f>
        <v>0</v>
      </c>
      <c r="O25" s="78" cm="1">
        <f t="array" ref="O25">IF(AND(O$4&gt;=INDEX(plan!$J:$J, $B25), O$4&lt;=INDEX(plan!$K:$K, $B25)),1,0)</f>
        <v>0</v>
      </c>
      <c r="P25" s="78" cm="1">
        <f t="array" ref="P25">IF(AND(P$4&gt;=INDEX(plan!$J:$J, $B25), P$4&lt;=INDEX(plan!$K:$K, $B25)),1,0)</f>
        <v>0</v>
      </c>
      <c r="Q25" s="78" cm="1">
        <f t="array" ref="Q25">IF(AND(Q$4&gt;=INDEX(plan!$J:$J, $B25), Q$4&lt;=INDEX(plan!$K:$K, $B25)),1,0)</f>
        <v>0</v>
      </c>
      <c r="R25" s="78" cm="1">
        <f t="array" ref="R25">IF(AND(R$4&gt;=INDEX(plan!$J:$J, $B25), R$4&lt;=INDEX(plan!$K:$K, $B25)),1,0)</f>
        <v>0</v>
      </c>
      <c r="S25" s="79" cm="1">
        <f t="array" ref="S25">IF(AND(S$4&gt;=INDEX(plan!$J:$J, $B25), S$4&lt;=INDEX(plan!$K:$K, $B25)),1,0)</f>
        <v>0</v>
      </c>
      <c r="T25" s="74" cm="1">
        <f t="array" ref="T25">IF(AND(T$4&gt;=INDEX(plan!$J:$J, $B25), T$4&lt;=INDEX(plan!$K:$K, $B25)),1,0)</f>
        <v>0</v>
      </c>
      <c r="U25" s="78" cm="1">
        <f t="array" ref="U25">IF(AND(U$4&gt;=INDEX(plan!$J:$J, $B25), U$4&lt;=INDEX(plan!$K:$K, $B25)),1,0)</f>
        <v>0</v>
      </c>
      <c r="V25" s="78" cm="1">
        <f t="array" ref="V25">IF(AND(V$4&gt;=INDEX(plan!$J:$J, $B25), V$4&lt;=INDEX(plan!$K:$K, $B25)),1,0)</f>
        <v>0</v>
      </c>
      <c r="W25" s="78" cm="1">
        <f t="array" ref="W25">IF(AND(W$4&gt;=INDEX(plan!$J:$J, $B25), W$4&lt;=INDEX(plan!$K:$K, $B25)),1,0)</f>
        <v>0</v>
      </c>
      <c r="X25" s="78" cm="1">
        <f t="array" ref="X25">IF(AND(X$4&gt;=INDEX(plan!$J:$J, $B25), X$4&lt;=INDEX(plan!$K:$K, $B25)),1,0)</f>
        <v>0</v>
      </c>
      <c r="Y25" s="78" cm="1">
        <f t="array" ref="Y25">IF(AND(Y$4&gt;=INDEX(plan!$J:$J, $B25), Y$4&lt;=INDEX(plan!$K:$K, $B25)),1,0)</f>
        <v>0</v>
      </c>
      <c r="Z25" s="79" cm="1">
        <f t="array" ref="Z25">IF(AND(Z$4&gt;=INDEX(plan!$J:$J, $B25), Z$4&lt;=INDEX(plan!$K:$K, $B25)),1,0)</f>
        <v>0</v>
      </c>
      <c r="AA25" s="74" cm="1">
        <f t="array" ref="AA25">IF(AND(AA$4&gt;=INDEX(plan!$J:$J, $B25), AA$4&lt;=INDEX(plan!$K:$K, $B25)),1,0)</f>
        <v>0</v>
      </c>
      <c r="AB25" s="78" cm="1">
        <f t="array" ref="AB25">IF(AND(AB$4&gt;=INDEX(plan!$J:$J, $B25), AB$4&lt;=INDEX(plan!$K:$K, $B25)),1,0)</f>
        <v>0</v>
      </c>
      <c r="AC25" s="78" cm="1">
        <f t="array" ref="AC25">IF(AND(AC$4&gt;=INDEX(plan!$J:$J, $B25), AC$4&lt;=INDEX(plan!$K:$K, $B25)),1,0)</f>
        <v>0</v>
      </c>
      <c r="AD25" s="78" cm="1">
        <f t="array" ref="AD25">IF(AND(AD$4&gt;=INDEX(plan!$J:$J, $B25), AD$4&lt;=INDEX(plan!$K:$K, $B25)),1,0)</f>
        <v>1</v>
      </c>
      <c r="AE25" s="78" cm="1">
        <f t="array" ref="AE25">IF(AND(AE$4&gt;=INDEX(plan!$J:$J, $B25), AE$4&lt;=INDEX(plan!$K:$K, $B25)),1,0)</f>
        <v>1</v>
      </c>
      <c r="AF25" s="78" cm="1">
        <f t="array" ref="AF25">IF(AND(AF$4&gt;=INDEX(plan!$J:$J, $B25), AF$4&lt;=INDEX(plan!$K:$K, $B25)),1,0)</f>
        <v>1</v>
      </c>
      <c r="AG25" s="79" cm="1">
        <f t="array" ref="AG25">IF(AND(AG$4&gt;=INDEX(plan!$J:$J, $B25), AG$4&lt;=INDEX(plan!$K:$K, $B25)),1,0)</f>
        <v>1</v>
      </c>
      <c r="AH25" s="74" cm="1">
        <f t="array" ref="AH25">IF(AND(AH$4&gt;=INDEX(plan!$J:$J, $B25), AH$4&lt;=INDEX(plan!$K:$K, $B25)),1,0)</f>
        <v>1</v>
      </c>
      <c r="AI25" s="78" cm="1">
        <f t="array" ref="AI25">IF(AND(AI$4&gt;=INDEX(plan!$J:$J, $B25), AI$4&lt;=INDEX(plan!$K:$K, $B25)),1,0)</f>
        <v>1</v>
      </c>
      <c r="AJ25" s="78" cm="1">
        <f t="array" ref="AJ25">IF(AND(AJ$4&gt;=INDEX(plan!$J:$J, $B25), AJ$4&lt;=INDEX(plan!$K:$K, $B25)),1,0)</f>
        <v>0</v>
      </c>
      <c r="AK25" s="78" cm="1">
        <f t="array" ref="AK25">IF(AND(AK$4&gt;=INDEX(plan!$J:$J, $B25), AK$4&lt;=INDEX(plan!$K:$K, $B25)),1,0)</f>
        <v>0</v>
      </c>
      <c r="AL25" s="78" cm="1">
        <f t="array" ref="AL25">IF(AND(AL$4&gt;=INDEX(plan!$J:$J, $B25), AL$4&lt;=INDEX(plan!$K:$K, $B25)),1,0)</f>
        <v>0</v>
      </c>
      <c r="AM25" s="78" cm="1">
        <f t="array" ref="AM25">IF(AND(AM$4&gt;=INDEX(plan!$J:$J, $B25), AM$4&lt;=INDEX(plan!$K:$K, $B25)),1,0)</f>
        <v>0</v>
      </c>
      <c r="AN25" s="79" cm="1">
        <f t="array" ref="AN25">IF(AND(AN$4&gt;=INDEX(plan!$J:$J, $B25), AN$4&lt;=INDEX(plan!$K:$K, $B25)),1,0)</f>
        <v>0</v>
      </c>
      <c r="AO25" s="74" cm="1">
        <f t="array" ref="AO25">IF(AND(AO$4&gt;=INDEX(plan!$J:$J, $B25), AO$4&lt;=INDEX(plan!$K:$K, $B25)),1,0)</f>
        <v>0</v>
      </c>
      <c r="AP25" s="78" cm="1">
        <f t="array" ref="AP25">IF(AND(AP$4&gt;=INDEX(plan!$J:$J, $B25), AP$4&lt;=INDEX(plan!$K:$K, $B25)),1,0)</f>
        <v>0</v>
      </c>
      <c r="AQ25" s="78" cm="1">
        <f t="array" ref="AQ25">IF(AND(AQ$4&gt;=INDEX(plan!$J:$J, $B25), AQ$4&lt;=INDEX(plan!$K:$K, $B25)),1,0)</f>
        <v>0</v>
      </c>
      <c r="AR25" s="78" cm="1">
        <f t="array" ref="AR25">IF(AND(AR$4&gt;=INDEX(plan!$J:$J, $B25), AR$4&lt;=INDEX(plan!$K:$K, $B25)),1,0)</f>
        <v>0</v>
      </c>
      <c r="AS25" s="78" cm="1">
        <f t="array" ref="AS25">IF(AND(AS$4&gt;=INDEX(plan!$J:$J, $B25), AS$4&lt;=INDEX(plan!$K:$K, $B25)),1,0)</f>
        <v>0</v>
      </c>
      <c r="AT25" s="78" cm="1">
        <f t="array" ref="AT25">IF(AND(AT$4&gt;=INDEX(plan!$J:$J, $B25), AT$4&lt;=INDEX(plan!$K:$K, $B25)),1,0)</f>
        <v>0</v>
      </c>
      <c r="AU25" s="79" cm="1">
        <f t="array" ref="AU25">IF(AND(AU$4&gt;=INDEX(plan!$J:$J, $B25), AU$4&lt;=INDEX(plan!$K:$K, $B25)),1,0)</f>
        <v>0</v>
      </c>
    </row>
    <row r="26" spans="1:47" ht="12.95" customHeight="1" x14ac:dyDescent="0.3">
      <c r="A26" s="36"/>
      <c r="B26" s="300"/>
      <c r="C26" s="275"/>
      <c r="D26" s="279"/>
      <c r="E26" s="277"/>
      <c r="F26" s="75" cm="1">
        <f t="array" ref="F26">_xlfn.LET(
  _xlpm.act,   cronograma!$C25,
  _xlpm.fecha, cronograma!F$4,
  _xlpm.ini,   INDEX(plan!$J:$J, $B25),
  _xlpm.fin,   INDEX(plan!$K:$K, $B25),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26" s="76" cm="1">
        <f t="array" ref="G26">_xlfn.LET(
  _xlpm.act,   cronograma!$C25,
  _xlpm.fecha, cronograma!G$4,
  _xlpm.ini,   INDEX(plan!$J:$J, $B25),
  _xlpm.fin,   INDEX(plan!$K:$K, $B25),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26" s="76" cm="1">
        <f t="array" ref="H26">_xlfn.LET(
  _xlpm.act,   cronograma!$C25,
  _xlpm.fecha, cronograma!H$4,
  _xlpm.ini,   INDEX(plan!$J:$J, $B25),
  _xlpm.fin,   INDEX(plan!$K:$K, $B25),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26" s="76" cm="1">
        <f t="array" ref="I26">_xlfn.LET(
  _xlpm.act,   cronograma!$C25,
  _xlpm.fecha, cronograma!I$4,
  _xlpm.ini,   INDEX(plan!$J:$J, $B25),
  _xlpm.fin,   INDEX(plan!$K:$K, $B25),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26" s="76" cm="1">
        <f t="array" ref="J26">_xlfn.LET(
  _xlpm.act,   cronograma!$C25,
  _xlpm.fecha, cronograma!J$4,
  _xlpm.ini,   INDEX(plan!$J:$J, $B25),
  _xlpm.fin,   INDEX(plan!$K:$K, $B25),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26" s="76" cm="1">
        <f t="array" ref="K26">_xlfn.LET(
  _xlpm.act,   cronograma!$C25,
  _xlpm.fecha, cronograma!K$4,
  _xlpm.ini,   INDEX(plan!$J:$J, $B25),
  _xlpm.fin,   INDEX(plan!$K:$K, $B25),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26" s="77" cm="1">
        <f t="array" ref="L26">_xlfn.LET(
  _xlpm.act,   cronograma!$C25,
  _xlpm.fecha, cronograma!L$4,
  _xlpm.ini,   INDEX(plan!$J:$J, $B25),
  _xlpm.fin,   INDEX(plan!$K:$K, $B25),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26" s="75" cm="1">
        <f t="array" ref="M26">_xlfn.LET(
  _xlpm.act,   cronograma!$C25,
  _xlpm.fecha, cronograma!M$4,
  _xlpm.ini,   INDEX(plan!$J:$J, $B25),
  _xlpm.fin,   INDEX(plan!$K:$K, $B25),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26" s="76" cm="1">
        <f t="array" ref="N26">_xlfn.LET(
  _xlpm.act,   cronograma!$C25,
  _xlpm.fecha, cronograma!N$4,
  _xlpm.ini,   INDEX(plan!$J:$J, $B25),
  _xlpm.fin,   INDEX(plan!$K:$K, $B25),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26" s="76" cm="1">
        <f t="array" ref="O26">_xlfn.LET(
  _xlpm.act,   cronograma!$C25,
  _xlpm.fecha, cronograma!O$4,
  _xlpm.ini,   INDEX(plan!$J:$J, $B25),
  _xlpm.fin,   INDEX(plan!$K:$K, $B25),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26" s="76" cm="1">
        <f t="array" ref="P26">_xlfn.LET(
  _xlpm.act,   cronograma!$C25,
  _xlpm.fecha, cronograma!P$4,
  _xlpm.ini,   INDEX(plan!$J:$J, $B25),
  _xlpm.fin,   INDEX(plan!$K:$K, $B25),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26" s="76" cm="1">
        <f t="array" ref="Q26">_xlfn.LET(
  _xlpm.act,   cronograma!$C25,
  _xlpm.fecha, cronograma!Q$4,
  _xlpm.ini,   INDEX(plan!$J:$J, $B25),
  _xlpm.fin,   INDEX(plan!$K:$K, $B25),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26" s="76" cm="1">
        <f t="array" ref="R26">_xlfn.LET(
  _xlpm.act,   cronograma!$C25,
  _xlpm.fecha, cronograma!R$4,
  _xlpm.ini,   INDEX(plan!$J:$J, $B25),
  _xlpm.fin,   INDEX(plan!$K:$K, $B25),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26" s="77" cm="1">
        <f t="array" ref="S26">_xlfn.LET(
  _xlpm.act,   cronograma!$C25,
  _xlpm.fecha, cronograma!S$4,
  _xlpm.ini,   INDEX(plan!$J:$J, $B25),
  _xlpm.fin,   INDEX(plan!$K:$K, $B25),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26" s="75" cm="1">
        <f t="array" ref="T26">_xlfn.LET(
  _xlpm.act,   cronograma!$C25,
  _xlpm.fecha, cronograma!T$4,
  _xlpm.ini,   INDEX(plan!$J:$J, $B25),
  _xlpm.fin,   INDEX(plan!$K:$K, $B25),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26" s="76" cm="1">
        <f t="array" ref="U26">_xlfn.LET(
  _xlpm.act,   cronograma!$C25,
  _xlpm.fecha, cronograma!U$4,
  _xlpm.ini,   INDEX(plan!$J:$J, $B25),
  _xlpm.fin,   INDEX(plan!$K:$K, $B25),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26" s="76" cm="1">
        <f t="array" ref="V26">_xlfn.LET(
  _xlpm.act,   cronograma!$C25,
  _xlpm.fecha, cronograma!V$4,
  _xlpm.ini,   INDEX(plan!$J:$J, $B25),
  _xlpm.fin,   INDEX(plan!$K:$K, $B25),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26" s="76" cm="1">
        <f t="array" ref="W26">_xlfn.LET(
  _xlpm.act,   cronograma!$C25,
  _xlpm.fecha, cronograma!W$4,
  _xlpm.ini,   INDEX(plan!$J:$J, $B25),
  _xlpm.fin,   INDEX(plan!$K:$K, $B25),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26" s="76" cm="1">
        <f t="array" ref="X26">_xlfn.LET(
  _xlpm.act,   cronograma!$C25,
  _xlpm.fecha, cronograma!X$4,
  _xlpm.ini,   INDEX(plan!$J:$J, $B25),
  _xlpm.fin,   INDEX(plan!$K:$K, $B25),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26" s="76" cm="1">
        <f t="array" ref="Y26">_xlfn.LET(
  _xlpm.act,   cronograma!$C25,
  _xlpm.fecha, cronograma!Y$4,
  _xlpm.ini,   INDEX(plan!$J:$J, $B25),
  _xlpm.fin,   INDEX(plan!$K:$K, $B25),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26" s="77" cm="1">
        <f t="array" ref="Z26">_xlfn.LET(
  _xlpm.act,   cronograma!$C25,
  _xlpm.fecha, cronograma!Z$4,
  _xlpm.ini,   INDEX(plan!$J:$J, $B25),
  _xlpm.fin,   INDEX(plan!$K:$K, $B25),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26" s="75" cm="1">
        <f t="array" ref="AA26">_xlfn.LET(
  _xlpm.act,   cronograma!$C25,
  _xlpm.fecha, cronograma!AA$4,
  _xlpm.ini,   INDEX(plan!$J:$J, $B25),
  _xlpm.fin,   INDEX(plan!$K:$K, $B25),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26" s="76" cm="1">
        <f t="array" ref="AB26">_xlfn.LET(
  _xlpm.act,   cronograma!$C25,
  _xlpm.fecha, cronograma!AB$4,
  _xlpm.ini,   INDEX(plan!$J:$J, $B25),
  _xlpm.fin,   INDEX(plan!$K:$K, $B25),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26" s="76" cm="1">
        <f t="array" ref="AC26">_xlfn.LET(
  _xlpm.act,   cronograma!$C25,
  _xlpm.fecha, cronograma!AC$4,
  _xlpm.ini,   INDEX(plan!$J:$J, $B25),
  _xlpm.fin,   INDEX(plan!$K:$K, $B25),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26" s="76" cm="1">
        <f t="array" ref="AD26">_xlfn.LET(
  _xlpm.act,   cronograma!$C25,
  _xlpm.fecha, cronograma!AD$4,
  _xlpm.ini,   INDEX(plan!$J:$J, $B25),
  _xlpm.fin,   INDEX(plan!$K:$K, $B25),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26" s="76" cm="1">
        <f t="array" ref="AE26">_xlfn.LET(
  _xlpm.act,   cronograma!$C25,
  _xlpm.fecha, cronograma!AE$4,
  _xlpm.ini,   INDEX(plan!$J:$J, $B25),
  _xlpm.fin,   INDEX(plan!$K:$K, $B25),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26" s="76" cm="1">
        <f t="array" ref="AF26">_xlfn.LET(
  _xlpm.act,   cronograma!$C25,
  _xlpm.fecha, cronograma!AF$4,
  _xlpm.ini,   INDEX(plan!$J:$J, $B25),
  _xlpm.fin,   INDEX(plan!$K:$K, $B25),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26" s="77" cm="1">
        <f t="array" ref="AG26">_xlfn.LET(
  _xlpm.act,   cronograma!$C25,
  _xlpm.fecha, cronograma!AG$4,
  _xlpm.ini,   INDEX(plan!$J:$J, $B25),
  _xlpm.fin,   INDEX(plan!$K:$K, $B25),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26" s="75" cm="1">
        <f t="array" ref="AH26">_xlfn.LET(
  _xlpm.act,   cronograma!$C25,
  _xlpm.fecha, cronograma!AH$4,
  _xlpm.ini,   INDEX(plan!$J:$J, $B25),
  _xlpm.fin,   INDEX(plan!$K:$K, $B25),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26" s="76" cm="1">
        <f t="array" ref="AI26">_xlfn.LET(
  _xlpm.act,   cronograma!$C25,
  _xlpm.fecha, cronograma!AI$4,
  _xlpm.ini,   INDEX(plan!$J:$J, $B25),
  _xlpm.fin,   INDEX(plan!$K:$K, $B25),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26" s="76" cm="1">
        <f t="array" ref="AJ26">_xlfn.LET(
  _xlpm.act,   cronograma!$C25,
  _xlpm.fecha, cronograma!AJ$4,
  _xlpm.ini,   INDEX(plan!$J:$J, $B25),
  _xlpm.fin,   INDEX(plan!$K:$K, $B25),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26" s="76" cm="1">
        <f t="array" ref="AK26">_xlfn.LET(
  _xlpm.act,   cronograma!$C25,
  _xlpm.fecha, cronograma!AK$4,
  _xlpm.ini,   INDEX(plan!$J:$J, $B25),
  _xlpm.fin,   INDEX(plan!$K:$K, $B25),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26" s="76" cm="1">
        <f t="array" ref="AL26">_xlfn.LET(
  _xlpm.act,   cronograma!$C25,
  _xlpm.fecha, cronograma!AL$4,
  _xlpm.ini,   INDEX(plan!$J:$J, $B25),
  _xlpm.fin,   INDEX(plan!$K:$K, $B25),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26" s="76" cm="1">
        <f t="array" ref="AM26">_xlfn.LET(
  _xlpm.act,   cronograma!$C25,
  _xlpm.fecha, cronograma!AM$4,
  _xlpm.ini,   INDEX(plan!$J:$J, $B25),
  _xlpm.fin,   INDEX(plan!$K:$K, $B25),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26" s="77" cm="1">
        <f t="array" ref="AN26">_xlfn.LET(
  _xlpm.act,   cronograma!$C25,
  _xlpm.fecha, cronograma!AN$4,
  _xlpm.ini,   INDEX(plan!$J:$J, $B25),
  _xlpm.fin,   INDEX(plan!$K:$K, $B25),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O26" s="75" cm="1">
        <f t="array" ref="AO26">_xlfn.LET(
  _xlpm.act,   cronograma!$C25,
  _xlpm.fecha, cronograma!AO$4,
  _xlpm.ini,   INDEX(plan!$J:$J, $B25),
  _xlpm.fin,   INDEX(plan!$K:$K, $B25),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P26" s="76" cm="1">
        <f t="array" ref="AP26">_xlfn.LET(
  _xlpm.act,   cronograma!$C25,
  _xlpm.fecha, cronograma!AP$4,
  _xlpm.ini,   INDEX(plan!$J:$J, $B25),
  _xlpm.fin,   INDEX(plan!$K:$K, $B25),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Q26" s="76" cm="1">
        <f t="array" ref="AQ26">_xlfn.LET(
  _xlpm.act,   cronograma!$C25,
  _xlpm.fecha, cronograma!AQ$4,
  _xlpm.ini,   INDEX(plan!$J:$J, $B25),
  _xlpm.fin,   INDEX(plan!$K:$K, $B25),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R26" s="76" cm="1">
        <f t="array" ref="AR26">_xlfn.LET(
  _xlpm.act,   cronograma!$C25,
  _xlpm.fecha, cronograma!AR$4,
  _xlpm.ini,   INDEX(plan!$J:$J, $B25),
  _xlpm.fin,   INDEX(plan!$K:$K, $B25),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S26" s="76" cm="1">
        <f t="array" ref="AS26">_xlfn.LET(
  _xlpm.act,   cronograma!$C25,
  _xlpm.fecha, cronograma!AS$4,
  _xlpm.ini,   INDEX(plan!$J:$J, $B25),
  _xlpm.fin,   INDEX(plan!$K:$K, $B25),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T26" s="76" cm="1">
        <f t="array" ref="AT26">_xlfn.LET(
  _xlpm.act,   cronograma!$C25,
  _xlpm.fecha, cronograma!AT$4,
  _xlpm.ini,   INDEX(plan!$J:$J, $B25),
  _xlpm.fin,   INDEX(plan!$K:$K, $B25),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U26" s="77" cm="1">
        <f t="array" ref="AU26">_xlfn.LET(
  _xlpm.act,   cronograma!$C25,
  _xlpm.fecha, cronograma!AU$4,
  _xlpm.ini,   INDEX(plan!$J:$J, $B25),
  _xlpm.fin,   INDEX(plan!$K:$K, $B25),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</row>
    <row r="27" spans="1:47" ht="12.95" customHeight="1" x14ac:dyDescent="0.3">
      <c r="A27" s="36"/>
      <c r="B27" s="301">
        <f>plan!B15</f>
        <v>15</v>
      </c>
      <c r="C27" s="274" t="str">
        <f>plan!C15</f>
        <v>Reunión de sincronización #2</v>
      </c>
      <c r="D27" s="278" cm="1">
        <f t="array" ref="D27">INDEX(plan!$I:$I, $B27)</f>
        <v>5</v>
      </c>
      <c r="E27" s="276" cm="1">
        <f t="array" ref="E27">INDEX(plan!$U:$U, $B27)</f>
        <v>0</v>
      </c>
      <c r="F27" s="74" cm="1">
        <f t="array" ref="F27">IF(AND(F$4&gt;=INDEX(plan!$J:$J, $B27), F$4&lt;=INDEX(plan!$K:$K, $B27)),1,0)</f>
        <v>0</v>
      </c>
      <c r="G27" s="78" cm="1">
        <f t="array" ref="G27">IF(AND(G$4&gt;=INDEX(plan!$J:$J, $B27), G$4&lt;=INDEX(plan!$K:$K, $B27)),1,0)</f>
        <v>0</v>
      </c>
      <c r="H27" s="78" cm="1">
        <f t="array" ref="H27">IF(AND(H$4&gt;=INDEX(plan!$J:$J, $B27), H$4&lt;=INDEX(plan!$K:$K, $B27)),1,0)</f>
        <v>0</v>
      </c>
      <c r="I27" s="78" cm="1">
        <f t="array" ref="I27">IF(AND(I$4&gt;=INDEX(plan!$J:$J, $B27), I$4&lt;=INDEX(plan!$K:$K, $B27)),1,0)</f>
        <v>0</v>
      </c>
      <c r="J27" s="78" cm="1">
        <f t="array" ref="J27">IF(AND(J$4&gt;=INDEX(plan!$J:$J, $B27), J$4&lt;=INDEX(plan!$K:$K, $B27)),1,0)</f>
        <v>0</v>
      </c>
      <c r="K27" s="78" cm="1">
        <f t="array" ref="K27">IF(AND(K$4&gt;=INDEX(plan!$J:$J, $B27), K$4&lt;=INDEX(plan!$K:$K, $B27)),1,0)</f>
        <v>0</v>
      </c>
      <c r="L27" s="79" cm="1">
        <f t="array" ref="L27">IF(AND(L$4&gt;=INDEX(plan!$J:$J, $B27), L$4&lt;=INDEX(plan!$K:$K, $B27)),1,0)</f>
        <v>0</v>
      </c>
      <c r="M27" s="74" cm="1">
        <f t="array" ref="M27">IF(AND(M$4&gt;=INDEX(plan!$J:$J, $B27), M$4&lt;=INDEX(plan!$K:$K, $B27)),1,0)</f>
        <v>0</v>
      </c>
      <c r="N27" s="78" cm="1">
        <f t="array" ref="N27">IF(AND(N$4&gt;=INDEX(plan!$J:$J, $B27), N$4&lt;=INDEX(plan!$K:$K, $B27)),1,0)</f>
        <v>0</v>
      </c>
      <c r="O27" s="78" cm="1">
        <f t="array" ref="O27">IF(AND(O$4&gt;=INDEX(plan!$J:$J, $B27), O$4&lt;=INDEX(plan!$K:$K, $B27)),1,0)</f>
        <v>0</v>
      </c>
      <c r="P27" s="78" cm="1">
        <f t="array" ref="P27">IF(AND(P$4&gt;=INDEX(plan!$J:$J, $B27), P$4&lt;=INDEX(plan!$K:$K, $B27)),1,0)</f>
        <v>0</v>
      </c>
      <c r="Q27" s="78" cm="1">
        <f t="array" ref="Q27">IF(AND(Q$4&gt;=INDEX(plan!$J:$J, $B27), Q$4&lt;=INDEX(plan!$K:$K, $B27)),1,0)</f>
        <v>0</v>
      </c>
      <c r="R27" s="78" cm="1">
        <f t="array" ref="R27">IF(AND(R$4&gt;=INDEX(plan!$J:$J, $B27), R$4&lt;=INDEX(plan!$K:$K, $B27)),1,0)</f>
        <v>0</v>
      </c>
      <c r="S27" s="79" cm="1">
        <f t="array" ref="S27">IF(AND(S$4&gt;=INDEX(plan!$J:$J, $B27), S$4&lt;=INDEX(plan!$K:$K, $B27)),1,0)</f>
        <v>0</v>
      </c>
      <c r="T27" s="74" cm="1">
        <f t="array" ref="T27">IF(AND(T$4&gt;=INDEX(plan!$J:$J, $B27), T$4&lt;=INDEX(plan!$K:$K, $B27)),1,0)</f>
        <v>0</v>
      </c>
      <c r="U27" s="78" cm="1">
        <f t="array" ref="U27">IF(AND(U$4&gt;=INDEX(plan!$J:$J, $B27), U$4&lt;=INDEX(plan!$K:$K, $B27)),1,0)</f>
        <v>0</v>
      </c>
      <c r="V27" s="78" cm="1">
        <f t="array" ref="V27">IF(AND(V$4&gt;=INDEX(plan!$J:$J, $B27), V$4&lt;=INDEX(plan!$K:$K, $B27)),1,0)</f>
        <v>0</v>
      </c>
      <c r="W27" s="78" cm="1">
        <f t="array" ref="W27">IF(AND(W$4&gt;=INDEX(plan!$J:$J, $B27), W$4&lt;=INDEX(plan!$K:$K, $B27)),1,0)</f>
        <v>0</v>
      </c>
      <c r="X27" s="78" cm="1">
        <f t="array" ref="X27">IF(AND(X$4&gt;=INDEX(plan!$J:$J, $B27), X$4&lt;=INDEX(plan!$K:$K, $B27)),1,0)</f>
        <v>0</v>
      </c>
      <c r="Y27" s="78" cm="1">
        <f t="array" ref="Y27">IF(AND(Y$4&gt;=INDEX(plan!$J:$J, $B27), Y$4&lt;=INDEX(plan!$K:$K, $B27)),1,0)</f>
        <v>0</v>
      </c>
      <c r="Z27" s="79" cm="1">
        <f t="array" ref="Z27">IF(AND(Z$4&gt;=INDEX(plan!$J:$J, $B27), Z$4&lt;=INDEX(plan!$K:$K, $B27)),1,0)</f>
        <v>0</v>
      </c>
      <c r="AA27" s="74" cm="1">
        <f t="array" ref="AA27">IF(AND(AA$4&gt;=INDEX(plan!$J:$J, $B27), AA$4&lt;=INDEX(plan!$K:$K, $B27)),1,0)</f>
        <v>0</v>
      </c>
      <c r="AB27" s="78" cm="1">
        <f t="array" ref="AB27">IF(AND(AB$4&gt;=INDEX(plan!$J:$J, $B27), AB$4&lt;=INDEX(plan!$K:$K, $B27)),1,0)</f>
        <v>0</v>
      </c>
      <c r="AC27" s="78" cm="1">
        <f t="array" ref="AC27">IF(AND(AC$4&gt;=INDEX(plan!$J:$J, $B27), AC$4&lt;=INDEX(plan!$K:$K, $B27)),1,0)</f>
        <v>0</v>
      </c>
      <c r="AD27" s="78" cm="1">
        <f t="array" ref="AD27">IF(AND(AD$4&gt;=INDEX(plan!$J:$J, $B27), AD$4&lt;=INDEX(plan!$K:$K, $B27)),1,0)</f>
        <v>0</v>
      </c>
      <c r="AE27" s="78" cm="1">
        <f t="array" ref="AE27">IF(AND(AE$4&gt;=INDEX(plan!$J:$J, $B27), AE$4&lt;=INDEX(plan!$K:$K, $B27)),1,0)</f>
        <v>1</v>
      </c>
      <c r="AF27" s="78" cm="1">
        <f t="array" ref="AF27">IF(AND(AF$4&gt;=INDEX(plan!$J:$J, $B27), AF$4&lt;=INDEX(plan!$K:$K, $B27)),1,0)</f>
        <v>0</v>
      </c>
      <c r="AG27" s="79" cm="1">
        <f t="array" ref="AG27">IF(AND(AG$4&gt;=INDEX(plan!$J:$J, $B27), AG$4&lt;=INDEX(plan!$K:$K, $B27)),1,0)</f>
        <v>0</v>
      </c>
      <c r="AH27" s="74" cm="1">
        <f t="array" ref="AH27">IF(AND(AH$4&gt;=INDEX(plan!$J:$J, $B27), AH$4&lt;=INDEX(plan!$K:$K, $B27)),1,0)</f>
        <v>0</v>
      </c>
      <c r="AI27" s="78" cm="1">
        <f t="array" ref="AI27">IF(AND(AI$4&gt;=INDEX(plan!$J:$J, $B27), AI$4&lt;=INDEX(plan!$K:$K, $B27)),1,0)</f>
        <v>0</v>
      </c>
      <c r="AJ27" s="78" cm="1">
        <f t="array" ref="AJ27">IF(AND(AJ$4&gt;=INDEX(plan!$J:$J, $B27), AJ$4&lt;=INDEX(plan!$K:$K, $B27)),1,0)</f>
        <v>0</v>
      </c>
      <c r="AK27" s="78" cm="1">
        <f t="array" ref="AK27">IF(AND(AK$4&gt;=INDEX(plan!$J:$J, $B27), AK$4&lt;=INDEX(plan!$K:$K, $B27)),1,0)</f>
        <v>0</v>
      </c>
      <c r="AL27" s="78" cm="1">
        <f t="array" ref="AL27">IF(AND(AL$4&gt;=INDEX(plan!$J:$J, $B27), AL$4&lt;=INDEX(plan!$K:$K, $B27)),1,0)</f>
        <v>0</v>
      </c>
      <c r="AM27" s="78" cm="1">
        <f t="array" ref="AM27">IF(AND(AM$4&gt;=INDEX(plan!$J:$J, $B27), AM$4&lt;=INDEX(plan!$K:$K, $B27)),1,0)</f>
        <v>0</v>
      </c>
      <c r="AN27" s="79" cm="1">
        <f t="array" ref="AN27">IF(AND(AN$4&gt;=INDEX(plan!$J:$J, $B27), AN$4&lt;=INDEX(plan!$K:$K, $B27)),1,0)</f>
        <v>0</v>
      </c>
      <c r="AO27" s="74" cm="1">
        <f t="array" ref="AO27">IF(AND(AO$4&gt;=INDEX(plan!$J:$J, $B27), AO$4&lt;=INDEX(plan!$K:$K, $B27)),1,0)</f>
        <v>0</v>
      </c>
      <c r="AP27" s="78" cm="1">
        <f t="array" ref="AP27">IF(AND(AP$4&gt;=INDEX(plan!$J:$J, $B27), AP$4&lt;=INDEX(plan!$K:$K, $B27)),1,0)</f>
        <v>0</v>
      </c>
      <c r="AQ27" s="78" cm="1">
        <f t="array" ref="AQ27">IF(AND(AQ$4&gt;=INDEX(plan!$J:$J, $B27), AQ$4&lt;=INDEX(plan!$K:$K, $B27)),1,0)</f>
        <v>0</v>
      </c>
      <c r="AR27" s="78" cm="1">
        <f t="array" ref="AR27">IF(AND(AR$4&gt;=INDEX(plan!$J:$J, $B27), AR$4&lt;=INDEX(plan!$K:$K, $B27)),1,0)</f>
        <v>0</v>
      </c>
      <c r="AS27" s="78" cm="1">
        <f t="array" ref="AS27">IF(AND(AS$4&gt;=INDEX(plan!$J:$J, $B27), AS$4&lt;=INDEX(plan!$K:$K, $B27)),1,0)</f>
        <v>0</v>
      </c>
      <c r="AT27" s="78" cm="1">
        <f t="array" ref="AT27">IF(AND(AT$4&gt;=INDEX(plan!$J:$J, $B27), AT$4&lt;=INDEX(plan!$K:$K, $B27)),1,0)</f>
        <v>0</v>
      </c>
      <c r="AU27" s="79" cm="1">
        <f t="array" ref="AU27">IF(AND(AU$4&gt;=INDEX(plan!$J:$J, $B27), AU$4&lt;=INDEX(plan!$K:$K, $B27)),1,0)</f>
        <v>0</v>
      </c>
    </row>
    <row r="28" spans="1:47" ht="12.95" customHeight="1" x14ac:dyDescent="0.3">
      <c r="A28" s="36"/>
      <c r="B28" s="300"/>
      <c r="C28" s="275"/>
      <c r="D28" s="279"/>
      <c r="E28" s="277"/>
      <c r="F28" s="75" cm="1">
        <f t="array" ref="F28">_xlfn.LET(
  _xlpm.act,   cronograma!$C27,
  _xlpm.fecha, cronograma!F$4,
  _xlpm.ini,   INDEX(plan!$J:$J, $B27),
  _xlpm.fin,   INDEX(plan!$K:$K, $B27),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28" s="76" cm="1">
        <f t="array" ref="G28">_xlfn.LET(
  _xlpm.act,   cronograma!$C27,
  _xlpm.fecha, cronograma!G$4,
  _xlpm.ini,   INDEX(plan!$J:$J, $B27),
  _xlpm.fin,   INDEX(plan!$K:$K, $B27),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28" s="76" cm="1">
        <f t="array" ref="H28">_xlfn.LET(
  _xlpm.act,   cronograma!$C27,
  _xlpm.fecha, cronograma!H$4,
  _xlpm.ini,   INDEX(plan!$J:$J, $B27),
  _xlpm.fin,   INDEX(plan!$K:$K, $B27),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28" s="76" cm="1">
        <f t="array" ref="I28">_xlfn.LET(
  _xlpm.act,   cronograma!$C27,
  _xlpm.fecha, cronograma!I$4,
  _xlpm.ini,   INDEX(plan!$J:$J, $B27),
  _xlpm.fin,   INDEX(plan!$K:$K, $B27),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28" s="76" cm="1">
        <f t="array" ref="J28">_xlfn.LET(
  _xlpm.act,   cronograma!$C27,
  _xlpm.fecha, cronograma!J$4,
  _xlpm.ini,   INDEX(plan!$J:$J, $B27),
  _xlpm.fin,   INDEX(plan!$K:$K, $B27),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28" s="76" cm="1">
        <f t="array" ref="K28">_xlfn.LET(
  _xlpm.act,   cronograma!$C27,
  _xlpm.fecha, cronograma!K$4,
  _xlpm.ini,   INDEX(plan!$J:$J, $B27),
  _xlpm.fin,   INDEX(plan!$K:$K, $B27),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28" s="77" cm="1">
        <f t="array" ref="L28">_xlfn.LET(
  _xlpm.act,   cronograma!$C27,
  _xlpm.fecha, cronograma!L$4,
  _xlpm.ini,   INDEX(plan!$J:$J, $B27),
  _xlpm.fin,   INDEX(plan!$K:$K, $B27),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28" s="75" cm="1">
        <f t="array" ref="M28">_xlfn.LET(
  _xlpm.act,   cronograma!$C27,
  _xlpm.fecha, cronograma!M$4,
  _xlpm.ini,   INDEX(plan!$J:$J, $B27),
  _xlpm.fin,   INDEX(plan!$K:$K, $B27),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28" s="76" cm="1">
        <f t="array" ref="N28">_xlfn.LET(
  _xlpm.act,   cronograma!$C27,
  _xlpm.fecha, cronograma!N$4,
  _xlpm.ini,   INDEX(plan!$J:$J, $B27),
  _xlpm.fin,   INDEX(plan!$K:$K, $B27),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28" s="76" cm="1">
        <f t="array" ref="O28">_xlfn.LET(
  _xlpm.act,   cronograma!$C27,
  _xlpm.fecha, cronograma!O$4,
  _xlpm.ini,   INDEX(plan!$J:$J, $B27),
  _xlpm.fin,   INDEX(plan!$K:$K, $B27),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28" s="76" cm="1">
        <f t="array" ref="P28">_xlfn.LET(
  _xlpm.act,   cronograma!$C27,
  _xlpm.fecha, cronograma!P$4,
  _xlpm.ini,   INDEX(plan!$J:$J, $B27),
  _xlpm.fin,   INDEX(plan!$K:$K, $B27),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28" s="76" cm="1">
        <f t="array" ref="Q28">_xlfn.LET(
  _xlpm.act,   cronograma!$C27,
  _xlpm.fecha, cronograma!Q$4,
  _xlpm.ini,   INDEX(plan!$J:$J, $B27),
  _xlpm.fin,   INDEX(plan!$K:$K, $B27),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28" s="76" cm="1">
        <f t="array" ref="R28">_xlfn.LET(
  _xlpm.act,   cronograma!$C27,
  _xlpm.fecha, cronograma!R$4,
  _xlpm.ini,   INDEX(plan!$J:$J, $B27),
  _xlpm.fin,   INDEX(plan!$K:$K, $B27),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28" s="77" cm="1">
        <f t="array" ref="S28">_xlfn.LET(
  _xlpm.act,   cronograma!$C27,
  _xlpm.fecha, cronograma!S$4,
  _xlpm.ini,   INDEX(plan!$J:$J, $B27),
  _xlpm.fin,   INDEX(plan!$K:$K, $B27),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28" s="75" cm="1">
        <f t="array" ref="T28">_xlfn.LET(
  _xlpm.act,   cronograma!$C27,
  _xlpm.fecha, cronograma!T$4,
  _xlpm.ini,   INDEX(plan!$J:$J, $B27),
  _xlpm.fin,   INDEX(plan!$K:$K, $B27),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28" s="76" cm="1">
        <f t="array" ref="U28">_xlfn.LET(
  _xlpm.act,   cronograma!$C27,
  _xlpm.fecha, cronograma!U$4,
  _xlpm.ini,   INDEX(plan!$J:$J, $B27),
  _xlpm.fin,   INDEX(plan!$K:$K, $B27),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28" s="76" cm="1">
        <f t="array" ref="V28">_xlfn.LET(
  _xlpm.act,   cronograma!$C27,
  _xlpm.fecha, cronograma!V$4,
  _xlpm.ini,   INDEX(plan!$J:$J, $B27),
  _xlpm.fin,   INDEX(plan!$K:$K, $B27),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28" s="76" cm="1">
        <f t="array" ref="W28">_xlfn.LET(
  _xlpm.act,   cronograma!$C27,
  _xlpm.fecha, cronograma!W$4,
  _xlpm.ini,   INDEX(plan!$J:$J, $B27),
  _xlpm.fin,   INDEX(plan!$K:$K, $B27),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28" s="76" cm="1">
        <f t="array" ref="X28">_xlfn.LET(
  _xlpm.act,   cronograma!$C27,
  _xlpm.fecha, cronograma!X$4,
  _xlpm.ini,   INDEX(plan!$J:$J, $B27),
  _xlpm.fin,   INDEX(plan!$K:$K, $B27),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28" s="76" cm="1">
        <f t="array" ref="Y28">_xlfn.LET(
  _xlpm.act,   cronograma!$C27,
  _xlpm.fecha, cronograma!Y$4,
  _xlpm.ini,   INDEX(plan!$J:$J, $B27),
  _xlpm.fin,   INDEX(plan!$K:$K, $B27),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28" s="77" cm="1">
        <f t="array" ref="Z28">_xlfn.LET(
  _xlpm.act,   cronograma!$C27,
  _xlpm.fecha, cronograma!Z$4,
  _xlpm.ini,   INDEX(plan!$J:$J, $B27),
  _xlpm.fin,   INDEX(plan!$K:$K, $B27),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28" s="75" cm="1">
        <f t="array" ref="AA28">_xlfn.LET(
  _xlpm.act,   cronograma!$C27,
  _xlpm.fecha, cronograma!AA$4,
  _xlpm.ini,   INDEX(plan!$J:$J, $B27),
  _xlpm.fin,   INDEX(plan!$K:$K, $B27),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28" s="76" cm="1">
        <f t="array" ref="AB28">_xlfn.LET(
  _xlpm.act,   cronograma!$C27,
  _xlpm.fecha, cronograma!AB$4,
  _xlpm.ini,   INDEX(plan!$J:$J, $B27),
  _xlpm.fin,   INDEX(plan!$K:$K, $B27),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28" s="76" cm="1">
        <f t="array" ref="AC28">_xlfn.LET(
  _xlpm.act,   cronograma!$C27,
  _xlpm.fecha, cronograma!AC$4,
  _xlpm.ini,   INDEX(plan!$J:$J, $B27),
  _xlpm.fin,   INDEX(plan!$K:$K, $B27),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28" s="76" cm="1">
        <f t="array" ref="AD28">_xlfn.LET(
  _xlpm.act,   cronograma!$C27,
  _xlpm.fecha, cronograma!AD$4,
  _xlpm.ini,   INDEX(plan!$J:$J, $B27),
  _xlpm.fin,   INDEX(plan!$K:$K, $B27),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28" s="76" cm="1">
        <f t="array" ref="AE28">_xlfn.LET(
  _xlpm.act,   cronograma!$C27,
  _xlpm.fecha, cronograma!AE$4,
  _xlpm.ini,   INDEX(plan!$J:$J, $B27),
  _xlpm.fin,   INDEX(plan!$K:$K, $B27),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28" s="76" cm="1">
        <f t="array" ref="AF28">_xlfn.LET(
  _xlpm.act,   cronograma!$C27,
  _xlpm.fecha, cronograma!AF$4,
  _xlpm.ini,   INDEX(plan!$J:$J, $B27),
  _xlpm.fin,   INDEX(plan!$K:$K, $B27),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28" s="77" cm="1">
        <f t="array" ref="AG28">_xlfn.LET(
  _xlpm.act,   cronograma!$C27,
  _xlpm.fecha, cronograma!AG$4,
  _xlpm.ini,   INDEX(plan!$J:$J, $B27),
  _xlpm.fin,   INDEX(plan!$K:$K, $B27),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28" s="75" cm="1">
        <f t="array" ref="AH28">_xlfn.LET(
  _xlpm.act,   cronograma!$C27,
  _xlpm.fecha, cronograma!AH$4,
  _xlpm.ini,   INDEX(plan!$J:$J, $B27),
  _xlpm.fin,   INDEX(plan!$K:$K, $B27),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28" s="76" cm="1">
        <f t="array" ref="AI28">_xlfn.LET(
  _xlpm.act,   cronograma!$C27,
  _xlpm.fecha, cronograma!AI$4,
  _xlpm.ini,   INDEX(plan!$J:$J, $B27),
  _xlpm.fin,   INDEX(plan!$K:$K, $B27),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28" s="76" cm="1">
        <f t="array" ref="AJ28">_xlfn.LET(
  _xlpm.act,   cronograma!$C27,
  _xlpm.fecha, cronograma!AJ$4,
  _xlpm.ini,   INDEX(plan!$J:$J, $B27),
  _xlpm.fin,   INDEX(plan!$K:$K, $B27),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28" s="76" cm="1">
        <f t="array" ref="AK28">_xlfn.LET(
  _xlpm.act,   cronograma!$C27,
  _xlpm.fecha, cronograma!AK$4,
  _xlpm.ini,   INDEX(plan!$J:$J, $B27),
  _xlpm.fin,   INDEX(plan!$K:$K, $B27),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28" s="76" cm="1">
        <f t="array" ref="AL28">_xlfn.LET(
  _xlpm.act,   cronograma!$C27,
  _xlpm.fecha, cronograma!AL$4,
  _xlpm.ini,   INDEX(plan!$J:$J, $B27),
  _xlpm.fin,   INDEX(plan!$K:$K, $B27),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28" s="76" cm="1">
        <f t="array" ref="AM28">_xlfn.LET(
  _xlpm.act,   cronograma!$C27,
  _xlpm.fecha, cronograma!AM$4,
  _xlpm.ini,   INDEX(plan!$J:$J, $B27),
  _xlpm.fin,   INDEX(plan!$K:$K, $B27),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28" s="77" cm="1">
        <f t="array" ref="AN28">_xlfn.LET(
  _xlpm.act,   cronograma!$C27,
  _xlpm.fecha, cronograma!AN$4,
  _xlpm.ini,   INDEX(plan!$J:$J, $B27),
  _xlpm.fin,   INDEX(plan!$K:$K, $B27),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O28" s="75" cm="1">
        <f t="array" ref="AO28">_xlfn.LET(
  _xlpm.act,   cronograma!$C27,
  _xlpm.fecha, cronograma!AO$4,
  _xlpm.ini,   INDEX(plan!$J:$J, $B27),
  _xlpm.fin,   INDEX(plan!$K:$K, $B27),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P28" s="76" cm="1">
        <f t="array" ref="AP28">_xlfn.LET(
  _xlpm.act,   cronograma!$C27,
  _xlpm.fecha, cronograma!AP$4,
  _xlpm.ini,   INDEX(plan!$J:$J, $B27),
  _xlpm.fin,   INDEX(plan!$K:$K, $B27),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Q28" s="76" cm="1">
        <f t="array" ref="AQ28">_xlfn.LET(
  _xlpm.act,   cronograma!$C27,
  _xlpm.fecha, cronograma!AQ$4,
  _xlpm.ini,   INDEX(plan!$J:$J, $B27),
  _xlpm.fin,   INDEX(plan!$K:$K, $B27),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R28" s="76" cm="1">
        <f t="array" ref="AR28">_xlfn.LET(
  _xlpm.act,   cronograma!$C27,
  _xlpm.fecha, cronograma!AR$4,
  _xlpm.ini,   INDEX(plan!$J:$J, $B27),
  _xlpm.fin,   INDEX(plan!$K:$K, $B27),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S28" s="76" cm="1">
        <f t="array" ref="AS28">_xlfn.LET(
  _xlpm.act,   cronograma!$C27,
  _xlpm.fecha, cronograma!AS$4,
  _xlpm.ini,   INDEX(plan!$J:$J, $B27),
  _xlpm.fin,   INDEX(plan!$K:$K, $B27),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T28" s="76" cm="1">
        <f t="array" ref="AT28">_xlfn.LET(
  _xlpm.act,   cronograma!$C27,
  _xlpm.fecha, cronograma!AT$4,
  _xlpm.ini,   INDEX(plan!$J:$J, $B27),
  _xlpm.fin,   INDEX(plan!$K:$K, $B27),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U28" s="77" cm="1">
        <f t="array" ref="AU28">_xlfn.LET(
  _xlpm.act,   cronograma!$C27,
  _xlpm.fecha, cronograma!AU$4,
  _xlpm.ini,   INDEX(plan!$J:$J, $B27),
  _xlpm.fin,   INDEX(plan!$K:$K, $B27),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</row>
    <row r="29" spans="1:47" ht="12.95" customHeight="1" x14ac:dyDescent="0.3">
      <c r="A29" s="36"/>
      <c r="B29" s="301">
        <f>plan!B16</f>
        <v>16</v>
      </c>
      <c r="C29" s="274" t="str">
        <f>plan!C16</f>
        <v>Actualizar diccionario</v>
      </c>
      <c r="D29" s="278" cm="1">
        <f t="array" ref="D29">INDEX(plan!$I:$I, $B29)</f>
        <v>5</v>
      </c>
      <c r="E29" s="276" cm="1">
        <f t="array" ref="E29">INDEX(plan!$U:$U, $B29)</f>
        <v>0</v>
      </c>
      <c r="F29" s="74" cm="1">
        <f t="array" ref="F29">IF(AND(F$4&gt;=INDEX(plan!$J:$J, $B29), F$4&lt;=INDEX(plan!$K:$K, $B29)),1,0)</f>
        <v>0</v>
      </c>
      <c r="G29" s="78" cm="1">
        <f t="array" ref="G29">IF(AND(G$4&gt;=INDEX(plan!$J:$J, $B29), G$4&lt;=INDEX(plan!$K:$K, $B29)),1,0)</f>
        <v>0</v>
      </c>
      <c r="H29" s="78" cm="1">
        <f t="array" ref="H29">IF(AND(H$4&gt;=INDEX(plan!$J:$J, $B29), H$4&lt;=INDEX(plan!$K:$K, $B29)),1,0)</f>
        <v>0</v>
      </c>
      <c r="I29" s="78" cm="1">
        <f t="array" ref="I29">IF(AND(I$4&gt;=INDEX(plan!$J:$J, $B29), I$4&lt;=INDEX(plan!$K:$K, $B29)),1,0)</f>
        <v>0</v>
      </c>
      <c r="J29" s="78" cm="1">
        <f t="array" ref="J29">IF(AND(J$4&gt;=INDEX(plan!$J:$J, $B29), J$4&lt;=INDEX(plan!$K:$K, $B29)),1,0)</f>
        <v>0</v>
      </c>
      <c r="K29" s="78" cm="1">
        <f t="array" ref="K29">IF(AND(K$4&gt;=INDEX(plan!$J:$J, $B29), K$4&lt;=INDEX(plan!$K:$K, $B29)),1,0)</f>
        <v>0</v>
      </c>
      <c r="L29" s="79" cm="1">
        <f t="array" ref="L29">IF(AND(L$4&gt;=INDEX(plan!$J:$J, $B29), L$4&lt;=INDEX(plan!$K:$K, $B29)),1,0)</f>
        <v>0</v>
      </c>
      <c r="M29" s="74" cm="1">
        <f t="array" ref="M29">IF(AND(M$4&gt;=INDEX(plan!$J:$J, $B29), M$4&lt;=INDEX(plan!$K:$K, $B29)),1,0)</f>
        <v>0</v>
      </c>
      <c r="N29" s="78" cm="1">
        <f t="array" ref="N29">IF(AND(N$4&gt;=INDEX(plan!$J:$J, $B29), N$4&lt;=INDEX(plan!$K:$K, $B29)),1,0)</f>
        <v>0</v>
      </c>
      <c r="O29" s="78" cm="1">
        <f t="array" ref="O29">IF(AND(O$4&gt;=INDEX(plan!$J:$J, $B29), O$4&lt;=INDEX(plan!$K:$K, $B29)),1,0)</f>
        <v>0</v>
      </c>
      <c r="P29" s="78" cm="1">
        <f t="array" ref="P29">IF(AND(P$4&gt;=INDEX(plan!$J:$J, $B29), P$4&lt;=INDEX(plan!$K:$K, $B29)),1,0)</f>
        <v>0</v>
      </c>
      <c r="Q29" s="78" cm="1">
        <f t="array" ref="Q29">IF(AND(Q$4&gt;=INDEX(plan!$J:$J, $B29), Q$4&lt;=INDEX(plan!$K:$K, $B29)),1,0)</f>
        <v>0</v>
      </c>
      <c r="R29" s="78" cm="1">
        <f t="array" ref="R29">IF(AND(R$4&gt;=INDEX(plan!$J:$J, $B29), R$4&lt;=INDEX(plan!$K:$K, $B29)),1,0)</f>
        <v>0</v>
      </c>
      <c r="S29" s="79" cm="1">
        <f t="array" ref="S29">IF(AND(S$4&gt;=INDEX(plan!$J:$J, $B29), S$4&lt;=INDEX(plan!$K:$K, $B29)),1,0)</f>
        <v>0</v>
      </c>
      <c r="T29" s="74" cm="1">
        <f t="array" ref="T29">IF(AND(T$4&gt;=INDEX(plan!$J:$J, $B29), T$4&lt;=INDEX(plan!$K:$K, $B29)),1,0)</f>
        <v>0</v>
      </c>
      <c r="U29" s="78" cm="1">
        <f t="array" ref="U29">IF(AND(U$4&gt;=INDEX(plan!$J:$J, $B29), U$4&lt;=INDEX(plan!$K:$K, $B29)),1,0)</f>
        <v>0</v>
      </c>
      <c r="V29" s="78" cm="1">
        <f t="array" ref="V29">IF(AND(V$4&gt;=INDEX(plan!$J:$J, $B29), V$4&lt;=INDEX(plan!$K:$K, $B29)),1,0)</f>
        <v>0</v>
      </c>
      <c r="W29" s="78" cm="1">
        <f t="array" ref="W29">IF(AND(W$4&gt;=INDEX(plan!$J:$J, $B29), W$4&lt;=INDEX(plan!$K:$K, $B29)),1,0)</f>
        <v>0</v>
      </c>
      <c r="X29" s="78" cm="1">
        <f t="array" ref="X29">IF(AND(X$4&gt;=INDEX(plan!$J:$J, $B29), X$4&lt;=INDEX(plan!$K:$K, $B29)),1,0)</f>
        <v>0</v>
      </c>
      <c r="Y29" s="78" cm="1">
        <f t="array" ref="Y29">IF(AND(Y$4&gt;=INDEX(plan!$J:$J, $B29), Y$4&lt;=INDEX(plan!$K:$K, $B29)),1,0)</f>
        <v>0</v>
      </c>
      <c r="Z29" s="79" cm="1">
        <f t="array" ref="Z29">IF(AND(Z$4&gt;=INDEX(plan!$J:$J, $B29), Z$4&lt;=INDEX(plan!$K:$K, $B29)),1,0)</f>
        <v>0</v>
      </c>
      <c r="AA29" s="74" cm="1">
        <f t="array" ref="AA29">IF(AND(AA$4&gt;=INDEX(plan!$J:$J, $B29), AA$4&lt;=INDEX(plan!$K:$K, $B29)),1,0)</f>
        <v>0</v>
      </c>
      <c r="AB29" s="78" cm="1">
        <f t="array" ref="AB29">IF(AND(AB$4&gt;=INDEX(plan!$J:$J, $B29), AB$4&lt;=INDEX(plan!$K:$K, $B29)),1,0)</f>
        <v>0</v>
      </c>
      <c r="AC29" s="78" cm="1">
        <f t="array" ref="AC29">IF(AND(AC$4&gt;=INDEX(plan!$J:$J, $B29), AC$4&lt;=INDEX(plan!$K:$K, $B29)),1,0)</f>
        <v>0</v>
      </c>
      <c r="AD29" s="78" cm="1">
        <f t="array" ref="AD29">IF(AND(AD$4&gt;=INDEX(plan!$J:$J, $B29), AD$4&lt;=INDEX(plan!$K:$K, $B29)),1,0)</f>
        <v>0</v>
      </c>
      <c r="AE29" s="78" cm="1">
        <f t="array" ref="AE29">IF(AND(AE$4&gt;=INDEX(plan!$J:$J, $B29), AE$4&lt;=INDEX(plan!$K:$K, $B29)),1,0)</f>
        <v>0</v>
      </c>
      <c r="AF29" s="78" cm="1">
        <f t="array" ref="AF29">IF(AND(AF$4&gt;=INDEX(plan!$J:$J, $B29), AF$4&lt;=INDEX(plan!$K:$K, $B29)),1,0)</f>
        <v>0</v>
      </c>
      <c r="AG29" s="79" cm="1">
        <f t="array" ref="AG29">IF(AND(AG$4&gt;=INDEX(plan!$J:$J, $B29), AG$4&lt;=INDEX(plan!$K:$K, $B29)),1,0)</f>
        <v>0</v>
      </c>
      <c r="AH29" s="74" cm="1">
        <f t="array" ref="AH29">IF(AND(AH$4&gt;=INDEX(plan!$J:$J, $B29), AH$4&lt;=INDEX(plan!$K:$K, $B29)),1,0)</f>
        <v>0</v>
      </c>
      <c r="AI29" s="78" cm="1">
        <f t="array" ref="AI29">IF(AND(AI$4&gt;=INDEX(plan!$J:$J, $B29), AI$4&lt;=INDEX(plan!$K:$K, $B29)),1,0)</f>
        <v>0</v>
      </c>
      <c r="AJ29" s="78" cm="1">
        <f t="array" ref="AJ29">IF(AND(AJ$4&gt;=INDEX(plan!$J:$J, $B29), AJ$4&lt;=INDEX(plan!$K:$K, $B29)),1,0)</f>
        <v>1</v>
      </c>
      <c r="AK29" s="78" cm="1">
        <f t="array" ref="AK29">IF(AND(AK$4&gt;=INDEX(plan!$J:$J, $B29), AK$4&lt;=INDEX(plan!$K:$K, $B29)),1,0)</f>
        <v>0</v>
      </c>
      <c r="AL29" s="78" cm="1">
        <f t="array" ref="AL29">IF(AND(AL$4&gt;=INDEX(plan!$J:$J, $B29), AL$4&lt;=INDEX(plan!$K:$K, $B29)),1,0)</f>
        <v>0</v>
      </c>
      <c r="AM29" s="78" cm="1">
        <f t="array" ref="AM29">IF(AND(AM$4&gt;=INDEX(plan!$J:$J, $B29), AM$4&lt;=INDEX(plan!$K:$K, $B29)),1,0)</f>
        <v>0</v>
      </c>
      <c r="AN29" s="79" cm="1">
        <f t="array" ref="AN29">IF(AND(AN$4&gt;=INDEX(plan!$J:$J, $B29), AN$4&lt;=INDEX(plan!$K:$K, $B29)),1,0)</f>
        <v>0</v>
      </c>
      <c r="AO29" s="74" cm="1">
        <f t="array" ref="AO29">IF(AND(AO$4&gt;=INDEX(plan!$J:$J, $B29), AO$4&lt;=INDEX(plan!$K:$K, $B29)),1,0)</f>
        <v>0</v>
      </c>
      <c r="AP29" s="78" cm="1">
        <f t="array" ref="AP29">IF(AND(AP$4&gt;=INDEX(plan!$J:$J, $B29), AP$4&lt;=INDEX(plan!$K:$K, $B29)),1,0)</f>
        <v>0</v>
      </c>
      <c r="AQ29" s="78" cm="1">
        <f t="array" ref="AQ29">IF(AND(AQ$4&gt;=INDEX(plan!$J:$J, $B29), AQ$4&lt;=INDEX(plan!$K:$K, $B29)),1,0)</f>
        <v>0</v>
      </c>
      <c r="AR29" s="78" cm="1">
        <f t="array" ref="AR29">IF(AND(AR$4&gt;=INDEX(plan!$J:$J, $B29), AR$4&lt;=INDEX(plan!$K:$K, $B29)),1,0)</f>
        <v>0</v>
      </c>
      <c r="AS29" s="78" cm="1">
        <f t="array" ref="AS29">IF(AND(AS$4&gt;=INDEX(plan!$J:$J, $B29), AS$4&lt;=INDEX(plan!$K:$K, $B29)),1,0)</f>
        <v>0</v>
      </c>
      <c r="AT29" s="78" cm="1">
        <f t="array" ref="AT29">IF(AND(AT$4&gt;=INDEX(plan!$J:$J, $B29), AT$4&lt;=INDEX(plan!$K:$K, $B29)),1,0)</f>
        <v>0</v>
      </c>
      <c r="AU29" s="79" cm="1">
        <f t="array" ref="AU29">IF(AND(AU$4&gt;=INDEX(plan!$J:$J, $B29), AU$4&lt;=INDEX(plan!$K:$K, $B29)),1,0)</f>
        <v>0</v>
      </c>
    </row>
    <row r="30" spans="1:47" ht="12.95" customHeight="1" x14ac:dyDescent="0.3">
      <c r="A30" s="36"/>
      <c r="B30" s="300"/>
      <c r="C30" s="275"/>
      <c r="D30" s="279"/>
      <c r="E30" s="277"/>
      <c r="F30" s="75" cm="1">
        <f t="array" ref="F30">_xlfn.LET(
  _xlpm.act,   cronograma!$C29,
  _xlpm.fecha, cronograma!F$4,
  _xlpm.ini,   INDEX(plan!$J:$J, $B29),
  _xlpm.fin,   INDEX(plan!$K:$K, $B29),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30" s="76" cm="1">
        <f t="array" ref="G30">_xlfn.LET(
  _xlpm.act,   cronograma!$C29,
  _xlpm.fecha, cronograma!G$4,
  _xlpm.ini,   INDEX(plan!$J:$J, $B29),
  _xlpm.fin,   INDEX(plan!$K:$K, $B29),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30" s="76" cm="1">
        <f t="array" ref="H30">_xlfn.LET(
  _xlpm.act,   cronograma!$C29,
  _xlpm.fecha, cronograma!H$4,
  _xlpm.ini,   INDEX(plan!$J:$J, $B29),
  _xlpm.fin,   INDEX(plan!$K:$K, $B29),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30" s="76" cm="1">
        <f t="array" ref="I30">_xlfn.LET(
  _xlpm.act,   cronograma!$C29,
  _xlpm.fecha, cronograma!I$4,
  _xlpm.ini,   INDEX(plan!$J:$J, $B29),
  _xlpm.fin,   INDEX(plan!$K:$K, $B29),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30" s="76" cm="1">
        <f t="array" ref="J30">_xlfn.LET(
  _xlpm.act,   cronograma!$C29,
  _xlpm.fecha, cronograma!J$4,
  _xlpm.ini,   INDEX(plan!$J:$J, $B29),
  _xlpm.fin,   INDEX(plan!$K:$K, $B29),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30" s="76" cm="1">
        <f t="array" ref="K30">_xlfn.LET(
  _xlpm.act,   cronograma!$C29,
  _xlpm.fecha, cronograma!K$4,
  _xlpm.ini,   INDEX(plan!$J:$J, $B29),
  _xlpm.fin,   INDEX(plan!$K:$K, $B29),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30" s="77" cm="1">
        <f t="array" ref="L30">_xlfn.LET(
  _xlpm.act,   cronograma!$C29,
  _xlpm.fecha, cronograma!L$4,
  _xlpm.ini,   INDEX(plan!$J:$J, $B29),
  _xlpm.fin,   INDEX(plan!$K:$K, $B29),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30" s="75" cm="1">
        <f t="array" ref="M30">_xlfn.LET(
  _xlpm.act,   cronograma!$C29,
  _xlpm.fecha, cronograma!M$4,
  _xlpm.ini,   INDEX(plan!$J:$J, $B29),
  _xlpm.fin,   INDEX(plan!$K:$K, $B29),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30" s="76" cm="1">
        <f t="array" ref="N30">_xlfn.LET(
  _xlpm.act,   cronograma!$C29,
  _xlpm.fecha, cronograma!N$4,
  _xlpm.ini,   INDEX(plan!$J:$J, $B29),
  _xlpm.fin,   INDEX(plan!$K:$K, $B29),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30" s="76" cm="1">
        <f t="array" ref="O30">_xlfn.LET(
  _xlpm.act,   cronograma!$C29,
  _xlpm.fecha, cronograma!O$4,
  _xlpm.ini,   INDEX(plan!$J:$J, $B29),
  _xlpm.fin,   INDEX(plan!$K:$K, $B29),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30" s="76" cm="1">
        <f t="array" ref="P30">_xlfn.LET(
  _xlpm.act,   cronograma!$C29,
  _xlpm.fecha, cronograma!P$4,
  _xlpm.ini,   INDEX(plan!$J:$J, $B29),
  _xlpm.fin,   INDEX(plan!$K:$K, $B29),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30" s="76" cm="1">
        <f t="array" ref="Q30">_xlfn.LET(
  _xlpm.act,   cronograma!$C29,
  _xlpm.fecha, cronograma!Q$4,
  _xlpm.ini,   INDEX(plan!$J:$J, $B29),
  _xlpm.fin,   INDEX(plan!$K:$K, $B29),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30" s="76" cm="1">
        <f t="array" ref="R30">_xlfn.LET(
  _xlpm.act,   cronograma!$C29,
  _xlpm.fecha, cronograma!R$4,
  _xlpm.ini,   INDEX(plan!$J:$J, $B29),
  _xlpm.fin,   INDEX(plan!$K:$K, $B29),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30" s="77" cm="1">
        <f t="array" ref="S30">_xlfn.LET(
  _xlpm.act,   cronograma!$C29,
  _xlpm.fecha, cronograma!S$4,
  _xlpm.ini,   INDEX(plan!$J:$J, $B29),
  _xlpm.fin,   INDEX(plan!$K:$K, $B29),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30" s="75" cm="1">
        <f t="array" ref="T30">_xlfn.LET(
  _xlpm.act,   cronograma!$C29,
  _xlpm.fecha, cronograma!T$4,
  _xlpm.ini,   INDEX(plan!$J:$J, $B29),
  _xlpm.fin,   INDEX(plan!$K:$K, $B29),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30" s="76" cm="1">
        <f t="array" ref="U30">_xlfn.LET(
  _xlpm.act,   cronograma!$C29,
  _xlpm.fecha, cronograma!U$4,
  _xlpm.ini,   INDEX(plan!$J:$J, $B29),
  _xlpm.fin,   INDEX(plan!$K:$K, $B29),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30" s="76" cm="1">
        <f t="array" ref="V30">_xlfn.LET(
  _xlpm.act,   cronograma!$C29,
  _xlpm.fecha, cronograma!V$4,
  _xlpm.ini,   INDEX(plan!$J:$J, $B29),
  _xlpm.fin,   INDEX(plan!$K:$K, $B29),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30" s="76" cm="1">
        <f t="array" ref="W30">_xlfn.LET(
  _xlpm.act,   cronograma!$C29,
  _xlpm.fecha, cronograma!W$4,
  _xlpm.ini,   INDEX(plan!$J:$J, $B29),
  _xlpm.fin,   INDEX(plan!$K:$K, $B29),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30" s="76" cm="1">
        <f t="array" ref="X30">_xlfn.LET(
  _xlpm.act,   cronograma!$C29,
  _xlpm.fecha, cronograma!X$4,
  _xlpm.ini,   INDEX(plan!$J:$J, $B29),
  _xlpm.fin,   INDEX(plan!$K:$K, $B29),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30" s="76" cm="1">
        <f t="array" ref="Y30">_xlfn.LET(
  _xlpm.act,   cronograma!$C29,
  _xlpm.fecha, cronograma!Y$4,
  _xlpm.ini,   INDEX(plan!$J:$J, $B29),
  _xlpm.fin,   INDEX(plan!$K:$K, $B29),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30" s="77" cm="1">
        <f t="array" ref="Z30">_xlfn.LET(
  _xlpm.act,   cronograma!$C29,
  _xlpm.fecha, cronograma!Z$4,
  _xlpm.ini,   INDEX(plan!$J:$J, $B29),
  _xlpm.fin,   INDEX(plan!$K:$K, $B29),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30" s="75" cm="1">
        <f t="array" ref="AA30">_xlfn.LET(
  _xlpm.act,   cronograma!$C29,
  _xlpm.fecha, cronograma!AA$4,
  _xlpm.ini,   INDEX(plan!$J:$J, $B29),
  _xlpm.fin,   INDEX(plan!$K:$K, $B29),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30" s="76" cm="1">
        <f t="array" ref="AB30">_xlfn.LET(
  _xlpm.act,   cronograma!$C29,
  _xlpm.fecha, cronograma!AB$4,
  _xlpm.ini,   INDEX(plan!$J:$J, $B29),
  _xlpm.fin,   INDEX(plan!$K:$K, $B29),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30" s="76" cm="1">
        <f t="array" ref="AC30">_xlfn.LET(
  _xlpm.act,   cronograma!$C29,
  _xlpm.fecha, cronograma!AC$4,
  _xlpm.ini,   INDEX(plan!$J:$J, $B29),
  _xlpm.fin,   INDEX(plan!$K:$K, $B29),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30" s="76" cm="1">
        <f t="array" ref="AD30">_xlfn.LET(
  _xlpm.act,   cronograma!$C29,
  _xlpm.fecha, cronograma!AD$4,
  _xlpm.ini,   INDEX(plan!$J:$J, $B29),
  _xlpm.fin,   INDEX(plan!$K:$K, $B29),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30" s="76" cm="1">
        <f t="array" ref="AE30">_xlfn.LET(
  _xlpm.act,   cronograma!$C29,
  _xlpm.fecha, cronograma!AE$4,
  _xlpm.ini,   INDEX(plan!$J:$J, $B29),
  _xlpm.fin,   INDEX(plan!$K:$K, $B29),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30" s="76" cm="1">
        <f t="array" ref="AF30">_xlfn.LET(
  _xlpm.act,   cronograma!$C29,
  _xlpm.fecha, cronograma!AF$4,
  _xlpm.ini,   INDEX(plan!$J:$J, $B29),
  _xlpm.fin,   INDEX(plan!$K:$K, $B29),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30" s="77" cm="1">
        <f t="array" ref="AG30">_xlfn.LET(
  _xlpm.act,   cronograma!$C29,
  _xlpm.fecha, cronograma!AG$4,
  _xlpm.ini,   INDEX(plan!$J:$J, $B29),
  _xlpm.fin,   INDEX(plan!$K:$K, $B29),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30" s="75" cm="1">
        <f t="array" ref="AH30">_xlfn.LET(
  _xlpm.act,   cronograma!$C29,
  _xlpm.fecha, cronograma!AH$4,
  _xlpm.ini,   INDEX(plan!$J:$J, $B29),
  _xlpm.fin,   INDEX(plan!$K:$K, $B29),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30" s="76" cm="1">
        <f t="array" ref="AI30">_xlfn.LET(
  _xlpm.act,   cronograma!$C29,
  _xlpm.fecha, cronograma!AI$4,
  _xlpm.ini,   INDEX(plan!$J:$J, $B29),
  _xlpm.fin,   INDEX(plan!$K:$K, $B29),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30" s="76" cm="1">
        <f t="array" ref="AJ30">_xlfn.LET(
  _xlpm.act,   cronograma!$C29,
  _xlpm.fecha, cronograma!AJ$4,
  _xlpm.ini,   INDEX(plan!$J:$J, $B29),
  _xlpm.fin,   INDEX(plan!$K:$K, $B29),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30" s="76" cm="1">
        <f t="array" ref="AK30">_xlfn.LET(
  _xlpm.act,   cronograma!$C29,
  _xlpm.fecha, cronograma!AK$4,
  _xlpm.ini,   INDEX(plan!$J:$J, $B29),
  _xlpm.fin,   INDEX(plan!$K:$K, $B29),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30" s="76" cm="1">
        <f t="array" ref="AL30">_xlfn.LET(
  _xlpm.act,   cronograma!$C29,
  _xlpm.fecha, cronograma!AL$4,
  _xlpm.ini,   INDEX(plan!$J:$J, $B29),
  _xlpm.fin,   INDEX(plan!$K:$K, $B29),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30" s="76" cm="1">
        <f t="array" ref="AM30">_xlfn.LET(
  _xlpm.act,   cronograma!$C29,
  _xlpm.fecha, cronograma!AM$4,
  _xlpm.ini,   INDEX(plan!$J:$J, $B29),
  _xlpm.fin,   INDEX(plan!$K:$K, $B29),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30" s="77" cm="1">
        <f t="array" ref="AN30">_xlfn.LET(
  _xlpm.act,   cronograma!$C29,
  _xlpm.fecha, cronograma!AN$4,
  _xlpm.ini,   INDEX(plan!$J:$J, $B29),
  _xlpm.fin,   INDEX(plan!$K:$K, $B29),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O30" s="75" cm="1">
        <f t="array" ref="AO30">_xlfn.LET(
  _xlpm.act,   cronograma!$C29,
  _xlpm.fecha, cronograma!AO$4,
  _xlpm.ini,   INDEX(plan!$J:$J, $B29),
  _xlpm.fin,   INDEX(plan!$K:$K, $B29),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P30" s="76" cm="1">
        <f t="array" ref="AP30">_xlfn.LET(
  _xlpm.act,   cronograma!$C29,
  _xlpm.fecha, cronograma!AP$4,
  _xlpm.ini,   INDEX(plan!$J:$J, $B29),
  _xlpm.fin,   INDEX(plan!$K:$K, $B29),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Q30" s="76" cm="1">
        <f t="array" ref="AQ30">_xlfn.LET(
  _xlpm.act,   cronograma!$C29,
  _xlpm.fecha, cronograma!AQ$4,
  _xlpm.ini,   INDEX(plan!$J:$J, $B29),
  _xlpm.fin,   INDEX(plan!$K:$K, $B29),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R30" s="76" cm="1">
        <f t="array" ref="AR30">_xlfn.LET(
  _xlpm.act,   cronograma!$C29,
  _xlpm.fecha, cronograma!AR$4,
  _xlpm.ini,   INDEX(plan!$J:$J, $B29),
  _xlpm.fin,   INDEX(plan!$K:$K, $B29),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S30" s="76" cm="1">
        <f t="array" ref="AS30">_xlfn.LET(
  _xlpm.act,   cronograma!$C29,
  _xlpm.fecha, cronograma!AS$4,
  _xlpm.ini,   INDEX(plan!$J:$J, $B29),
  _xlpm.fin,   INDEX(plan!$K:$K, $B29),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T30" s="76" cm="1">
        <f t="array" ref="AT30">_xlfn.LET(
  _xlpm.act,   cronograma!$C29,
  _xlpm.fecha, cronograma!AT$4,
  _xlpm.ini,   INDEX(plan!$J:$J, $B29),
  _xlpm.fin,   INDEX(plan!$K:$K, $B29),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U30" s="77" cm="1">
        <f t="array" ref="AU30">_xlfn.LET(
  _xlpm.act,   cronograma!$C29,
  _xlpm.fecha, cronograma!AU$4,
  _xlpm.ini,   INDEX(plan!$J:$J, $B29),
  _xlpm.fin,   INDEX(plan!$K:$K, $B29),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</row>
    <row r="31" spans="1:47" ht="12.95" customHeight="1" x14ac:dyDescent="0.3">
      <c r="A31" s="36"/>
      <c r="B31" s="301">
        <f>plan!B17</f>
        <v>17</v>
      </c>
      <c r="C31" s="286" t="str">
        <f>plan!C17</f>
        <v>Implementar funcionalidades</v>
      </c>
      <c r="D31" s="278" cm="1">
        <f t="array" ref="D31">INDEX(plan!$I:$I, $B31)</f>
        <v>40</v>
      </c>
      <c r="E31" s="276" cm="1">
        <f t="array" ref="E31">INDEX(plan!$U:$U, $B31)</f>
        <v>0</v>
      </c>
      <c r="F31" s="74" cm="1">
        <f t="array" ref="F31">IF(AND(F$4&gt;=INDEX(plan!$J:$J, $B31), F$4&lt;=INDEX(plan!$K:$K, $B31)),1,0)</f>
        <v>0</v>
      </c>
      <c r="G31" s="78" cm="1">
        <f t="array" ref="G31">IF(AND(G$4&gt;=INDEX(plan!$J:$J, $B31), G$4&lt;=INDEX(plan!$K:$K, $B31)),1,0)</f>
        <v>0</v>
      </c>
      <c r="H31" s="78" cm="1">
        <f t="array" ref="H31">IF(AND(H$4&gt;=INDEX(plan!$J:$J, $B31), H$4&lt;=INDEX(plan!$K:$K, $B31)),1,0)</f>
        <v>0</v>
      </c>
      <c r="I31" s="78" cm="1">
        <f t="array" ref="I31">IF(AND(I$4&gt;=INDEX(plan!$J:$J, $B31), I$4&lt;=INDEX(plan!$K:$K, $B31)),1,0)</f>
        <v>0</v>
      </c>
      <c r="J31" s="78" cm="1">
        <f t="array" ref="J31">IF(AND(J$4&gt;=INDEX(plan!$J:$J, $B31), J$4&lt;=INDEX(plan!$K:$K, $B31)),1,0)</f>
        <v>0</v>
      </c>
      <c r="K31" s="78" cm="1">
        <f t="array" ref="K31">IF(AND(K$4&gt;=INDEX(plan!$J:$J, $B31), K$4&lt;=INDEX(plan!$K:$K, $B31)),1,0)</f>
        <v>0</v>
      </c>
      <c r="L31" s="79" cm="1">
        <f t="array" ref="L31">IF(AND(L$4&gt;=INDEX(plan!$J:$J, $B31), L$4&lt;=INDEX(plan!$K:$K, $B31)),1,0)</f>
        <v>0</v>
      </c>
      <c r="M31" s="74" cm="1">
        <f t="array" ref="M31">IF(AND(M$4&gt;=INDEX(plan!$J:$J, $B31), M$4&lt;=INDEX(plan!$K:$K, $B31)),1,0)</f>
        <v>0</v>
      </c>
      <c r="N31" s="78" cm="1">
        <f t="array" ref="N31">IF(AND(N$4&gt;=INDEX(plan!$J:$J, $B31), N$4&lt;=INDEX(plan!$K:$K, $B31)),1,0)</f>
        <v>0</v>
      </c>
      <c r="O31" s="78" cm="1">
        <f t="array" ref="O31">IF(AND(O$4&gt;=INDEX(plan!$J:$J, $B31), O$4&lt;=INDEX(plan!$K:$K, $B31)),1,0)</f>
        <v>0</v>
      </c>
      <c r="P31" s="78" cm="1">
        <f t="array" ref="P31">IF(AND(P$4&gt;=INDEX(plan!$J:$J, $B31), P$4&lt;=INDEX(plan!$K:$K, $B31)),1,0)</f>
        <v>0</v>
      </c>
      <c r="Q31" s="78" cm="1">
        <f t="array" ref="Q31">IF(AND(Q$4&gt;=INDEX(plan!$J:$J, $B31), Q$4&lt;=INDEX(plan!$K:$K, $B31)),1,0)</f>
        <v>0</v>
      </c>
      <c r="R31" s="78" cm="1">
        <f t="array" ref="R31">IF(AND(R$4&gt;=INDEX(plan!$J:$J, $B31), R$4&lt;=INDEX(plan!$K:$K, $B31)),1,0)</f>
        <v>0</v>
      </c>
      <c r="S31" s="79" cm="1">
        <f t="array" ref="S31">IF(AND(S$4&gt;=INDEX(plan!$J:$J, $B31), S$4&lt;=INDEX(plan!$K:$K, $B31)),1,0)</f>
        <v>0</v>
      </c>
      <c r="T31" s="74" cm="1">
        <f t="array" ref="T31">IF(AND(T$4&gt;=INDEX(plan!$J:$J, $B31), T$4&lt;=INDEX(plan!$K:$K, $B31)),1,0)</f>
        <v>0</v>
      </c>
      <c r="U31" s="78" cm="1">
        <f t="array" ref="U31">IF(AND(U$4&gt;=INDEX(plan!$J:$J, $B31), U$4&lt;=INDEX(plan!$K:$K, $B31)),1,0)</f>
        <v>0</v>
      </c>
      <c r="V31" s="78" cm="1">
        <f t="array" ref="V31">IF(AND(V$4&gt;=INDEX(plan!$J:$J, $B31), V$4&lt;=INDEX(plan!$K:$K, $B31)),1,0)</f>
        <v>0</v>
      </c>
      <c r="W31" s="78" cm="1">
        <f t="array" ref="W31">IF(AND(W$4&gt;=INDEX(plan!$J:$J, $B31), W$4&lt;=INDEX(plan!$K:$K, $B31)),1,0)</f>
        <v>0</v>
      </c>
      <c r="X31" s="78" cm="1">
        <f t="array" ref="X31">IF(AND(X$4&gt;=INDEX(plan!$J:$J, $B31), X$4&lt;=INDEX(plan!$K:$K, $B31)),1,0)</f>
        <v>0</v>
      </c>
      <c r="Y31" s="78" cm="1">
        <f t="array" ref="Y31">IF(AND(Y$4&gt;=INDEX(plan!$J:$J, $B31), Y$4&lt;=INDEX(plan!$K:$K, $B31)),1,0)</f>
        <v>0</v>
      </c>
      <c r="Z31" s="79" cm="1">
        <f t="array" ref="Z31">IF(AND(Z$4&gt;=INDEX(plan!$J:$J, $B31), Z$4&lt;=INDEX(plan!$K:$K, $B31)),1,0)</f>
        <v>0</v>
      </c>
      <c r="AA31" s="74" cm="1">
        <f t="array" ref="AA31">IF(AND(AA$4&gt;=INDEX(plan!$J:$J, $B31), AA$4&lt;=INDEX(plan!$K:$K, $B31)),1,0)</f>
        <v>0</v>
      </c>
      <c r="AB31" s="78" cm="1">
        <f t="array" ref="AB31">IF(AND(AB$4&gt;=INDEX(plan!$J:$J, $B31), AB$4&lt;=INDEX(plan!$K:$K, $B31)),1,0)</f>
        <v>0</v>
      </c>
      <c r="AC31" s="78" cm="1">
        <f t="array" ref="AC31">IF(AND(AC$4&gt;=INDEX(plan!$J:$J, $B31), AC$4&lt;=INDEX(plan!$K:$K, $B31)),1,0)</f>
        <v>0</v>
      </c>
      <c r="AD31" s="78" cm="1">
        <f t="array" ref="AD31">IF(AND(AD$4&gt;=INDEX(plan!$J:$J, $B31), AD$4&lt;=INDEX(plan!$K:$K, $B31)),1,0)</f>
        <v>0</v>
      </c>
      <c r="AE31" s="78" cm="1">
        <f t="array" ref="AE31">IF(AND(AE$4&gt;=INDEX(plan!$J:$J, $B31), AE$4&lt;=INDEX(plan!$K:$K, $B31)),1,0)</f>
        <v>0</v>
      </c>
      <c r="AF31" s="78" cm="1">
        <f t="array" ref="AF31">IF(AND(AF$4&gt;=INDEX(plan!$J:$J, $B31), AF$4&lt;=INDEX(plan!$K:$K, $B31)),1,0)</f>
        <v>0</v>
      </c>
      <c r="AG31" s="79" cm="1">
        <f t="array" ref="AG31">IF(AND(AG$4&gt;=INDEX(plan!$J:$J, $B31), AG$4&lt;=INDEX(plan!$K:$K, $B31)),1,0)</f>
        <v>0</v>
      </c>
      <c r="AH31" s="74" cm="1">
        <f t="array" ref="AH31">IF(AND(AH$4&gt;=INDEX(plan!$J:$J, $B31), AH$4&lt;=INDEX(plan!$K:$K, $B31)),1,0)</f>
        <v>0</v>
      </c>
      <c r="AI31" s="78" cm="1">
        <f t="array" ref="AI31">IF(AND(AI$4&gt;=INDEX(plan!$J:$J, $B31), AI$4&lt;=INDEX(plan!$K:$K, $B31)),1,0)</f>
        <v>0</v>
      </c>
      <c r="AJ31" s="78" cm="1">
        <f t="array" ref="AJ31">IF(AND(AJ$4&gt;=INDEX(plan!$J:$J, $B31), AJ$4&lt;=INDEX(plan!$K:$K, $B31)),1,0)</f>
        <v>1</v>
      </c>
      <c r="AK31" s="78" cm="1">
        <f t="array" ref="AK31">IF(AND(AK$4&gt;=INDEX(plan!$J:$J, $B31), AK$4&lt;=INDEX(plan!$K:$K, $B31)),1,0)</f>
        <v>1</v>
      </c>
      <c r="AL31" s="78" cm="1">
        <f t="array" ref="AL31">IF(AND(AL$4&gt;=INDEX(plan!$J:$J, $B31), AL$4&lt;=INDEX(plan!$K:$K, $B31)),1,0)</f>
        <v>1</v>
      </c>
      <c r="AM31" s="78" cm="1">
        <f t="array" ref="AM31">IF(AND(AM$4&gt;=INDEX(plan!$J:$J, $B31), AM$4&lt;=INDEX(plan!$K:$K, $B31)),1,0)</f>
        <v>0</v>
      </c>
      <c r="AN31" s="79" cm="1">
        <f t="array" ref="AN31">IF(AND(AN$4&gt;=INDEX(plan!$J:$J, $B31), AN$4&lt;=INDEX(plan!$K:$K, $B31)),1,0)</f>
        <v>0</v>
      </c>
      <c r="AO31" s="74" cm="1">
        <f t="array" ref="AO31">IF(AND(AO$4&gt;=INDEX(plan!$J:$J, $B31), AO$4&lt;=INDEX(plan!$K:$K, $B31)),1,0)</f>
        <v>0</v>
      </c>
      <c r="AP31" s="78" cm="1">
        <f t="array" ref="AP31">IF(AND(AP$4&gt;=INDEX(plan!$J:$J, $B31), AP$4&lt;=INDEX(plan!$K:$K, $B31)),1,0)</f>
        <v>0</v>
      </c>
      <c r="AQ31" s="78" cm="1">
        <f t="array" ref="AQ31">IF(AND(AQ$4&gt;=INDEX(plan!$J:$J, $B31), AQ$4&lt;=INDEX(plan!$K:$K, $B31)),1,0)</f>
        <v>0</v>
      </c>
      <c r="AR31" s="78" cm="1">
        <f t="array" ref="AR31">IF(AND(AR$4&gt;=INDEX(plan!$J:$J, $B31), AR$4&lt;=INDEX(plan!$K:$K, $B31)),1,0)</f>
        <v>0</v>
      </c>
      <c r="AS31" s="78" cm="1">
        <f t="array" ref="AS31">IF(AND(AS$4&gt;=INDEX(plan!$J:$J, $B31), AS$4&lt;=INDEX(plan!$K:$K, $B31)),1,0)</f>
        <v>0</v>
      </c>
      <c r="AT31" s="78" cm="1">
        <f t="array" ref="AT31">IF(AND(AT$4&gt;=INDEX(plan!$J:$J, $B31), AT$4&lt;=INDEX(plan!$K:$K, $B31)),1,0)</f>
        <v>0</v>
      </c>
      <c r="AU31" s="79" cm="1">
        <f t="array" ref="AU31">IF(AND(AU$4&gt;=INDEX(plan!$J:$J, $B31), AU$4&lt;=INDEX(plan!$K:$K, $B31)),1,0)</f>
        <v>0</v>
      </c>
    </row>
    <row r="32" spans="1:47" ht="12.95" customHeight="1" x14ac:dyDescent="0.3">
      <c r="A32" s="36"/>
      <c r="B32" s="300"/>
      <c r="C32" s="287"/>
      <c r="D32" s="279"/>
      <c r="E32" s="277"/>
      <c r="F32" s="75" cm="1">
        <f t="array" ref="F32">_xlfn.LET(
  _xlpm.act,   cronograma!$C31,
  _xlpm.fecha, cronograma!F$4,
  _xlpm.ini,   INDEX(plan!$J:$J, $B31),
  _xlpm.fin,   INDEX(plan!$K:$K, $B31),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32" s="76" cm="1">
        <f t="array" ref="G32">_xlfn.LET(
  _xlpm.act,   cronograma!$C31,
  _xlpm.fecha, cronograma!G$4,
  _xlpm.ini,   INDEX(plan!$J:$J, $B31),
  _xlpm.fin,   INDEX(plan!$K:$K, $B31),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32" s="76" cm="1">
        <f t="array" ref="H32">_xlfn.LET(
  _xlpm.act,   cronograma!$C31,
  _xlpm.fecha, cronograma!H$4,
  _xlpm.ini,   INDEX(plan!$J:$J, $B31),
  _xlpm.fin,   INDEX(plan!$K:$K, $B31),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32" s="76" cm="1">
        <f t="array" ref="I32">_xlfn.LET(
  _xlpm.act,   cronograma!$C31,
  _xlpm.fecha, cronograma!I$4,
  _xlpm.ini,   INDEX(plan!$J:$J, $B31),
  _xlpm.fin,   INDEX(plan!$K:$K, $B31),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32" s="76" cm="1">
        <f t="array" ref="J32">_xlfn.LET(
  _xlpm.act,   cronograma!$C31,
  _xlpm.fecha, cronograma!J$4,
  _xlpm.ini,   INDEX(plan!$J:$J, $B31),
  _xlpm.fin,   INDEX(plan!$K:$K, $B31),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32" s="76" cm="1">
        <f t="array" ref="K32">_xlfn.LET(
  _xlpm.act,   cronograma!$C31,
  _xlpm.fecha, cronograma!K$4,
  _xlpm.ini,   INDEX(plan!$J:$J, $B31),
  _xlpm.fin,   INDEX(plan!$K:$K, $B31),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32" s="77" cm="1">
        <f t="array" ref="L32">_xlfn.LET(
  _xlpm.act,   cronograma!$C31,
  _xlpm.fecha, cronograma!L$4,
  _xlpm.ini,   INDEX(plan!$J:$J, $B31),
  _xlpm.fin,   INDEX(plan!$K:$K, $B31),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32" s="75" cm="1">
        <f t="array" ref="M32">_xlfn.LET(
  _xlpm.act,   cronograma!$C31,
  _xlpm.fecha, cronograma!M$4,
  _xlpm.ini,   INDEX(plan!$J:$J, $B31),
  _xlpm.fin,   INDEX(plan!$K:$K, $B31),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32" s="76" cm="1">
        <f t="array" ref="N32">_xlfn.LET(
  _xlpm.act,   cronograma!$C31,
  _xlpm.fecha, cronograma!N$4,
  _xlpm.ini,   INDEX(plan!$J:$J, $B31),
  _xlpm.fin,   INDEX(plan!$K:$K, $B31),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32" s="76" cm="1">
        <f t="array" ref="O32">_xlfn.LET(
  _xlpm.act,   cronograma!$C31,
  _xlpm.fecha, cronograma!O$4,
  _xlpm.ini,   INDEX(plan!$J:$J, $B31),
  _xlpm.fin,   INDEX(plan!$K:$K, $B31),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32" s="76" cm="1">
        <f t="array" ref="P32">_xlfn.LET(
  _xlpm.act,   cronograma!$C31,
  _xlpm.fecha, cronograma!P$4,
  _xlpm.ini,   INDEX(plan!$J:$J, $B31),
  _xlpm.fin,   INDEX(plan!$K:$K, $B31),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32" s="76" cm="1">
        <f t="array" ref="Q32">_xlfn.LET(
  _xlpm.act,   cronograma!$C31,
  _xlpm.fecha, cronograma!Q$4,
  _xlpm.ini,   INDEX(plan!$J:$J, $B31),
  _xlpm.fin,   INDEX(plan!$K:$K, $B31),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32" s="76" cm="1">
        <f t="array" ref="R32">_xlfn.LET(
  _xlpm.act,   cronograma!$C31,
  _xlpm.fecha, cronograma!R$4,
  _xlpm.ini,   INDEX(plan!$J:$J, $B31),
  _xlpm.fin,   INDEX(plan!$K:$K, $B31),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32" s="77" cm="1">
        <f t="array" ref="S32">_xlfn.LET(
  _xlpm.act,   cronograma!$C31,
  _xlpm.fecha, cronograma!S$4,
  _xlpm.ini,   INDEX(plan!$J:$J, $B31),
  _xlpm.fin,   INDEX(plan!$K:$K, $B31),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32" s="75" cm="1">
        <f t="array" ref="T32">_xlfn.LET(
  _xlpm.act,   cronograma!$C31,
  _xlpm.fecha, cronograma!T$4,
  _xlpm.ini,   INDEX(plan!$J:$J, $B31),
  _xlpm.fin,   INDEX(plan!$K:$K, $B31),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32" s="76" cm="1">
        <f t="array" ref="U32">_xlfn.LET(
  _xlpm.act,   cronograma!$C31,
  _xlpm.fecha, cronograma!U$4,
  _xlpm.ini,   INDEX(plan!$J:$J, $B31),
  _xlpm.fin,   INDEX(plan!$K:$K, $B31),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32" s="76" cm="1">
        <f t="array" ref="V32">_xlfn.LET(
  _xlpm.act,   cronograma!$C31,
  _xlpm.fecha, cronograma!V$4,
  _xlpm.ini,   INDEX(plan!$J:$J, $B31),
  _xlpm.fin,   INDEX(plan!$K:$K, $B31),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32" s="76" cm="1">
        <f t="array" ref="W32">_xlfn.LET(
  _xlpm.act,   cronograma!$C31,
  _xlpm.fecha, cronograma!W$4,
  _xlpm.ini,   INDEX(plan!$J:$J, $B31),
  _xlpm.fin,   INDEX(plan!$K:$K, $B31),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32" s="76" cm="1">
        <f t="array" ref="X32">_xlfn.LET(
  _xlpm.act,   cronograma!$C31,
  _xlpm.fecha, cronograma!X$4,
  _xlpm.ini,   INDEX(plan!$J:$J, $B31),
  _xlpm.fin,   INDEX(plan!$K:$K, $B31),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32" s="76" cm="1">
        <f t="array" ref="Y32">_xlfn.LET(
  _xlpm.act,   cronograma!$C31,
  _xlpm.fecha, cronograma!Y$4,
  _xlpm.ini,   INDEX(plan!$J:$J, $B31),
  _xlpm.fin,   INDEX(plan!$K:$K, $B31),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32" s="77" cm="1">
        <f t="array" ref="Z32">_xlfn.LET(
  _xlpm.act,   cronograma!$C31,
  _xlpm.fecha, cronograma!Z$4,
  _xlpm.ini,   INDEX(plan!$J:$J, $B31),
  _xlpm.fin,   INDEX(plan!$K:$K, $B31),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32" s="75" cm="1">
        <f t="array" ref="AA32">_xlfn.LET(
  _xlpm.act,   cronograma!$C31,
  _xlpm.fecha, cronograma!AA$4,
  _xlpm.ini,   INDEX(plan!$J:$J, $B31),
  _xlpm.fin,   INDEX(plan!$K:$K, $B31),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32" s="76" cm="1">
        <f t="array" ref="AB32">_xlfn.LET(
  _xlpm.act,   cronograma!$C31,
  _xlpm.fecha, cronograma!AB$4,
  _xlpm.ini,   INDEX(plan!$J:$J, $B31),
  _xlpm.fin,   INDEX(plan!$K:$K, $B31),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32" s="76" cm="1">
        <f t="array" ref="AC32">_xlfn.LET(
  _xlpm.act,   cronograma!$C31,
  _xlpm.fecha, cronograma!AC$4,
  _xlpm.ini,   INDEX(plan!$J:$J, $B31),
  _xlpm.fin,   INDEX(plan!$K:$K, $B31),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32" s="76" cm="1">
        <f t="array" ref="AD32">_xlfn.LET(
  _xlpm.act,   cronograma!$C31,
  _xlpm.fecha, cronograma!AD$4,
  _xlpm.ini,   INDEX(plan!$J:$J, $B31),
  _xlpm.fin,   INDEX(plan!$K:$K, $B31),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32" s="76" cm="1">
        <f t="array" ref="AE32">_xlfn.LET(
  _xlpm.act,   cronograma!$C31,
  _xlpm.fecha, cronograma!AE$4,
  _xlpm.ini,   INDEX(plan!$J:$J, $B31),
  _xlpm.fin,   INDEX(plan!$K:$K, $B31),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32" s="76" cm="1">
        <f t="array" ref="AF32">_xlfn.LET(
  _xlpm.act,   cronograma!$C31,
  _xlpm.fecha, cronograma!AF$4,
  _xlpm.ini,   INDEX(plan!$J:$J, $B31),
  _xlpm.fin,   INDEX(plan!$K:$K, $B31),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32" s="77" cm="1">
        <f t="array" ref="AG32">_xlfn.LET(
  _xlpm.act,   cronograma!$C31,
  _xlpm.fecha, cronograma!AG$4,
  _xlpm.ini,   INDEX(plan!$J:$J, $B31),
  _xlpm.fin,   INDEX(plan!$K:$K, $B31),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32" s="75" cm="1">
        <f t="array" ref="AH32">_xlfn.LET(
  _xlpm.act,   cronograma!$C31,
  _xlpm.fecha, cronograma!AH$4,
  _xlpm.ini,   INDEX(plan!$J:$J, $B31),
  _xlpm.fin,   INDEX(plan!$K:$K, $B31),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32" s="76" cm="1">
        <f t="array" ref="AI32">_xlfn.LET(
  _xlpm.act,   cronograma!$C31,
  _xlpm.fecha, cronograma!AI$4,
  _xlpm.ini,   INDEX(plan!$J:$J, $B31),
  _xlpm.fin,   INDEX(plan!$K:$K, $B31),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32" s="76" cm="1">
        <f t="array" ref="AJ32">_xlfn.LET(
  _xlpm.act,   cronograma!$C31,
  _xlpm.fecha, cronograma!AJ$4,
  _xlpm.ini,   INDEX(plan!$J:$J, $B31),
  _xlpm.fin,   INDEX(plan!$K:$K, $B31),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32" s="76" cm="1">
        <f t="array" ref="AK32">_xlfn.LET(
  _xlpm.act,   cronograma!$C31,
  _xlpm.fecha, cronograma!AK$4,
  _xlpm.ini,   INDEX(plan!$J:$J, $B31),
  _xlpm.fin,   INDEX(plan!$K:$K, $B31),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32" s="76" cm="1">
        <f t="array" ref="AL32">_xlfn.LET(
  _xlpm.act,   cronograma!$C31,
  _xlpm.fecha, cronograma!AL$4,
  _xlpm.ini,   INDEX(plan!$J:$J, $B31),
  _xlpm.fin,   INDEX(plan!$K:$K, $B31),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32" s="76" cm="1">
        <f t="array" ref="AM32">_xlfn.LET(
  _xlpm.act,   cronograma!$C31,
  _xlpm.fecha, cronograma!AM$4,
  _xlpm.ini,   INDEX(plan!$J:$J, $B31),
  _xlpm.fin,   INDEX(plan!$K:$K, $B31),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32" s="77" cm="1">
        <f t="array" ref="AN32">_xlfn.LET(
  _xlpm.act,   cronograma!$C31,
  _xlpm.fecha, cronograma!AN$4,
  _xlpm.ini,   INDEX(plan!$J:$J, $B31),
  _xlpm.fin,   INDEX(plan!$K:$K, $B31),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O32" s="75" cm="1">
        <f t="array" ref="AO32">_xlfn.LET(
  _xlpm.act,   cronograma!$C31,
  _xlpm.fecha, cronograma!AO$4,
  _xlpm.ini,   INDEX(plan!$J:$J, $B31),
  _xlpm.fin,   INDEX(plan!$K:$K, $B31),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P32" s="76" cm="1">
        <f t="array" ref="AP32">_xlfn.LET(
  _xlpm.act,   cronograma!$C31,
  _xlpm.fecha, cronograma!AP$4,
  _xlpm.ini,   INDEX(plan!$J:$J, $B31),
  _xlpm.fin,   INDEX(plan!$K:$K, $B31),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Q32" s="76" cm="1">
        <f t="array" ref="AQ32">_xlfn.LET(
  _xlpm.act,   cronograma!$C31,
  _xlpm.fecha, cronograma!AQ$4,
  _xlpm.ini,   INDEX(plan!$J:$J, $B31),
  _xlpm.fin,   INDEX(plan!$K:$K, $B31),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R32" s="76" cm="1">
        <f t="array" ref="AR32">_xlfn.LET(
  _xlpm.act,   cronograma!$C31,
  _xlpm.fecha, cronograma!AR$4,
  _xlpm.ini,   INDEX(plan!$J:$J, $B31),
  _xlpm.fin,   INDEX(plan!$K:$K, $B31),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S32" s="76" cm="1">
        <f t="array" ref="AS32">_xlfn.LET(
  _xlpm.act,   cronograma!$C31,
  _xlpm.fecha, cronograma!AS$4,
  _xlpm.ini,   INDEX(plan!$J:$J, $B31),
  _xlpm.fin,   INDEX(plan!$K:$K, $B31),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T32" s="76" cm="1">
        <f t="array" ref="AT32">_xlfn.LET(
  _xlpm.act,   cronograma!$C31,
  _xlpm.fecha, cronograma!AT$4,
  _xlpm.ini,   INDEX(plan!$J:$J, $B31),
  _xlpm.fin,   INDEX(plan!$K:$K, $B31),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U32" s="77" cm="1">
        <f t="array" ref="AU32">_xlfn.LET(
  _xlpm.act,   cronograma!$C31,
  _xlpm.fecha, cronograma!AU$4,
  _xlpm.ini,   INDEX(plan!$J:$J, $B31),
  _xlpm.fin,   INDEX(plan!$K:$K, $B31),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</row>
    <row r="33" spans="1:47" ht="12.95" customHeight="1" x14ac:dyDescent="0.3">
      <c r="A33" s="36"/>
      <c r="B33" s="301">
        <f>plan!B18</f>
        <v>18</v>
      </c>
      <c r="C33" s="286" t="str">
        <f>plan!C18</f>
        <v>Evaluar indexación</v>
      </c>
      <c r="D33" s="278" cm="1">
        <f t="array" ref="D33">INDEX(plan!$I:$I, $B33)</f>
        <v>50</v>
      </c>
      <c r="E33" s="276" cm="1">
        <f t="array" ref="E33">INDEX(plan!$U:$U, $B33)</f>
        <v>0</v>
      </c>
      <c r="F33" s="74" cm="1">
        <f t="array" ref="F33">IF(AND(F$4&gt;=INDEX(plan!$J:$J, $B33), F$4&lt;=INDEX(plan!$K:$K, $B33)),1,0)</f>
        <v>0</v>
      </c>
      <c r="G33" s="78" cm="1">
        <f t="array" ref="G33">IF(AND(G$4&gt;=INDEX(plan!$J:$J, $B33), G$4&lt;=INDEX(plan!$K:$K, $B33)),1,0)</f>
        <v>0</v>
      </c>
      <c r="H33" s="78" cm="1">
        <f t="array" ref="H33">IF(AND(H$4&gt;=INDEX(plan!$J:$J, $B33), H$4&lt;=INDEX(plan!$K:$K, $B33)),1,0)</f>
        <v>0</v>
      </c>
      <c r="I33" s="78" cm="1">
        <f t="array" ref="I33">IF(AND(I$4&gt;=INDEX(plan!$J:$J, $B33), I$4&lt;=INDEX(plan!$K:$K, $B33)),1,0)</f>
        <v>0</v>
      </c>
      <c r="J33" s="78" cm="1">
        <f t="array" ref="J33">IF(AND(J$4&gt;=INDEX(plan!$J:$J, $B33), J$4&lt;=INDEX(plan!$K:$K, $B33)),1,0)</f>
        <v>0</v>
      </c>
      <c r="K33" s="78" cm="1">
        <f t="array" ref="K33">IF(AND(K$4&gt;=INDEX(plan!$J:$J, $B33), K$4&lt;=INDEX(plan!$K:$K, $B33)),1,0)</f>
        <v>0</v>
      </c>
      <c r="L33" s="79" cm="1">
        <f t="array" ref="L33">IF(AND(L$4&gt;=INDEX(plan!$J:$J, $B33), L$4&lt;=INDEX(plan!$K:$K, $B33)),1,0)</f>
        <v>0</v>
      </c>
      <c r="M33" s="74" cm="1">
        <f t="array" ref="M33">IF(AND(M$4&gt;=INDEX(plan!$J:$J, $B33), M$4&lt;=INDEX(plan!$K:$K, $B33)),1,0)</f>
        <v>0</v>
      </c>
      <c r="N33" s="78" cm="1">
        <f t="array" ref="N33">IF(AND(N$4&gt;=INDEX(plan!$J:$J, $B33), N$4&lt;=INDEX(plan!$K:$K, $B33)),1,0)</f>
        <v>0</v>
      </c>
      <c r="O33" s="78" cm="1">
        <f t="array" ref="O33">IF(AND(O$4&gt;=INDEX(plan!$J:$J, $B33), O$4&lt;=INDEX(plan!$K:$K, $B33)),1,0)</f>
        <v>0</v>
      </c>
      <c r="P33" s="78" cm="1">
        <f t="array" ref="P33">IF(AND(P$4&gt;=INDEX(plan!$J:$J, $B33), P$4&lt;=INDEX(plan!$K:$K, $B33)),1,0)</f>
        <v>0</v>
      </c>
      <c r="Q33" s="78" cm="1">
        <f t="array" ref="Q33">IF(AND(Q$4&gt;=INDEX(plan!$J:$J, $B33), Q$4&lt;=INDEX(plan!$K:$K, $B33)),1,0)</f>
        <v>0</v>
      </c>
      <c r="R33" s="78" cm="1">
        <f t="array" ref="R33">IF(AND(R$4&gt;=INDEX(plan!$J:$J, $B33), R$4&lt;=INDEX(plan!$K:$K, $B33)),1,0)</f>
        <v>0</v>
      </c>
      <c r="S33" s="79" cm="1">
        <f t="array" ref="S33">IF(AND(S$4&gt;=INDEX(plan!$J:$J, $B33), S$4&lt;=INDEX(plan!$K:$K, $B33)),1,0)</f>
        <v>0</v>
      </c>
      <c r="T33" s="74" cm="1">
        <f t="array" ref="T33">IF(AND(T$4&gt;=INDEX(plan!$J:$J, $B33), T$4&lt;=INDEX(plan!$K:$K, $B33)),1,0)</f>
        <v>0</v>
      </c>
      <c r="U33" s="78" cm="1">
        <f t="array" ref="U33">IF(AND(U$4&gt;=INDEX(plan!$J:$J, $B33), U$4&lt;=INDEX(plan!$K:$K, $B33)),1,0)</f>
        <v>0</v>
      </c>
      <c r="V33" s="78" cm="1">
        <f t="array" ref="V33">IF(AND(V$4&gt;=INDEX(plan!$J:$J, $B33), V$4&lt;=INDEX(plan!$K:$K, $B33)),1,0)</f>
        <v>0</v>
      </c>
      <c r="W33" s="78" cm="1">
        <f t="array" ref="W33">IF(AND(W$4&gt;=INDEX(plan!$J:$J, $B33), W$4&lt;=INDEX(plan!$K:$K, $B33)),1,0)</f>
        <v>0</v>
      </c>
      <c r="X33" s="78" cm="1">
        <f t="array" ref="X33">IF(AND(X$4&gt;=INDEX(plan!$J:$J, $B33), X$4&lt;=INDEX(plan!$K:$K, $B33)),1,0)</f>
        <v>0</v>
      </c>
      <c r="Y33" s="78" cm="1">
        <f t="array" ref="Y33">IF(AND(Y$4&gt;=INDEX(plan!$J:$J, $B33), Y$4&lt;=INDEX(plan!$K:$K, $B33)),1,0)</f>
        <v>0</v>
      </c>
      <c r="Z33" s="79" cm="1">
        <f t="array" ref="Z33">IF(AND(Z$4&gt;=INDEX(plan!$J:$J, $B33), Z$4&lt;=INDEX(plan!$K:$K, $B33)),1,0)</f>
        <v>0</v>
      </c>
      <c r="AA33" s="74" cm="1">
        <f t="array" ref="AA33">IF(AND(AA$4&gt;=INDEX(plan!$J:$J, $B33), AA$4&lt;=INDEX(plan!$K:$K, $B33)),1,0)</f>
        <v>0</v>
      </c>
      <c r="AB33" s="78" cm="1">
        <f t="array" ref="AB33">IF(AND(AB$4&gt;=INDEX(plan!$J:$J, $B33), AB$4&lt;=INDEX(plan!$K:$K, $B33)),1,0)</f>
        <v>0</v>
      </c>
      <c r="AC33" s="78" cm="1">
        <f t="array" ref="AC33">IF(AND(AC$4&gt;=INDEX(plan!$J:$J, $B33), AC$4&lt;=INDEX(plan!$K:$K, $B33)),1,0)</f>
        <v>0</v>
      </c>
      <c r="AD33" s="78" cm="1">
        <f t="array" ref="AD33">IF(AND(AD$4&gt;=INDEX(plan!$J:$J, $B33), AD$4&lt;=INDEX(plan!$K:$K, $B33)),1,0)</f>
        <v>0</v>
      </c>
      <c r="AE33" s="78" cm="1">
        <f t="array" ref="AE33">IF(AND(AE$4&gt;=INDEX(plan!$J:$J, $B33), AE$4&lt;=INDEX(plan!$K:$K, $B33)),1,0)</f>
        <v>0</v>
      </c>
      <c r="AF33" s="78" cm="1">
        <f t="array" ref="AF33">IF(AND(AF$4&gt;=INDEX(plan!$J:$J, $B33), AF$4&lt;=INDEX(plan!$K:$K, $B33)),1,0)</f>
        <v>0</v>
      </c>
      <c r="AG33" s="79" cm="1">
        <f t="array" ref="AG33">IF(AND(AG$4&gt;=INDEX(plan!$J:$J, $B33), AG$4&lt;=INDEX(plan!$K:$K, $B33)),1,0)</f>
        <v>0</v>
      </c>
      <c r="AH33" s="74" cm="1">
        <f t="array" ref="AH33">IF(AND(AH$4&gt;=INDEX(plan!$J:$J, $B33), AH$4&lt;=INDEX(plan!$K:$K, $B33)),1,0)</f>
        <v>0</v>
      </c>
      <c r="AI33" s="78" cm="1">
        <f t="array" ref="AI33">IF(AND(AI$4&gt;=INDEX(plan!$J:$J, $B33), AI$4&lt;=INDEX(plan!$K:$K, $B33)),1,0)</f>
        <v>0</v>
      </c>
      <c r="AJ33" s="78" cm="1">
        <f t="array" ref="AJ33">IF(AND(AJ$4&gt;=INDEX(plan!$J:$J, $B33), AJ$4&lt;=INDEX(plan!$K:$K, $B33)),1,0)</f>
        <v>0</v>
      </c>
      <c r="AK33" s="78" cm="1">
        <f t="array" ref="AK33">IF(AND(AK$4&gt;=INDEX(plan!$J:$J, $B33), AK$4&lt;=INDEX(plan!$K:$K, $B33)),1,0)</f>
        <v>0</v>
      </c>
      <c r="AL33" s="78" cm="1">
        <f t="array" ref="AL33">IF(AND(AL$4&gt;=INDEX(plan!$J:$J, $B33), AL$4&lt;=INDEX(plan!$K:$K, $B33)),1,0)</f>
        <v>1</v>
      </c>
      <c r="AM33" s="78" cm="1">
        <f t="array" ref="AM33">IF(AND(AM$4&gt;=INDEX(plan!$J:$J, $B33), AM$4&lt;=INDEX(plan!$K:$K, $B33)),1,0)</f>
        <v>1</v>
      </c>
      <c r="AN33" s="79" cm="1">
        <f t="array" ref="AN33">IF(AND(AN$4&gt;=INDEX(plan!$J:$J, $B33), AN$4&lt;=INDEX(plan!$K:$K, $B33)),1,0)</f>
        <v>1</v>
      </c>
      <c r="AO33" s="74" cm="1">
        <f t="array" ref="AO33">IF(AND(AO$4&gt;=INDEX(plan!$J:$J, $B33), AO$4&lt;=INDEX(plan!$K:$K, $B33)),1,0)</f>
        <v>1</v>
      </c>
      <c r="AP33" s="78" cm="1">
        <f t="array" ref="AP33">IF(AND(AP$4&gt;=INDEX(plan!$J:$J, $B33), AP$4&lt;=INDEX(plan!$K:$K, $B33)),1,0)</f>
        <v>1</v>
      </c>
      <c r="AQ33" s="78" cm="1">
        <f t="array" ref="AQ33">IF(AND(AQ$4&gt;=INDEX(plan!$J:$J, $B33), AQ$4&lt;=INDEX(plan!$K:$K, $B33)),1,0)</f>
        <v>1</v>
      </c>
      <c r="AR33" s="78" cm="1">
        <f t="array" ref="AR33">IF(AND(AR$4&gt;=INDEX(plan!$J:$J, $B33), AR$4&lt;=INDEX(plan!$K:$K, $B33)),1,0)</f>
        <v>0</v>
      </c>
      <c r="AS33" s="78" cm="1">
        <f t="array" ref="AS33">IF(AND(AS$4&gt;=INDEX(plan!$J:$J, $B33), AS$4&lt;=INDEX(plan!$K:$K, $B33)),1,0)</f>
        <v>0</v>
      </c>
      <c r="AT33" s="78" cm="1">
        <f t="array" ref="AT33">IF(AND(AT$4&gt;=INDEX(plan!$J:$J, $B33), AT$4&lt;=INDEX(plan!$K:$K, $B33)),1,0)</f>
        <v>0</v>
      </c>
      <c r="AU33" s="79" cm="1">
        <f t="array" ref="AU33">IF(AND(AU$4&gt;=INDEX(plan!$J:$J, $B33), AU$4&lt;=INDEX(plan!$K:$K, $B33)),1,0)</f>
        <v>0</v>
      </c>
    </row>
    <row r="34" spans="1:47" ht="12.95" customHeight="1" x14ac:dyDescent="0.3">
      <c r="A34" s="36"/>
      <c r="B34" s="300"/>
      <c r="C34" s="287"/>
      <c r="D34" s="279"/>
      <c r="E34" s="277"/>
      <c r="F34" s="75" cm="1">
        <f t="array" ref="F34">_xlfn.LET(
  _xlpm.act,   cronograma!$C33,
  _xlpm.fecha, cronograma!F$4,
  _xlpm.ini,   INDEX(plan!$J:$J, $B33),
  _xlpm.fin,   INDEX(plan!$K:$K, $B33),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34" s="76" cm="1">
        <f t="array" ref="G34">_xlfn.LET(
  _xlpm.act,   cronograma!$C33,
  _xlpm.fecha, cronograma!G$4,
  _xlpm.ini,   INDEX(plan!$J:$J, $B33),
  _xlpm.fin,   INDEX(plan!$K:$K, $B33),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34" s="76" cm="1">
        <f t="array" ref="H34">_xlfn.LET(
  _xlpm.act,   cronograma!$C33,
  _xlpm.fecha, cronograma!H$4,
  _xlpm.ini,   INDEX(plan!$J:$J, $B33),
  _xlpm.fin,   INDEX(plan!$K:$K, $B33),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34" s="76" cm="1">
        <f t="array" ref="I34">_xlfn.LET(
  _xlpm.act,   cronograma!$C33,
  _xlpm.fecha, cronograma!I$4,
  _xlpm.ini,   INDEX(plan!$J:$J, $B33),
  _xlpm.fin,   INDEX(plan!$K:$K, $B33),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34" s="76" cm="1">
        <f t="array" ref="J34">_xlfn.LET(
  _xlpm.act,   cronograma!$C33,
  _xlpm.fecha, cronograma!J$4,
  _xlpm.ini,   INDEX(plan!$J:$J, $B33),
  _xlpm.fin,   INDEX(plan!$K:$K, $B33),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34" s="76" cm="1">
        <f t="array" ref="K34">_xlfn.LET(
  _xlpm.act,   cronograma!$C33,
  _xlpm.fecha, cronograma!K$4,
  _xlpm.ini,   INDEX(plan!$J:$J, $B33),
  _xlpm.fin,   INDEX(plan!$K:$K, $B33),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34" s="77" cm="1">
        <f t="array" ref="L34">_xlfn.LET(
  _xlpm.act,   cronograma!$C33,
  _xlpm.fecha, cronograma!L$4,
  _xlpm.ini,   INDEX(plan!$J:$J, $B33),
  _xlpm.fin,   INDEX(plan!$K:$K, $B33),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34" s="75" cm="1">
        <f t="array" ref="M34">_xlfn.LET(
  _xlpm.act,   cronograma!$C33,
  _xlpm.fecha, cronograma!M$4,
  _xlpm.ini,   INDEX(plan!$J:$J, $B33),
  _xlpm.fin,   INDEX(plan!$K:$K, $B33),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34" s="76" cm="1">
        <f t="array" ref="N34">_xlfn.LET(
  _xlpm.act,   cronograma!$C33,
  _xlpm.fecha, cronograma!N$4,
  _xlpm.ini,   INDEX(plan!$J:$J, $B33),
  _xlpm.fin,   INDEX(plan!$K:$K, $B33),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34" s="76" cm="1">
        <f t="array" ref="O34">_xlfn.LET(
  _xlpm.act,   cronograma!$C33,
  _xlpm.fecha, cronograma!O$4,
  _xlpm.ini,   INDEX(plan!$J:$J, $B33),
  _xlpm.fin,   INDEX(plan!$K:$K, $B33),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34" s="76" cm="1">
        <f t="array" ref="P34">_xlfn.LET(
  _xlpm.act,   cronograma!$C33,
  _xlpm.fecha, cronograma!P$4,
  _xlpm.ini,   INDEX(plan!$J:$J, $B33),
  _xlpm.fin,   INDEX(plan!$K:$K, $B33),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34" s="76" cm="1">
        <f t="array" ref="Q34">_xlfn.LET(
  _xlpm.act,   cronograma!$C33,
  _xlpm.fecha, cronograma!Q$4,
  _xlpm.ini,   INDEX(plan!$J:$J, $B33),
  _xlpm.fin,   INDEX(plan!$K:$K, $B33),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34" s="76" cm="1">
        <f t="array" ref="R34">_xlfn.LET(
  _xlpm.act,   cronograma!$C33,
  _xlpm.fecha, cronograma!R$4,
  _xlpm.ini,   INDEX(plan!$J:$J, $B33),
  _xlpm.fin,   INDEX(plan!$K:$K, $B33),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34" s="77" cm="1">
        <f t="array" ref="S34">_xlfn.LET(
  _xlpm.act,   cronograma!$C33,
  _xlpm.fecha, cronograma!S$4,
  _xlpm.ini,   INDEX(plan!$J:$J, $B33),
  _xlpm.fin,   INDEX(plan!$K:$K, $B33),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34" s="75" cm="1">
        <f t="array" ref="T34">_xlfn.LET(
  _xlpm.act,   cronograma!$C33,
  _xlpm.fecha, cronograma!T$4,
  _xlpm.ini,   INDEX(plan!$J:$J, $B33),
  _xlpm.fin,   INDEX(plan!$K:$K, $B33),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34" s="76" cm="1">
        <f t="array" ref="U34">_xlfn.LET(
  _xlpm.act,   cronograma!$C33,
  _xlpm.fecha, cronograma!U$4,
  _xlpm.ini,   INDEX(plan!$J:$J, $B33),
  _xlpm.fin,   INDEX(plan!$K:$K, $B33),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34" s="76" cm="1">
        <f t="array" ref="V34">_xlfn.LET(
  _xlpm.act,   cronograma!$C33,
  _xlpm.fecha, cronograma!V$4,
  _xlpm.ini,   INDEX(plan!$J:$J, $B33),
  _xlpm.fin,   INDEX(plan!$K:$K, $B33),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34" s="76" cm="1">
        <f t="array" ref="W34">_xlfn.LET(
  _xlpm.act,   cronograma!$C33,
  _xlpm.fecha, cronograma!W$4,
  _xlpm.ini,   INDEX(plan!$J:$J, $B33),
  _xlpm.fin,   INDEX(plan!$K:$K, $B33),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34" s="76" cm="1">
        <f t="array" ref="X34">_xlfn.LET(
  _xlpm.act,   cronograma!$C33,
  _xlpm.fecha, cronograma!X$4,
  _xlpm.ini,   INDEX(plan!$J:$J, $B33),
  _xlpm.fin,   INDEX(plan!$K:$K, $B33),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34" s="76" cm="1">
        <f t="array" ref="Y34">_xlfn.LET(
  _xlpm.act,   cronograma!$C33,
  _xlpm.fecha, cronograma!Y$4,
  _xlpm.ini,   INDEX(plan!$J:$J, $B33),
  _xlpm.fin,   INDEX(plan!$K:$K, $B33),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34" s="77" cm="1">
        <f t="array" ref="Z34">_xlfn.LET(
  _xlpm.act,   cronograma!$C33,
  _xlpm.fecha, cronograma!Z$4,
  _xlpm.ini,   INDEX(plan!$J:$J, $B33),
  _xlpm.fin,   INDEX(plan!$K:$K, $B33),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34" s="75" cm="1">
        <f t="array" ref="AA34">_xlfn.LET(
  _xlpm.act,   cronograma!$C33,
  _xlpm.fecha, cronograma!AA$4,
  _xlpm.ini,   INDEX(plan!$J:$J, $B33),
  _xlpm.fin,   INDEX(plan!$K:$K, $B33),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34" s="76" cm="1">
        <f t="array" ref="AB34">_xlfn.LET(
  _xlpm.act,   cronograma!$C33,
  _xlpm.fecha, cronograma!AB$4,
  _xlpm.ini,   INDEX(plan!$J:$J, $B33),
  _xlpm.fin,   INDEX(plan!$K:$K, $B33),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34" s="76" cm="1">
        <f t="array" ref="AC34">_xlfn.LET(
  _xlpm.act,   cronograma!$C33,
  _xlpm.fecha, cronograma!AC$4,
  _xlpm.ini,   INDEX(plan!$J:$J, $B33),
  _xlpm.fin,   INDEX(plan!$K:$K, $B33),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34" s="76" cm="1">
        <f t="array" ref="AD34">_xlfn.LET(
  _xlpm.act,   cronograma!$C33,
  _xlpm.fecha, cronograma!AD$4,
  _xlpm.ini,   INDEX(plan!$J:$J, $B33),
  _xlpm.fin,   INDEX(plan!$K:$K, $B33),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34" s="76" cm="1">
        <f t="array" ref="AE34">_xlfn.LET(
  _xlpm.act,   cronograma!$C33,
  _xlpm.fecha, cronograma!AE$4,
  _xlpm.ini,   INDEX(plan!$J:$J, $B33),
  _xlpm.fin,   INDEX(plan!$K:$K, $B33),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34" s="76" cm="1">
        <f t="array" ref="AF34">_xlfn.LET(
  _xlpm.act,   cronograma!$C33,
  _xlpm.fecha, cronograma!AF$4,
  _xlpm.ini,   INDEX(plan!$J:$J, $B33),
  _xlpm.fin,   INDEX(plan!$K:$K, $B33),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34" s="77" cm="1">
        <f t="array" ref="AG34">_xlfn.LET(
  _xlpm.act,   cronograma!$C33,
  _xlpm.fecha, cronograma!AG$4,
  _xlpm.ini,   INDEX(plan!$J:$J, $B33),
  _xlpm.fin,   INDEX(plan!$K:$K, $B33),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34" s="75" cm="1">
        <f t="array" ref="AH34">_xlfn.LET(
  _xlpm.act,   cronograma!$C33,
  _xlpm.fecha, cronograma!AH$4,
  _xlpm.ini,   INDEX(plan!$J:$J, $B33),
  _xlpm.fin,   INDEX(plan!$K:$K, $B33),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34" s="76" cm="1">
        <f t="array" ref="AI34">_xlfn.LET(
  _xlpm.act,   cronograma!$C33,
  _xlpm.fecha, cronograma!AI$4,
  _xlpm.ini,   INDEX(plan!$J:$J, $B33),
  _xlpm.fin,   INDEX(plan!$K:$K, $B33),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34" s="76" cm="1">
        <f t="array" ref="AJ34">_xlfn.LET(
  _xlpm.act,   cronograma!$C33,
  _xlpm.fecha, cronograma!AJ$4,
  _xlpm.ini,   INDEX(plan!$J:$J, $B33),
  _xlpm.fin,   INDEX(plan!$K:$K, $B33),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34" s="76" cm="1">
        <f t="array" ref="AK34">_xlfn.LET(
  _xlpm.act,   cronograma!$C33,
  _xlpm.fecha, cronograma!AK$4,
  _xlpm.ini,   INDEX(plan!$J:$J, $B33),
  _xlpm.fin,   INDEX(plan!$K:$K, $B33),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34" s="76" cm="1">
        <f t="array" ref="AL34">_xlfn.LET(
  _xlpm.act,   cronograma!$C33,
  _xlpm.fecha, cronograma!AL$4,
  _xlpm.ini,   INDEX(plan!$J:$J, $B33),
  _xlpm.fin,   INDEX(plan!$K:$K, $B33),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34" s="76" cm="1">
        <f t="array" ref="AM34">_xlfn.LET(
  _xlpm.act,   cronograma!$C33,
  _xlpm.fecha, cronograma!AM$4,
  _xlpm.ini,   INDEX(plan!$J:$J, $B33),
  _xlpm.fin,   INDEX(plan!$K:$K, $B33),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34" s="77" cm="1">
        <f t="array" ref="AN34">_xlfn.LET(
  _xlpm.act,   cronograma!$C33,
  _xlpm.fecha, cronograma!AN$4,
  _xlpm.ini,   INDEX(plan!$J:$J, $B33),
  _xlpm.fin,   INDEX(plan!$K:$K, $B33),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O34" s="75" cm="1">
        <f t="array" ref="AO34">_xlfn.LET(
  _xlpm.act,   cronograma!$C33,
  _xlpm.fecha, cronograma!AO$4,
  _xlpm.ini,   INDEX(plan!$J:$J, $B33),
  _xlpm.fin,   INDEX(plan!$K:$K, $B33),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P34" s="76" cm="1">
        <f t="array" ref="AP34">_xlfn.LET(
  _xlpm.act,   cronograma!$C33,
  _xlpm.fecha, cronograma!AP$4,
  _xlpm.ini,   INDEX(plan!$J:$J, $B33),
  _xlpm.fin,   INDEX(plan!$K:$K, $B33),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Q34" s="76" cm="1">
        <f t="array" ref="AQ34">_xlfn.LET(
  _xlpm.act,   cronograma!$C33,
  _xlpm.fecha, cronograma!AQ$4,
  _xlpm.ini,   INDEX(plan!$J:$J, $B33),
  _xlpm.fin,   INDEX(plan!$K:$K, $B33),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R34" s="76" cm="1">
        <f t="array" ref="AR34">_xlfn.LET(
  _xlpm.act,   cronograma!$C33,
  _xlpm.fecha, cronograma!AR$4,
  _xlpm.ini,   INDEX(plan!$J:$J, $B33),
  _xlpm.fin,   INDEX(plan!$K:$K, $B33),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S34" s="76" cm="1">
        <f t="array" ref="AS34">_xlfn.LET(
  _xlpm.act,   cronograma!$C33,
  _xlpm.fecha, cronograma!AS$4,
  _xlpm.ini,   INDEX(plan!$J:$J, $B33),
  _xlpm.fin,   INDEX(plan!$K:$K, $B33),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T34" s="76" cm="1">
        <f t="array" ref="AT34">_xlfn.LET(
  _xlpm.act,   cronograma!$C33,
  _xlpm.fecha, cronograma!AT$4,
  _xlpm.ini,   INDEX(plan!$J:$J, $B33),
  _xlpm.fin,   INDEX(plan!$K:$K, $B33),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U34" s="77" cm="1">
        <f t="array" ref="AU34">_xlfn.LET(
  _xlpm.act,   cronograma!$C33,
  _xlpm.fecha, cronograma!AU$4,
  _xlpm.ini,   INDEX(plan!$J:$J, $B33),
  _xlpm.fin,   INDEX(plan!$K:$K, $B33),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</row>
    <row r="35" spans="1:47" ht="12.95" customHeight="1" x14ac:dyDescent="0.3">
      <c r="A35" s="36"/>
      <c r="B35" s="301">
        <f>plan!B19</f>
        <v>19</v>
      </c>
      <c r="C35" s="286" t="str">
        <f>plan!C19</f>
        <v>Reunión de sincronización #3</v>
      </c>
      <c r="D35" s="278" cm="1">
        <f t="array" ref="D35">INDEX(plan!$I:$I, $B35)</f>
        <v>5</v>
      </c>
      <c r="E35" s="276" cm="1">
        <f t="array" ref="E35">INDEX(plan!$U:$U, $B35)</f>
        <v>0</v>
      </c>
      <c r="F35" s="74" cm="1">
        <f t="array" ref="F35">IF(AND(F$4&gt;=INDEX(plan!$J:$J, $B35), F$4&lt;=INDEX(plan!$K:$K, $B35)),1,0)</f>
        <v>0</v>
      </c>
      <c r="G35" s="78" cm="1">
        <f t="array" ref="G35">IF(AND(G$4&gt;=INDEX(plan!$J:$J, $B35), G$4&lt;=INDEX(plan!$K:$K, $B35)),1,0)</f>
        <v>0</v>
      </c>
      <c r="H35" s="78" cm="1">
        <f t="array" ref="H35">IF(AND(H$4&gt;=INDEX(plan!$J:$J, $B35), H$4&lt;=INDEX(plan!$K:$K, $B35)),1,0)</f>
        <v>0</v>
      </c>
      <c r="I35" s="78" cm="1">
        <f t="array" ref="I35">IF(AND(I$4&gt;=INDEX(plan!$J:$J, $B35), I$4&lt;=INDEX(plan!$K:$K, $B35)),1,0)</f>
        <v>0</v>
      </c>
      <c r="J35" s="78" cm="1">
        <f t="array" ref="J35">IF(AND(J$4&gt;=INDEX(plan!$J:$J, $B35), J$4&lt;=INDEX(plan!$K:$K, $B35)),1,0)</f>
        <v>0</v>
      </c>
      <c r="K35" s="78" cm="1">
        <f t="array" ref="K35">IF(AND(K$4&gt;=INDEX(plan!$J:$J, $B35), K$4&lt;=INDEX(plan!$K:$K, $B35)),1,0)</f>
        <v>0</v>
      </c>
      <c r="L35" s="79" cm="1">
        <f t="array" ref="L35">IF(AND(L$4&gt;=INDEX(plan!$J:$J, $B35), L$4&lt;=INDEX(plan!$K:$K, $B35)),1,0)</f>
        <v>0</v>
      </c>
      <c r="M35" s="74" cm="1">
        <f t="array" ref="M35">IF(AND(M$4&gt;=INDEX(plan!$J:$J, $B35), M$4&lt;=INDEX(plan!$K:$K, $B35)),1,0)</f>
        <v>0</v>
      </c>
      <c r="N35" s="78" cm="1">
        <f t="array" ref="N35">IF(AND(N$4&gt;=INDEX(plan!$J:$J, $B35), N$4&lt;=INDEX(plan!$K:$K, $B35)),1,0)</f>
        <v>0</v>
      </c>
      <c r="O35" s="78" cm="1">
        <f t="array" ref="O35">IF(AND(O$4&gt;=INDEX(plan!$J:$J, $B35), O$4&lt;=INDEX(plan!$K:$K, $B35)),1,0)</f>
        <v>0</v>
      </c>
      <c r="P35" s="78" cm="1">
        <f t="array" ref="P35">IF(AND(P$4&gt;=INDEX(plan!$J:$J, $B35), P$4&lt;=INDEX(plan!$K:$K, $B35)),1,0)</f>
        <v>0</v>
      </c>
      <c r="Q35" s="78" cm="1">
        <f t="array" ref="Q35">IF(AND(Q$4&gt;=INDEX(plan!$J:$J, $B35), Q$4&lt;=INDEX(plan!$K:$K, $B35)),1,0)</f>
        <v>0</v>
      </c>
      <c r="R35" s="78" cm="1">
        <f t="array" ref="R35">IF(AND(R$4&gt;=INDEX(plan!$J:$J, $B35), R$4&lt;=INDEX(plan!$K:$K, $B35)),1,0)</f>
        <v>0</v>
      </c>
      <c r="S35" s="79" cm="1">
        <f t="array" ref="S35">IF(AND(S$4&gt;=INDEX(plan!$J:$J, $B35), S$4&lt;=INDEX(plan!$K:$K, $B35)),1,0)</f>
        <v>0</v>
      </c>
      <c r="T35" s="74" cm="1">
        <f t="array" ref="T35">IF(AND(T$4&gt;=INDEX(plan!$J:$J, $B35), T$4&lt;=INDEX(plan!$K:$K, $B35)),1,0)</f>
        <v>0</v>
      </c>
      <c r="U35" s="78" cm="1">
        <f t="array" ref="U35">IF(AND(U$4&gt;=INDEX(plan!$J:$J, $B35), U$4&lt;=INDEX(plan!$K:$K, $B35)),1,0)</f>
        <v>0</v>
      </c>
      <c r="V35" s="78" cm="1">
        <f t="array" ref="V35">IF(AND(V$4&gt;=INDEX(plan!$J:$J, $B35), V$4&lt;=INDEX(plan!$K:$K, $B35)),1,0)</f>
        <v>0</v>
      </c>
      <c r="W35" s="78" cm="1">
        <f t="array" ref="W35">IF(AND(W$4&gt;=INDEX(plan!$J:$J, $B35), W$4&lt;=INDEX(plan!$K:$K, $B35)),1,0)</f>
        <v>0</v>
      </c>
      <c r="X35" s="78" cm="1">
        <f t="array" ref="X35">IF(AND(X$4&gt;=INDEX(plan!$J:$J, $B35), X$4&lt;=INDEX(plan!$K:$K, $B35)),1,0)</f>
        <v>0</v>
      </c>
      <c r="Y35" s="78" cm="1">
        <f t="array" ref="Y35">IF(AND(Y$4&gt;=INDEX(plan!$J:$J, $B35), Y$4&lt;=INDEX(plan!$K:$K, $B35)),1,0)</f>
        <v>0</v>
      </c>
      <c r="Z35" s="79" cm="1">
        <f t="array" ref="Z35">IF(AND(Z$4&gt;=INDEX(plan!$J:$J, $B35), Z$4&lt;=INDEX(plan!$K:$K, $B35)),1,0)</f>
        <v>0</v>
      </c>
      <c r="AA35" s="74" cm="1">
        <f t="array" ref="AA35">IF(AND(AA$4&gt;=INDEX(plan!$J:$J, $B35), AA$4&lt;=INDEX(plan!$K:$K, $B35)),1,0)</f>
        <v>0</v>
      </c>
      <c r="AB35" s="78" cm="1">
        <f t="array" ref="AB35">IF(AND(AB$4&gt;=INDEX(plan!$J:$J, $B35), AB$4&lt;=INDEX(plan!$K:$K, $B35)),1,0)</f>
        <v>0</v>
      </c>
      <c r="AC35" s="78" cm="1">
        <f t="array" ref="AC35">IF(AND(AC$4&gt;=INDEX(plan!$J:$J, $B35), AC$4&lt;=INDEX(plan!$K:$K, $B35)),1,0)</f>
        <v>0</v>
      </c>
      <c r="AD35" s="78" cm="1">
        <f t="array" ref="AD35">IF(AND(AD$4&gt;=INDEX(plan!$J:$J, $B35), AD$4&lt;=INDEX(plan!$K:$K, $B35)),1,0)</f>
        <v>0</v>
      </c>
      <c r="AE35" s="78" cm="1">
        <f t="array" ref="AE35">IF(AND(AE$4&gt;=INDEX(plan!$J:$J, $B35), AE$4&lt;=INDEX(plan!$K:$K, $B35)),1,0)</f>
        <v>0</v>
      </c>
      <c r="AF35" s="78" cm="1">
        <f t="array" ref="AF35">IF(AND(AF$4&gt;=INDEX(plan!$J:$J, $B35), AF$4&lt;=INDEX(plan!$K:$K, $B35)),1,0)</f>
        <v>0</v>
      </c>
      <c r="AG35" s="79" cm="1">
        <f t="array" ref="AG35">IF(AND(AG$4&gt;=INDEX(plan!$J:$J, $B35), AG$4&lt;=INDEX(plan!$K:$K, $B35)),1,0)</f>
        <v>0</v>
      </c>
      <c r="AH35" s="74" cm="1">
        <f t="array" ref="AH35">IF(AND(AH$4&gt;=INDEX(plan!$J:$J, $B35), AH$4&lt;=INDEX(plan!$K:$K, $B35)),1,0)</f>
        <v>0</v>
      </c>
      <c r="AI35" s="78" cm="1">
        <f t="array" ref="AI35">IF(AND(AI$4&gt;=INDEX(plan!$J:$J, $B35), AI$4&lt;=INDEX(plan!$K:$K, $B35)),1,0)</f>
        <v>0</v>
      </c>
      <c r="AJ35" s="78" cm="1">
        <f t="array" ref="AJ35">IF(AND(AJ$4&gt;=INDEX(plan!$J:$J, $B35), AJ$4&lt;=INDEX(plan!$K:$K, $B35)),1,0)</f>
        <v>0</v>
      </c>
      <c r="AK35" s="78" cm="1">
        <f t="array" ref="AK35">IF(AND(AK$4&gt;=INDEX(plan!$J:$J, $B35), AK$4&lt;=INDEX(plan!$K:$K, $B35)),1,0)</f>
        <v>0</v>
      </c>
      <c r="AL35" s="78" cm="1">
        <f t="array" ref="AL35">IF(AND(AL$4&gt;=INDEX(plan!$J:$J, $B35), AL$4&lt;=INDEX(plan!$K:$K, $B35)),1,0)</f>
        <v>1</v>
      </c>
      <c r="AM35" s="78" cm="1">
        <f t="array" ref="AM35">IF(AND(AM$4&gt;=INDEX(plan!$J:$J, $B35), AM$4&lt;=INDEX(plan!$K:$K, $B35)),1,0)</f>
        <v>0</v>
      </c>
      <c r="AN35" s="79" cm="1">
        <f t="array" ref="AN35">IF(AND(AN$4&gt;=INDEX(plan!$J:$J, $B35), AN$4&lt;=INDEX(plan!$K:$K, $B35)),1,0)</f>
        <v>0</v>
      </c>
      <c r="AO35" s="74" cm="1">
        <f t="array" ref="AO35">IF(AND(AO$4&gt;=INDEX(plan!$J:$J, $B35), AO$4&lt;=INDEX(plan!$K:$K, $B35)),1,0)</f>
        <v>0</v>
      </c>
      <c r="AP35" s="78" cm="1">
        <f t="array" ref="AP35">IF(AND(AP$4&gt;=INDEX(plan!$J:$J, $B35), AP$4&lt;=INDEX(plan!$K:$K, $B35)),1,0)</f>
        <v>0</v>
      </c>
      <c r="AQ35" s="78" cm="1">
        <f t="array" ref="AQ35">IF(AND(AQ$4&gt;=INDEX(plan!$J:$J, $B35), AQ$4&lt;=INDEX(plan!$K:$K, $B35)),1,0)</f>
        <v>0</v>
      </c>
      <c r="AR35" s="78" cm="1">
        <f t="array" ref="AR35">IF(AND(AR$4&gt;=INDEX(plan!$J:$J, $B35), AR$4&lt;=INDEX(plan!$K:$K, $B35)),1,0)</f>
        <v>0</v>
      </c>
      <c r="AS35" s="78" cm="1">
        <f t="array" ref="AS35">IF(AND(AS$4&gt;=INDEX(plan!$J:$J, $B35), AS$4&lt;=INDEX(plan!$K:$K, $B35)),1,0)</f>
        <v>0</v>
      </c>
      <c r="AT35" s="78" cm="1">
        <f t="array" ref="AT35">IF(AND(AT$4&gt;=INDEX(plan!$J:$J, $B35), AT$4&lt;=INDEX(plan!$K:$K, $B35)),1,0)</f>
        <v>0</v>
      </c>
      <c r="AU35" s="79" cm="1">
        <f t="array" ref="AU35">IF(AND(AU$4&gt;=INDEX(plan!$J:$J, $B35), AU$4&lt;=INDEX(plan!$K:$K, $B35)),1,0)</f>
        <v>0</v>
      </c>
    </row>
    <row r="36" spans="1:47" ht="12.95" customHeight="1" x14ac:dyDescent="0.3">
      <c r="A36" s="36"/>
      <c r="B36" s="300"/>
      <c r="C36" s="287"/>
      <c r="D36" s="279"/>
      <c r="E36" s="277"/>
      <c r="F36" s="75" cm="1">
        <f t="array" ref="F36">_xlfn.LET(
  _xlpm.act,   cronograma!$C35,
  _xlpm.fecha, cronograma!F$4,
  _xlpm.ini,   INDEX(plan!$J:$J, $B35),
  _xlpm.fin,   INDEX(plan!$K:$K, $B35),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36" s="76" cm="1">
        <f t="array" ref="G36">_xlfn.LET(
  _xlpm.act,   cronograma!$C35,
  _xlpm.fecha, cronograma!G$4,
  _xlpm.ini,   INDEX(plan!$J:$J, $B35),
  _xlpm.fin,   INDEX(plan!$K:$K, $B35),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36" s="76" cm="1">
        <f t="array" ref="H36">_xlfn.LET(
  _xlpm.act,   cronograma!$C35,
  _xlpm.fecha, cronograma!H$4,
  _xlpm.ini,   INDEX(plan!$J:$J, $B35),
  _xlpm.fin,   INDEX(plan!$K:$K, $B35),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36" s="76" cm="1">
        <f t="array" ref="I36">_xlfn.LET(
  _xlpm.act,   cronograma!$C35,
  _xlpm.fecha, cronograma!I$4,
  _xlpm.ini,   INDEX(plan!$J:$J, $B35),
  _xlpm.fin,   INDEX(plan!$K:$K, $B35),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36" s="76" cm="1">
        <f t="array" ref="J36">_xlfn.LET(
  _xlpm.act,   cronograma!$C35,
  _xlpm.fecha, cronograma!J$4,
  _xlpm.ini,   INDEX(plan!$J:$J, $B35),
  _xlpm.fin,   INDEX(plan!$K:$K, $B35),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36" s="76" cm="1">
        <f t="array" ref="K36">_xlfn.LET(
  _xlpm.act,   cronograma!$C35,
  _xlpm.fecha, cronograma!K$4,
  _xlpm.ini,   INDEX(plan!$J:$J, $B35),
  _xlpm.fin,   INDEX(plan!$K:$K, $B35),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36" s="77" cm="1">
        <f t="array" ref="L36">_xlfn.LET(
  _xlpm.act,   cronograma!$C35,
  _xlpm.fecha, cronograma!L$4,
  _xlpm.ini,   INDEX(plan!$J:$J, $B35),
  _xlpm.fin,   INDEX(plan!$K:$K, $B35),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36" s="75" cm="1">
        <f t="array" ref="M36">_xlfn.LET(
  _xlpm.act,   cronograma!$C35,
  _xlpm.fecha, cronograma!M$4,
  _xlpm.ini,   INDEX(plan!$J:$J, $B35),
  _xlpm.fin,   INDEX(plan!$K:$K, $B35),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36" s="76" cm="1">
        <f t="array" ref="N36">_xlfn.LET(
  _xlpm.act,   cronograma!$C35,
  _xlpm.fecha, cronograma!N$4,
  _xlpm.ini,   INDEX(plan!$J:$J, $B35),
  _xlpm.fin,   INDEX(plan!$K:$K, $B35),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36" s="76" cm="1">
        <f t="array" ref="O36">_xlfn.LET(
  _xlpm.act,   cronograma!$C35,
  _xlpm.fecha, cronograma!O$4,
  _xlpm.ini,   INDEX(plan!$J:$J, $B35),
  _xlpm.fin,   INDEX(plan!$K:$K, $B35),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36" s="76" cm="1">
        <f t="array" ref="P36">_xlfn.LET(
  _xlpm.act,   cronograma!$C35,
  _xlpm.fecha, cronograma!P$4,
  _xlpm.ini,   INDEX(plan!$J:$J, $B35),
  _xlpm.fin,   INDEX(plan!$K:$K, $B35),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36" s="76" cm="1">
        <f t="array" ref="Q36">_xlfn.LET(
  _xlpm.act,   cronograma!$C35,
  _xlpm.fecha, cronograma!Q$4,
  _xlpm.ini,   INDEX(plan!$J:$J, $B35),
  _xlpm.fin,   INDEX(plan!$K:$K, $B35),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36" s="76" cm="1">
        <f t="array" ref="R36">_xlfn.LET(
  _xlpm.act,   cronograma!$C35,
  _xlpm.fecha, cronograma!R$4,
  _xlpm.ini,   INDEX(plan!$J:$J, $B35),
  _xlpm.fin,   INDEX(plan!$K:$K, $B35),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36" s="77" cm="1">
        <f t="array" ref="S36">_xlfn.LET(
  _xlpm.act,   cronograma!$C35,
  _xlpm.fecha, cronograma!S$4,
  _xlpm.ini,   INDEX(plan!$J:$J, $B35),
  _xlpm.fin,   INDEX(plan!$K:$K, $B35),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36" s="75" cm="1">
        <f t="array" ref="T36">_xlfn.LET(
  _xlpm.act,   cronograma!$C35,
  _xlpm.fecha, cronograma!T$4,
  _xlpm.ini,   INDEX(plan!$J:$J, $B35),
  _xlpm.fin,   INDEX(plan!$K:$K, $B35),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36" s="76" cm="1">
        <f t="array" ref="U36">_xlfn.LET(
  _xlpm.act,   cronograma!$C35,
  _xlpm.fecha, cronograma!U$4,
  _xlpm.ini,   INDEX(plan!$J:$J, $B35),
  _xlpm.fin,   INDEX(plan!$K:$K, $B35),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36" s="76" cm="1">
        <f t="array" ref="V36">_xlfn.LET(
  _xlpm.act,   cronograma!$C35,
  _xlpm.fecha, cronograma!V$4,
  _xlpm.ini,   INDEX(plan!$J:$J, $B35),
  _xlpm.fin,   INDEX(plan!$K:$K, $B35),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36" s="76" cm="1">
        <f t="array" ref="W36">_xlfn.LET(
  _xlpm.act,   cronograma!$C35,
  _xlpm.fecha, cronograma!W$4,
  _xlpm.ini,   INDEX(plan!$J:$J, $B35),
  _xlpm.fin,   INDEX(plan!$K:$K, $B35),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36" s="76" cm="1">
        <f t="array" ref="X36">_xlfn.LET(
  _xlpm.act,   cronograma!$C35,
  _xlpm.fecha, cronograma!X$4,
  _xlpm.ini,   INDEX(plan!$J:$J, $B35),
  _xlpm.fin,   INDEX(plan!$K:$K, $B35),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36" s="76" cm="1">
        <f t="array" ref="Y36">_xlfn.LET(
  _xlpm.act,   cronograma!$C35,
  _xlpm.fecha, cronograma!Y$4,
  _xlpm.ini,   INDEX(plan!$J:$J, $B35),
  _xlpm.fin,   INDEX(plan!$K:$K, $B35),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36" s="77" cm="1">
        <f t="array" ref="Z36">_xlfn.LET(
  _xlpm.act,   cronograma!$C35,
  _xlpm.fecha, cronograma!Z$4,
  _xlpm.ini,   INDEX(plan!$J:$J, $B35),
  _xlpm.fin,   INDEX(plan!$K:$K, $B35),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36" s="75" cm="1">
        <f t="array" ref="AA36">_xlfn.LET(
  _xlpm.act,   cronograma!$C35,
  _xlpm.fecha, cronograma!AA$4,
  _xlpm.ini,   INDEX(plan!$J:$J, $B35),
  _xlpm.fin,   INDEX(plan!$K:$K, $B35),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36" s="76" cm="1">
        <f t="array" ref="AB36">_xlfn.LET(
  _xlpm.act,   cronograma!$C35,
  _xlpm.fecha, cronograma!AB$4,
  _xlpm.ini,   INDEX(plan!$J:$J, $B35),
  _xlpm.fin,   INDEX(plan!$K:$K, $B35),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36" s="76" cm="1">
        <f t="array" ref="AC36">_xlfn.LET(
  _xlpm.act,   cronograma!$C35,
  _xlpm.fecha, cronograma!AC$4,
  _xlpm.ini,   INDEX(plan!$J:$J, $B35),
  _xlpm.fin,   INDEX(plan!$K:$K, $B35),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36" s="76" cm="1">
        <f t="array" ref="AD36">_xlfn.LET(
  _xlpm.act,   cronograma!$C35,
  _xlpm.fecha, cronograma!AD$4,
  _xlpm.ini,   INDEX(plan!$J:$J, $B35),
  _xlpm.fin,   INDEX(plan!$K:$K, $B35),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36" s="76" cm="1">
        <f t="array" ref="AE36">_xlfn.LET(
  _xlpm.act,   cronograma!$C35,
  _xlpm.fecha, cronograma!AE$4,
  _xlpm.ini,   INDEX(plan!$J:$J, $B35),
  _xlpm.fin,   INDEX(plan!$K:$K, $B35),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36" s="76" cm="1">
        <f t="array" ref="AF36">_xlfn.LET(
  _xlpm.act,   cronograma!$C35,
  _xlpm.fecha, cronograma!AF$4,
  _xlpm.ini,   INDEX(plan!$J:$J, $B35),
  _xlpm.fin,   INDEX(plan!$K:$K, $B35),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36" s="77" cm="1">
        <f t="array" ref="AG36">_xlfn.LET(
  _xlpm.act,   cronograma!$C35,
  _xlpm.fecha, cronograma!AG$4,
  _xlpm.ini,   INDEX(plan!$J:$J, $B35),
  _xlpm.fin,   INDEX(plan!$K:$K, $B35),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36" s="75" cm="1">
        <f t="array" ref="AH36">_xlfn.LET(
  _xlpm.act,   cronograma!$C35,
  _xlpm.fecha, cronograma!AH$4,
  _xlpm.ini,   INDEX(plan!$J:$J, $B35),
  _xlpm.fin,   INDEX(plan!$K:$K, $B35),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36" s="76" cm="1">
        <f t="array" ref="AI36">_xlfn.LET(
  _xlpm.act,   cronograma!$C35,
  _xlpm.fecha, cronograma!AI$4,
  _xlpm.ini,   INDEX(plan!$J:$J, $B35),
  _xlpm.fin,   INDEX(plan!$K:$K, $B35),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36" s="76" cm="1">
        <f t="array" ref="AJ36">_xlfn.LET(
  _xlpm.act,   cronograma!$C35,
  _xlpm.fecha, cronograma!AJ$4,
  _xlpm.ini,   INDEX(plan!$J:$J, $B35),
  _xlpm.fin,   INDEX(plan!$K:$K, $B35),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36" s="76" cm="1">
        <f t="array" ref="AK36">_xlfn.LET(
  _xlpm.act,   cronograma!$C35,
  _xlpm.fecha, cronograma!AK$4,
  _xlpm.ini,   INDEX(plan!$J:$J, $B35),
  _xlpm.fin,   INDEX(plan!$K:$K, $B35),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36" s="76" cm="1">
        <f t="array" ref="AL36">_xlfn.LET(
  _xlpm.act,   cronograma!$C35,
  _xlpm.fecha, cronograma!AL$4,
  _xlpm.ini,   INDEX(plan!$J:$J, $B35),
  _xlpm.fin,   INDEX(plan!$K:$K, $B35),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36" s="76" cm="1">
        <f t="array" ref="AM36">_xlfn.LET(
  _xlpm.act,   cronograma!$C35,
  _xlpm.fecha, cronograma!AM$4,
  _xlpm.ini,   INDEX(plan!$J:$J, $B35),
  _xlpm.fin,   INDEX(plan!$K:$K, $B35),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36" s="77" cm="1">
        <f t="array" ref="AN36">_xlfn.LET(
  _xlpm.act,   cronograma!$C35,
  _xlpm.fecha, cronograma!AN$4,
  _xlpm.ini,   INDEX(plan!$J:$J, $B35),
  _xlpm.fin,   INDEX(plan!$K:$K, $B35),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O36" s="75" cm="1">
        <f t="array" ref="AO36">_xlfn.LET(
  _xlpm.act,   cronograma!$C35,
  _xlpm.fecha, cronograma!AO$4,
  _xlpm.ini,   INDEX(plan!$J:$J, $B35),
  _xlpm.fin,   INDEX(plan!$K:$K, $B35),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P36" s="76" cm="1">
        <f t="array" ref="AP36">_xlfn.LET(
  _xlpm.act,   cronograma!$C35,
  _xlpm.fecha, cronograma!AP$4,
  _xlpm.ini,   INDEX(plan!$J:$J, $B35),
  _xlpm.fin,   INDEX(plan!$K:$K, $B35),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Q36" s="76" cm="1">
        <f t="array" ref="AQ36">_xlfn.LET(
  _xlpm.act,   cronograma!$C35,
  _xlpm.fecha, cronograma!AQ$4,
  _xlpm.ini,   INDEX(plan!$J:$J, $B35),
  _xlpm.fin,   INDEX(plan!$K:$K, $B35),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R36" s="76" cm="1">
        <f t="array" ref="AR36">_xlfn.LET(
  _xlpm.act,   cronograma!$C35,
  _xlpm.fecha, cronograma!AR$4,
  _xlpm.ini,   INDEX(plan!$J:$J, $B35),
  _xlpm.fin,   INDEX(plan!$K:$K, $B35),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S36" s="76" cm="1">
        <f t="array" ref="AS36">_xlfn.LET(
  _xlpm.act,   cronograma!$C35,
  _xlpm.fecha, cronograma!AS$4,
  _xlpm.ini,   INDEX(plan!$J:$J, $B35),
  _xlpm.fin,   INDEX(plan!$K:$K, $B35),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T36" s="76" cm="1">
        <f t="array" ref="AT36">_xlfn.LET(
  _xlpm.act,   cronograma!$C35,
  _xlpm.fecha, cronograma!AT$4,
  _xlpm.ini,   INDEX(plan!$J:$J, $B35),
  _xlpm.fin,   INDEX(plan!$K:$K, $B35),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U36" s="77" cm="1">
        <f t="array" ref="AU36">_xlfn.LET(
  _xlpm.act,   cronograma!$C35,
  _xlpm.fecha, cronograma!AU$4,
  _xlpm.ini,   INDEX(plan!$J:$J, $B35),
  _xlpm.fin,   INDEX(plan!$K:$K, $B35),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</row>
    <row r="37" spans="1:47" ht="12.95" customHeight="1" x14ac:dyDescent="0.3">
      <c r="A37" s="36"/>
      <c r="B37" s="301">
        <f>plan!B20</f>
        <v>20</v>
      </c>
      <c r="C37" s="286" t="str">
        <f>plan!C20</f>
        <v>Retrospectiva</v>
      </c>
      <c r="D37" s="278" cm="1">
        <f t="array" ref="D37">INDEX(plan!$I:$I, $B37)</f>
        <v>10</v>
      </c>
      <c r="E37" s="276" cm="1">
        <f t="array" ref="E37">INDEX(plan!$U:$U, $B37)</f>
        <v>0</v>
      </c>
      <c r="F37" s="74" cm="1">
        <f t="array" ref="F37">IF(AND(F$4&gt;=INDEX(plan!$J:$J, $B37), F$4&lt;=INDEX(plan!$K:$K, $B37)),1,0)</f>
        <v>0</v>
      </c>
      <c r="G37" s="78" cm="1">
        <f t="array" ref="G37">IF(AND(G$4&gt;=INDEX(plan!$J:$J, $B37), G$4&lt;=INDEX(plan!$K:$K, $B37)),1,0)</f>
        <v>0</v>
      </c>
      <c r="H37" s="78" cm="1">
        <f t="array" ref="H37">IF(AND(H$4&gt;=INDEX(plan!$J:$J, $B37), H$4&lt;=INDEX(plan!$K:$K, $B37)),1,0)</f>
        <v>0</v>
      </c>
      <c r="I37" s="78" cm="1">
        <f t="array" ref="I37">IF(AND(I$4&gt;=INDEX(plan!$J:$J, $B37), I$4&lt;=INDEX(plan!$K:$K, $B37)),1,0)</f>
        <v>0</v>
      </c>
      <c r="J37" s="78" cm="1">
        <f t="array" ref="J37">IF(AND(J$4&gt;=INDEX(plan!$J:$J, $B37), J$4&lt;=INDEX(plan!$K:$K, $B37)),1,0)</f>
        <v>0</v>
      </c>
      <c r="K37" s="78" cm="1">
        <f t="array" ref="K37">IF(AND(K$4&gt;=INDEX(plan!$J:$J, $B37), K$4&lt;=INDEX(plan!$K:$K, $B37)),1,0)</f>
        <v>0</v>
      </c>
      <c r="L37" s="79" cm="1">
        <f t="array" ref="L37">IF(AND(L$4&gt;=INDEX(plan!$J:$J, $B37), L$4&lt;=INDEX(plan!$K:$K, $B37)),1,0)</f>
        <v>0</v>
      </c>
      <c r="M37" s="74" cm="1">
        <f t="array" ref="M37">IF(AND(M$4&gt;=INDEX(plan!$J:$J, $B37), M$4&lt;=INDEX(plan!$K:$K, $B37)),1,0)</f>
        <v>0</v>
      </c>
      <c r="N37" s="78" cm="1">
        <f t="array" ref="N37">IF(AND(N$4&gt;=INDEX(plan!$J:$J, $B37), N$4&lt;=INDEX(plan!$K:$K, $B37)),1,0)</f>
        <v>0</v>
      </c>
      <c r="O37" s="78" cm="1">
        <f t="array" ref="O37">IF(AND(O$4&gt;=INDEX(plan!$J:$J, $B37), O$4&lt;=INDEX(plan!$K:$K, $B37)),1,0)</f>
        <v>0</v>
      </c>
      <c r="P37" s="78" cm="1">
        <f t="array" ref="P37">IF(AND(P$4&gt;=INDEX(plan!$J:$J, $B37), P$4&lt;=INDEX(plan!$K:$K, $B37)),1,0)</f>
        <v>0</v>
      </c>
      <c r="Q37" s="78" cm="1">
        <f t="array" ref="Q37">IF(AND(Q$4&gt;=INDEX(plan!$J:$J, $B37), Q$4&lt;=INDEX(plan!$K:$K, $B37)),1,0)</f>
        <v>0</v>
      </c>
      <c r="R37" s="78" cm="1">
        <f t="array" ref="R37">IF(AND(R$4&gt;=INDEX(plan!$J:$J, $B37), R$4&lt;=INDEX(plan!$K:$K, $B37)),1,0)</f>
        <v>0</v>
      </c>
      <c r="S37" s="79" cm="1">
        <f t="array" ref="S37">IF(AND(S$4&gt;=INDEX(plan!$J:$J, $B37), S$4&lt;=INDEX(plan!$K:$K, $B37)),1,0)</f>
        <v>0</v>
      </c>
      <c r="T37" s="74" cm="1">
        <f t="array" ref="T37">IF(AND(T$4&gt;=INDEX(plan!$J:$J, $B37), T$4&lt;=INDEX(plan!$K:$K, $B37)),1,0)</f>
        <v>0</v>
      </c>
      <c r="U37" s="78" cm="1">
        <f t="array" ref="U37">IF(AND(U$4&gt;=INDEX(plan!$J:$J, $B37), U$4&lt;=INDEX(plan!$K:$K, $B37)),1,0)</f>
        <v>0</v>
      </c>
      <c r="V37" s="78" cm="1">
        <f t="array" ref="V37">IF(AND(V$4&gt;=INDEX(plan!$J:$J, $B37), V$4&lt;=INDEX(plan!$K:$K, $B37)),1,0)</f>
        <v>0</v>
      </c>
      <c r="W37" s="78" cm="1">
        <f t="array" ref="W37">IF(AND(W$4&gt;=INDEX(plan!$J:$J, $B37), W$4&lt;=INDEX(plan!$K:$K, $B37)),1,0)</f>
        <v>0</v>
      </c>
      <c r="X37" s="78" cm="1">
        <f t="array" ref="X37">IF(AND(X$4&gt;=INDEX(plan!$J:$J, $B37), X$4&lt;=INDEX(plan!$K:$K, $B37)),1,0)</f>
        <v>0</v>
      </c>
      <c r="Y37" s="78" cm="1">
        <f t="array" ref="Y37">IF(AND(Y$4&gt;=INDEX(plan!$J:$J, $B37), Y$4&lt;=INDEX(plan!$K:$K, $B37)),1,0)</f>
        <v>0</v>
      </c>
      <c r="Z37" s="79" cm="1">
        <f t="array" ref="Z37">IF(AND(Z$4&gt;=INDEX(plan!$J:$J, $B37), Z$4&lt;=INDEX(plan!$K:$K, $B37)),1,0)</f>
        <v>0</v>
      </c>
      <c r="AA37" s="74" cm="1">
        <f t="array" ref="AA37">IF(AND(AA$4&gt;=INDEX(plan!$J:$J, $B37), AA$4&lt;=INDEX(plan!$K:$K, $B37)),1,0)</f>
        <v>0</v>
      </c>
      <c r="AB37" s="78" cm="1">
        <f t="array" ref="AB37">IF(AND(AB$4&gt;=INDEX(plan!$J:$J, $B37), AB$4&lt;=INDEX(plan!$K:$K, $B37)),1,0)</f>
        <v>0</v>
      </c>
      <c r="AC37" s="78" cm="1">
        <f t="array" ref="AC37">IF(AND(AC$4&gt;=INDEX(plan!$J:$J, $B37), AC$4&lt;=INDEX(plan!$K:$K, $B37)),1,0)</f>
        <v>0</v>
      </c>
      <c r="AD37" s="78" cm="1">
        <f t="array" ref="AD37">IF(AND(AD$4&gt;=INDEX(plan!$J:$J, $B37), AD$4&lt;=INDEX(plan!$K:$K, $B37)),1,0)</f>
        <v>0</v>
      </c>
      <c r="AE37" s="78" cm="1">
        <f t="array" ref="AE37">IF(AND(AE$4&gt;=INDEX(plan!$J:$J, $B37), AE$4&lt;=INDEX(plan!$K:$K, $B37)),1,0)</f>
        <v>0</v>
      </c>
      <c r="AF37" s="78" cm="1">
        <f t="array" ref="AF37">IF(AND(AF$4&gt;=INDEX(plan!$J:$J, $B37), AF$4&lt;=INDEX(plan!$K:$K, $B37)),1,0)</f>
        <v>0</v>
      </c>
      <c r="AG37" s="79" cm="1">
        <f t="array" ref="AG37">IF(AND(AG$4&gt;=INDEX(plan!$J:$J, $B37), AG$4&lt;=INDEX(plan!$K:$K, $B37)),1,0)</f>
        <v>0</v>
      </c>
      <c r="AH37" s="74" cm="1">
        <f t="array" ref="AH37">IF(AND(AH$4&gt;=INDEX(plan!$J:$J, $B37), AH$4&lt;=INDEX(plan!$K:$K, $B37)),1,0)</f>
        <v>0</v>
      </c>
      <c r="AI37" s="78" cm="1">
        <f t="array" ref="AI37">IF(AND(AI$4&gt;=INDEX(plan!$J:$J, $B37), AI$4&lt;=INDEX(plan!$K:$K, $B37)),1,0)</f>
        <v>0</v>
      </c>
      <c r="AJ37" s="78" cm="1">
        <f t="array" ref="AJ37">IF(AND(AJ$4&gt;=INDEX(plan!$J:$J, $B37), AJ$4&lt;=INDEX(plan!$K:$K, $B37)),1,0)</f>
        <v>0</v>
      </c>
      <c r="AK37" s="78" cm="1">
        <f t="array" ref="AK37">IF(AND(AK$4&gt;=INDEX(plan!$J:$J, $B37), AK$4&lt;=INDEX(plan!$K:$K, $B37)),1,0)</f>
        <v>0</v>
      </c>
      <c r="AL37" s="78" cm="1">
        <f t="array" ref="AL37">IF(AND(AL$4&gt;=INDEX(plan!$J:$J, $B37), AL$4&lt;=INDEX(plan!$K:$K, $B37)),1,0)</f>
        <v>0</v>
      </c>
      <c r="AM37" s="78" cm="1">
        <f t="array" ref="AM37">IF(AND(AM$4&gt;=INDEX(plan!$J:$J, $B37), AM$4&lt;=INDEX(plan!$K:$K, $B37)),1,0)</f>
        <v>0</v>
      </c>
      <c r="AN37" s="79" cm="1">
        <f t="array" ref="AN37">IF(AND(AN$4&gt;=INDEX(plan!$J:$J, $B37), AN$4&lt;=INDEX(plan!$K:$K, $B37)),1,0)</f>
        <v>0</v>
      </c>
      <c r="AO37" s="74" cm="1">
        <f t="array" ref="AO37">IF(AND(AO$4&gt;=INDEX(plan!$J:$J, $B37), AO$4&lt;=INDEX(plan!$K:$K, $B37)),1,0)</f>
        <v>0</v>
      </c>
      <c r="AP37" s="78" cm="1">
        <f t="array" ref="AP37">IF(AND(AP$4&gt;=INDEX(plan!$J:$J, $B37), AP$4&lt;=INDEX(plan!$K:$K, $B37)),1,0)</f>
        <v>0</v>
      </c>
      <c r="AQ37" s="78" cm="1">
        <f t="array" ref="AQ37">IF(AND(AQ$4&gt;=INDEX(plan!$J:$J, $B37), AQ$4&lt;=INDEX(plan!$K:$K, $B37)),1,0)</f>
        <v>0</v>
      </c>
      <c r="AR37" s="78" cm="1">
        <f t="array" ref="AR37">IF(AND(AR$4&gt;=INDEX(plan!$J:$J, $B37), AR$4&lt;=INDEX(plan!$K:$K, $B37)),1,0)</f>
        <v>0</v>
      </c>
      <c r="AS37" s="78" cm="1">
        <f t="array" ref="AS37">IF(AND(AS$4&gt;=INDEX(plan!$J:$J, $B37), AS$4&lt;=INDEX(plan!$K:$K, $B37)),1,0)</f>
        <v>1</v>
      </c>
      <c r="AT37" s="78" cm="1">
        <f t="array" ref="AT37">IF(AND(AT$4&gt;=INDEX(plan!$J:$J, $B37), AT$4&lt;=INDEX(plan!$K:$K, $B37)),1,0)</f>
        <v>0</v>
      </c>
      <c r="AU37" s="79" cm="1">
        <f t="array" ref="AU37">IF(AND(AU$4&gt;=INDEX(plan!$J:$J, $B37), AU$4&lt;=INDEX(plan!$K:$K, $B37)),1,0)</f>
        <v>0</v>
      </c>
    </row>
    <row r="38" spans="1:47" ht="12.95" customHeight="1" x14ac:dyDescent="0.3">
      <c r="A38" s="36"/>
      <c r="B38" s="300"/>
      <c r="C38" s="287"/>
      <c r="D38" s="279"/>
      <c r="E38" s="277"/>
      <c r="F38" s="75" cm="1">
        <f t="array" ref="F38">_xlfn.LET(
  _xlpm.act,   cronograma!$C37,
  _xlpm.fecha, cronograma!F$4,
  _xlpm.ini,   INDEX(plan!$J:$J, $B37),
  _xlpm.fin,   INDEX(plan!$K:$K, $B37),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38" s="76" cm="1">
        <f t="array" ref="G38">_xlfn.LET(
  _xlpm.act,   cronograma!$C37,
  _xlpm.fecha, cronograma!G$4,
  _xlpm.ini,   INDEX(plan!$J:$J, $B37),
  _xlpm.fin,   INDEX(plan!$K:$K, $B37),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38" s="76" cm="1">
        <f t="array" ref="H38">_xlfn.LET(
  _xlpm.act,   cronograma!$C37,
  _xlpm.fecha, cronograma!H$4,
  _xlpm.ini,   INDEX(plan!$J:$J, $B37),
  _xlpm.fin,   INDEX(plan!$K:$K, $B37),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38" s="76" cm="1">
        <f t="array" ref="I38">_xlfn.LET(
  _xlpm.act,   cronograma!$C37,
  _xlpm.fecha, cronograma!I$4,
  _xlpm.ini,   INDEX(plan!$J:$J, $B37),
  _xlpm.fin,   INDEX(plan!$K:$K, $B37),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38" s="76" cm="1">
        <f t="array" ref="J38">_xlfn.LET(
  _xlpm.act,   cronograma!$C37,
  _xlpm.fecha, cronograma!J$4,
  _xlpm.ini,   INDEX(plan!$J:$J, $B37),
  _xlpm.fin,   INDEX(plan!$K:$K, $B37),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38" s="76" cm="1">
        <f t="array" ref="K38">_xlfn.LET(
  _xlpm.act,   cronograma!$C37,
  _xlpm.fecha, cronograma!K$4,
  _xlpm.ini,   INDEX(plan!$J:$J, $B37),
  _xlpm.fin,   INDEX(plan!$K:$K, $B37),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38" s="77" cm="1">
        <f t="array" ref="L38">_xlfn.LET(
  _xlpm.act,   cronograma!$C37,
  _xlpm.fecha, cronograma!L$4,
  _xlpm.ini,   INDEX(plan!$J:$J, $B37),
  _xlpm.fin,   INDEX(plan!$K:$K, $B37),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38" s="75" cm="1">
        <f t="array" ref="M38">_xlfn.LET(
  _xlpm.act,   cronograma!$C37,
  _xlpm.fecha, cronograma!M$4,
  _xlpm.ini,   INDEX(plan!$J:$J, $B37),
  _xlpm.fin,   INDEX(plan!$K:$K, $B37),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38" s="76" cm="1">
        <f t="array" ref="N38">_xlfn.LET(
  _xlpm.act,   cronograma!$C37,
  _xlpm.fecha, cronograma!N$4,
  _xlpm.ini,   INDEX(plan!$J:$J, $B37),
  _xlpm.fin,   INDEX(plan!$K:$K, $B37),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38" s="76" cm="1">
        <f t="array" ref="O38">_xlfn.LET(
  _xlpm.act,   cronograma!$C37,
  _xlpm.fecha, cronograma!O$4,
  _xlpm.ini,   INDEX(plan!$J:$J, $B37),
  _xlpm.fin,   INDEX(plan!$K:$K, $B37),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38" s="76" cm="1">
        <f t="array" ref="P38">_xlfn.LET(
  _xlpm.act,   cronograma!$C37,
  _xlpm.fecha, cronograma!P$4,
  _xlpm.ini,   INDEX(plan!$J:$J, $B37),
  _xlpm.fin,   INDEX(plan!$K:$K, $B37),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38" s="76" cm="1">
        <f t="array" ref="Q38">_xlfn.LET(
  _xlpm.act,   cronograma!$C37,
  _xlpm.fecha, cronograma!Q$4,
  _xlpm.ini,   INDEX(plan!$J:$J, $B37),
  _xlpm.fin,   INDEX(plan!$K:$K, $B37),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38" s="76" cm="1">
        <f t="array" ref="R38">_xlfn.LET(
  _xlpm.act,   cronograma!$C37,
  _xlpm.fecha, cronograma!R$4,
  _xlpm.ini,   INDEX(plan!$J:$J, $B37),
  _xlpm.fin,   INDEX(plan!$K:$K, $B37),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38" s="77" cm="1">
        <f t="array" ref="S38">_xlfn.LET(
  _xlpm.act,   cronograma!$C37,
  _xlpm.fecha, cronograma!S$4,
  _xlpm.ini,   INDEX(plan!$J:$J, $B37),
  _xlpm.fin,   INDEX(plan!$K:$K, $B37),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38" s="75" cm="1">
        <f t="array" ref="T38">_xlfn.LET(
  _xlpm.act,   cronograma!$C37,
  _xlpm.fecha, cronograma!T$4,
  _xlpm.ini,   INDEX(plan!$J:$J, $B37),
  _xlpm.fin,   INDEX(plan!$K:$K, $B37),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38" s="76" cm="1">
        <f t="array" ref="U38">_xlfn.LET(
  _xlpm.act,   cronograma!$C37,
  _xlpm.fecha, cronograma!U$4,
  _xlpm.ini,   INDEX(plan!$J:$J, $B37),
  _xlpm.fin,   INDEX(plan!$K:$K, $B37),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38" s="76" cm="1">
        <f t="array" ref="V38">_xlfn.LET(
  _xlpm.act,   cronograma!$C37,
  _xlpm.fecha, cronograma!V$4,
  _xlpm.ini,   INDEX(plan!$J:$J, $B37),
  _xlpm.fin,   INDEX(plan!$K:$K, $B37),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38" s="76" cm="1">
        <f t="array" ref="W38">_xlfn.LET(
  _xlpm.act,   cronograma!$C37,
  _xlpm.fecha, cronograma!W$4,
  _xlpm.ini,   INDEX(plan!$J:$J, $B37),
  _xlpm.fin,   INDEX(plan!$K:$K, $B37),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38" s="76" cm="1">
        <f t="array" ref="X38">_xlfn.LET(
  _xlpm.act,   cronograma!$C37,
  _xlpm.fecha, cronograma!X$4,
  _xlpm.ini,   INDEX(plan!$J:$J, $B37),
  _xlpm.fin,   INDEX(plan!$K:$K, $B37),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38" s="76" cm="1">
        <f t="array" ref="Y38">_xlfn.LET(
  _xlpm.act,   cronograma!$C37,
  _xlpm.fecha, cronograma!Y$4,
  _xlpm.ini,   INDEX(plan!$J:$J, $B37),
  _xlpm.fin,   INDEX(plan!$K:$K, $B37),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38" s="77" cm="1">
        <f t="array" ref="Z38">_xlfn.LET(
  _xlpm.act,   cronograma!$C37,
  _xlpm.fecha, cronograma!Z$4,
  _xlpm.ini,   INDEX(plan!$J:$J, $B37),
  _xlpm.fin,   INDEX(plan!$K:$K, $B37),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38" s="75" cm="1">
        <f t="array" ref="AA38">_xlfn.LET(
  _xlpm.act,   cronograma!$C37,
  _xlpm.fecha, cronograma!AA$4,
  _xlpm.ini,   INDEX(plan!$J:$J, $B37),
  _xlpm.fin,   INDEX(plan!$K:$K, $B37),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38" s="76" cm="1">
        <f t="array" ref="AB38">_xlfn.LET(
  _xlpm.act,   cronograma!$C37,
  _xlpm.fecha, cronograma!AB$4,
  _xlpm.ini,   INDEX(plan!$J:$J, $B37),
  _xlpm.fin,   INDEX(plan!$K:$K, $B37),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38" s="76" cm="1">
        <f t="array" ref="AC38">_xlfn.LET(
  _xlpm.act,   cronograma!$C37,
  _xlpm.fecha, cronograma!AC$4,
  _xlpm.ini,   INDEX(plan!$J:$J, $B37),
  _xlpm.fin,   INDEX(plan!$K:$K, $B37),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38" s="76" cm="1">
        <f t="array" ref="AD38">_xlfn.LET(
  _xlpm.act,   cronograma!$C37,
  _xlpm.fecha, cronograma!AD$4,
  _xlpm.ini,   INDEX(plan!$J:$J, $B37),
  _xlpm.fin,   INDEX(plan!$K:$K, $B37),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38" s="76" cm="1">
        <f t="array" ref="AE38">_xlfn.LET(
  _xlpm.act,   cronograma!$C37,
  _xlpm.fecha, cronograma!AE$4,
  _xlpm.ini,   INDEX(plan!$J:$J, $B37),
  _xlpm.fin,   INDEX(plan!$K:$K, $B37),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38" s="76" cm="1">
        <f t="array" ref="AF38">_xlfn.LET(
  _xlpm.act,   cronograma!$C37,
  _xlpm.fecha, cronograma!AF$4,
  _xlpm.ini,   INDEX(plan!$J:$J, $B37),
  _xlpm.fin,   INDEX(plan!$K:$K, $B37),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38" s="77" cm="1">
        <f t="array" ref="AG38">_xlfn.LET(
  _xlpm.act,   cronograma!$C37,
  _xlpm.fecha, cronograma!AG$4,
  _xlpm.ini,   INDEX(plan!$J:$J, $B37),
  _xlpm.fin,   INDEX(plan!$K:$K, $B37),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38" s="75" cm="1">
        <f t="array" ref="AH38">_xlfn.LET(
  _xlpm.act,   cronograma!$C37,
  _xlpm.fecha, cronograma!AH$4,
  _xlpm.ini,   INDEX(plan!$J:$J, $B37),
  _xlpm.fin,   INDEX(plan!$K:$K, $B37),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38" s="76" cm="1">
        <f t="array" ref="AI38">_xlfn.LET(
  _xlpm.act,   cronograma!$C37,
  _xlpm.fecha, cronograma!AI$4,
  _xlpm.ini,   INDEX(plan!$J:$J, $B37),
  _xlpm.fin,   INDEX(plan!$K:$K, $B37),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38" s="76" cm="1">
        <f t="array" ref="AJ38">_xlfn.LET(
  _xlpm.act,   cronograma!$C37,
  _xlpm.fecha, cronograma!AJ$4,
  _xlpm.ini,   INDEX(plan!$J:$J, $B37),
  _xlpm.fin,   INDEX(plan!$K:$K, $B37),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38" s="76" cm="1">
        <f t="array" ref="AK38">_xlfn.LET(
  _xlpm.act,   cronograma!$C37,
  _xlpm.fecha, cronograma!AK$4,
  _xlpm.ini,   INDEX(plan!$J:$J, $B37),
  _xlpm.fin,   INDEX(plan!$K:$K, $B37),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38" s="76" cm="1">
        <f t="array" ref="AL38">_xlfn.LET(
  _xlpm.act,   cronograma!$C37,
  _xlpm.fecha, cronograma!AL$4,
  _xlpm.ini,   INDEX(plan!$J:$J, $B37),
  _xlpm.fin,   INDEX(plan!$K:$K, $B37),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38" s="76" cm="1">
        <f t="array" ref="AM38">_xlfn.LET(
  _xlpm.act,   cronograma!$C37,
  _xlpm.fecha, cronograma!AM$4,
  _xlpm.ini,   INDEX(plan!$J:$J, $B37),
  _xlpm.fin,   INDEX(plan!$K:$K, $B37),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38" s="77" cm="1">
        <f t="array" ref="AN38">_xlfn.LET(
  _xlpm.act,   cronograma!$C37,
  _xlpm.fecha, cronograma!AN$4,
  _xlpm.ini,   INDEX(plan!$J:$J, $B37),
  _xlpm.fin,   INDEX(plan!$K:$K, $B37),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O38" s="75" cm="1">
        <f t="array" ref="AO38">_xlfn.LET(
  _xlpm.act,   cronograma!$C37,
  _xlpm.fecha, cronograma!AO$4,
  _xlpm.ini,   INDEX(plan!$J:$J, $B37),
  _xlpm.fin,   INDEX(plan!$K:$K, $B37),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P38" s="76" cm="1">
        <f t="array" ref="AP38">_xlfn.LET(
  _xlpm.act,   cronograma!$C37,
  _xlpm.fecha, cronograma!AP$4,
  _xlpm.ini,   INDEX(plan!$J:$J, $B37),
  _xlpm.fin,   INDEX(plan!$K:$K, $B37),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Q38" s="76" cm="1">
        <f t="array" ref="AQ38">_xlfn.LET(
  _xlpm.act,   cronograma!$C37,
  _xlpm.fecha, cronograma!AQ$4,
  _xlpm.ini,   INDEX(plan!$J:$J, $B37),
  _xlpm.fin,   INDEX(plan!$K:$K, $B37),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R38" s="76" cm="1">
        <f t="array" ref="AR38">_xlfn.LET(
  _xlpm.act,   cronograma!$C37,
  _xlpm.fecha, cronograma!AR$4,
  _xlpm.ini,   INDEX(plan!$J:$J, $B37),
  _xlpm.fin,   INDEX(plan!$K:$K, $B37),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S38" s="76" cm="1">
        <f t="array" ref="AS38">_xlfn.LET(
  _xlpm.act,   cronograma!$C37,
  _xlpm.fecha, cronograma!AS$4,
  _xlpm.ini,   INDEX(plan!$J:$J, $B37),
  _xlpm.fin,   INDEX(plan!$K:$K, $B37),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T38" s="76" cm="1">
        <f t="array" ref="AT38">_xlfn.LET(
  _xlpm.act,   cronograma!$C37,
  _xlpm.fecha, cronograma!AT$4,
  _xlpm.ini,   INDEX(plan!$J:$J, $B37),
  _xlpm.fin,   INDEX(plan!$K:$K, $B37),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U38" s="77" cm="1">
        <f t="array" ref="AU38">_xlfn.LET(
  _xlpm.act,   cronograma!$C37,
  _xlpm.fecha, cronograma!AU$4,
  _xlpm.ini,   INDEX(plan!$J:$J, $B37),
  _xlpm.fin,   INDEX(plan!$K:$K, $B37),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</row>
    <row r="39" spans="1:47" ht="12.95" customHeight="1" x14ac:dyDescent="0.3">
      <c r="A39" s="36"/>
      <c r="B39" s="301">
        <f>plan!B21</f>
        <v>21</v>
      </c>
      <c r="C39" s="286" t="str">
        <f>plan!C21</f>
        <v>Evaluación de la actividad del equipo</v>
      </c>
      <c r="D39" s="278" cm="1">
        <f t="array" ref="D39">INDEX(plan!$I:$I, $B39)</f>
        <v>5</v>
      </c>
      <c r="E39" s="276" cm="1">
        <f t="array" ref="E39">INDEX(plan!$U:$U, $B39)</f>
        <v>0</v>
      </c>
      <c r="F39" s="74" cm="1">
        <f t="array" ref="F39">IF(AND(F$4&gt;=INDEX(plan!$J:$J, $B39), F$4&lt;=INDEX(plan!$K:$K, $B39)),1,0)</f>
        <v>0</v>
      </c>
      <c r="G39" s="78" cm="1">
        <f t="array" ref="G39">IF(AND(G$4&gt;=INDEX(plan!$J:$J, $B39), G$4&lt;=INDEX(plan!$K:$K, $B39)),1,0)</f>
        <v>0</v>
      </c>
      <c r="H39" s="78" cm="1">
        <f t="array" ref="H39">IF(AND(H$4&gt;=INDEX(plan!$J:$J, $B39), H$4&lt;=INDEX(plan!$K:$K, $B39)),1,0)</f>
        <v>0</v>
      </c>
      <c r="I39" s="78" cm="1">
        <f t="array" ref="I39">IF(AND(I$4&gt;=INDEX(plan!$J:$J, $B39), I$4&lt;=INDEX(plan!$K:$K, $B39)),1,0)</f>
        <v>0</v>
      </c>
      <c r="J39" s="78" cm="1">
        <f t="array" ref="J39">IF(AND(J$4&gt;=INDEX(plan!$J:$J, $B39), J$4&lt;=INDEX(plan!$K:$K, $B39)),1,0)</f>
        <v>0</v>
      </c>
      <c r="K39" s="78" cm="1">
        <f t="array" ref="K39">IF(AND(K$4&gt;=INDEX(plan!$J:$J, $B39), K$4&lt;=INDEX(plan!$K:$K, $B39)),1,0)</f>
        <v>0</v>
      </c>
      <c r="L39" s="79" cm="1">
        <f t="array" ref="L39">IF(AND(L$4&gt;=INDEX(plan!$J:$J, $B39), L$4&lt;=INDEX(plan!$K:$K, $B39)),1,0)</f>
        <v>0</v>
      </c>
      <c r="M39" s="74" cm="1">
        <f t="array" ref="M39">IF(AND(M$4&gt;=INDEX(plan!$J:$J, $B39), M$4&lt;=INDEX(plan!$K:$K, $B39)),1,0)</f>
        <v>0</v>
      </c>
      <c r="N39" s="78" cm="1">
        <f t="array" ref="N39">IF(AND(N$4&gt;=INDEX(plan!$J:$J, $B39), N$4&lt;=INDEX(plan!$K:$K, $B39)),1,0)</f>
        <v>0</v>
      </c>
      <c r="O39" s="78" cm="1">
        <f t="array" ref="O39">IF(AND(O$4&gt;=INDEX(plan!$J:$J, $B39), O$4&lt;=INDEX(plan!$K:$K, $B39)),1,0)</f>
        <v>0</v>
      </c>
      <c r="P39" s="78" cm="1">
        <f t="array" ref="P39">IF(AND(P$4&gt;=INDEX(plan!$J:$J, $B39), P$4&lt;=INDEX(plan!$K:$K, $B39)),1,0)</f>
        <v>0</v>
      </c>
      <c r="Q39" s="78" cm="1">
        <f t="array" ref="Q39">IF(AND(Q$4&gt;=INDEX(plan!$J:$J, $B39), Q$4&lt;=INDEX(plan!$K:$K, $B39)),1,0)</f>
        <v>0</v>
      </c>
      <c r="R39" s="78" cm="1">
        <f t="array" ref="R39">IF(AND(R$4&gt;=INDEX(plan!$J:$J, $B39), R$4&lt;=INDEX(plan!$K:$K, $B39)),1,0)</f>
        <v>0</v>
      </c>
      <c r="S39" s="79" cm="1">
        <f t="array" ref="S39">IF(AND(S$4&gt;=INDEX(plan!$J:$J, $B39), S$4&lt;=INDEX(plan!$K:$K, $B39)),1,0)</f>
        <v>0</v>
      </c>
      <c r="T39" s="74" cm="1">
        <f t="array" ref="T39">IF(AND(T$4&gt;=INDEX(plan!$J:$J, $B39), T$4&lt;=INDEX(plan!$K:$K, $B39)),1,0)</f>
        <v>0</v>
      </c>
      <c r="U39" s="78" cm="1">
        <f t="array" ref="U39">IF(AND(U$4&gt;=INDEX(plan!$J:$J, $B39), U$4&lt;=INDEX(plan!$K:$K, $B39)),1,0)</f>
        <v>0</v>
      </c>
      <c r="V39" s="78" cm="1">
        <f t="array" ref="V39">IF(AND(V$4&gt;=INDEX(plan!$J:$J, $B39), V$4&lt;=INDEX(plan!$K:$K, $B39)),1,0)</f>
        <v>0</v>
      </c>
      <c r="W39" s="78" cm="1">
        <f t="array" ref="W39">IF(AND(W$4&gt;=INDEX(plan!$J:$J, $B39), W$4&lt;=INDEX(plan!$K:$K, $B39)),1,0)</f>
        <v>0</v>
      </c>
      <c r="X39" s="78" cm="1">
        <f t="array" ref="X39">IF(AND(X$4&gt;=INDEX(plan!$J:$J, $B39), X$4&lt;=INDEX(plan!$K:$K, $B39)),1,0)</f>
        <v>0</v>
      </c>
      <c r="Y39" s="78" cm="1">
        <f t="array" ref="Y39">IF(AND(Y$4&gt;=INDEX(plan!$J:$J, $B39), Y$4&lt;=INDEX(plan!$K:$K, $B39)),1,0)</f>
        <v>0</v>
      </c>
      <c r="Z39" s="79" cm="1">
        <f t="array" ref="Z39">IF(AND(Z$4&gt;=INDEX(plan!$J:$J, $B39), Z$4&lt;=INDEX(plan!$K:$K, $B39)),1,0)</f>
        <v>0</v>
      </c>
      <c r="AA39" s="74" cm="1">
        <f t="array" ref="AA39">IF(AND(AA$4&gt;=INDEX(plan!$J:$J, $B39), AA$4&lt;=INDEX(plan!$K:$K, $B39)),1,0)</f>
        <v>0</v>
      </c>
      <c r="AB39" s="78" cm="1">
        <f t="array" ref="AB39">IF(AND(AB$4&gt;=INDEX(plan!$J:$J, $B39), AB$4&lt;=INDEX(plan!$K:$K, $B39)),1,0)</f>
        <v>0</v>
      </c>
      <c r="AC39" s="78" cm="1">
        <f t="array" ref="AC39">IF(AND(AC$4&gt;=INDEX(plan!$J:$J, $B39), AC$4&lt;=INDEX(plan!$K:$K, $B39)),1,0)</f>
        <v>0</v>
      </c>
      <c r="AD39" s="78" cm="1">
        <f t="array" ref="AD39">IF(AND(AD$4&gt;=INDEX(plan!$J:$J, $B39), AD$4&lt;=INDEX(plan!$K:$K, $B39)),1,0)</f>
        <v>0</v>
      </c>
      <c r="AE39" s="78" cm="1">
        <f t="array" ref="AE39">IF(AND(AE$4&gt;=INDEX(plan!$J:$J, $B39), AE$4&lt;=INDEX(plan!$K:$K, $B39)),1,0)</f>
        <v>0</v>
      </c>
      <c r="AF39" s="78" cm="1">
        <f t="array" ref="AF39">IF(AND(AF$4&gt;=INDEX(plan!$J:$J, $B39), AF$4&lt;=INDEX(plan!$K:$K, $B39)),1,0)</f>
        <v>0</v>
      </c>
      <c r="AG39" s="79" cm="1">
        <f t="array" ref="AG39">IF(AND(AG$4&gt;=INDEX(plan!$J:$J, $B39), AG$4&lt;=INDEX(plan!$K:$K, $B39)),1,0)</f>
        <v>0</v>
      </c>
      <c r="AH39" s="74" cm="1">
        <f t="array" ref="AH39">IF(AND(AH$4&gt;=INDEX(plan!$J:$J, $B39), AH$4&lt;=INDEX(plan!$K:$K, $B39)),1,0)</f>
        <v>0</v>
      </c>
      <c r="AI39" s="78" cm="1">
        <f t="array" ref="AI39">IF(AND(AI$4&gt;=INDEX(plan!$J:$J, $B39), AI$4&lt;=INDEX(plan!$K:$K, $B39)),1,0)</f>
        <v>0</v>
      </c>
      <c r="AJ39" s="78" cm="1">
        <f t="array" ref="AJ39">IF(AND(AJ$4&gt;=INDEX(plan!$J:$J, $B39), AJ$4&lt;=INDEX(plan!$K:$K, $B39)),1,0)</f>
        <v>0</v>
      </c>
      <c r="AK39" s="78" cm="1">
        <f t="array" ref="AK39">IF(AND(AK$4&gt;=INDEX(plan!$J:$J, $B39), AK$4&lt;=INDEX(plan!$K:$K, $B39)),1,0)</f>
        <v>0</v>
      </c>
      <c r="AL39" s="78" cm="1">
        <f t="array" ref="AL39">IF(AND(AL$4&gt;=INDEX(plan!$J:$J, $B39), AL$4&lt;=INDEX(plan!$K:$K, $B39)),1,0)</f>
        <v>0</v>
      </c>
      <c r="AM39" s="78" cm="1">
        <f t="array" ref="AM39">IF(AND(AM$4&gt;=INDEX(plan!$J:$J, $B39), AM$4&lt;=INDEX(plan!$K:$K, $B39)),1,0)</f>
        <v>0</v>
      </c>
      <c r="AN39" s="79" cm="1">
        <f t="array" ref="AN39">IF(AND(AN$4&gt;=INDEX(plan!$J:$J, $B39), AN$4&lt;=INDEX(plan!$K:$K, $B39)),1,0)</f>
        <v>0</v>
      </c>
      <c r="AO39" s="74" cm="1">
        <f t="array" ref="AO39">IF(AND(AO$4&gt;=INDEX(plan!$J:$J, $B39), AO$4&lt;=INDEX(plan!$K:$K, $B39)),1,0)</f>
        <v>0</v>
      </c>
      <c r="AP39" s="78" cm="1">
        <f t="array" ref="AP39">IF(AND(AP$4&gt;=INDEX(plan!$J:$J, $B39), AP$4&lt;=INDEX(plan!$K:$K, $B39)),1,0)</f>
        <v>0</v>
      </c>
      <c r="AQ39" s="78" cm="1">
        <f t="array" ref="AQ39">IF(AND(AQ$4&gt;=INDEX(plan!$J:$J, $B39), AQ$4&lt;=INDEX(plan!$K:$K, $B39)),1,0)</f>
        <v>0</v>
      </c>
      <c r="AR39" s="78" cm="1">
        <f t="array" ref="AR39">IF(AND(AR$4&gt;=INDEX(plan!$J:$J, $B39), AR$4&lt;=INDEX(plan!$K:$K, $B39)),1,0)</f>
        <v>0</v>
      </c>
      <c r="AS39" s="78" cm="1">
        <f t="array" ref="AS39">IF(AND(AS$4&gt;=INDEX(plan!$J:$J, $B39), AS$4&lt;=INDEX(plan!$K:$K, $B39)),1,0)</f>
        <v>1</v>
      </c>
      <c r="AT39" s="78" cm="1">
        <f t="array" ref="AT39">IF(AND(AT$4&gt;=INDEX(plan!$J:$J, $B39), AT$4&lt;=INDEX(plan!$K:$K, $B39)),1,0)</f>
        <v>0</v>
      </c>
      <c r="AU39" s="79" cm="1">
        <f t="array" ref="AU39">IF(AND(AU$4&gt;=INDEX(plan!$J:$J, $B39), AU$4&lt;=INDEX(plan!$K:$K, $B39)),1,0)</f>
        <v>0</v>
      </c>
    </row>
    <row r="40" spans="1:47" ht="12.95" customHeight="1" x14ac:dyDescent="0.3">
      <c r="A40" s="36"/>
      <c r="B40" s="300"/>
      <c r="C40" s="287"/>
      <c r="D40" s="279"/>
      <c r="E40" s="277"/>
      <c r="F40" s="75" cm="1">
        <f t="array" ref="F40">_xlfn.LET(
  _xlpm.act,   cronograma!$C39,
  _xlpm.fecha, cronograma!F$4,
  _xlpm.ini,   INDEX(plan!$J:$J, $B39),
  _xlpm.fin,   INDEX(plan!$K:$K, $B39),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40" s="76" cm="1">
        <f t="array" ref="G40">_xlfn.LET(
  _xlpm.act,   cronograma!$C39,
  _xlpm.fecha, cronograma!G$4,
  _xlpm.ini,   INDEX(plan!$J:$J, $B39),
  _xlpm.fin,   INDEX(plan!$K:$K, $B39),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40" s="76" cm="1">
        <f t="array" ref="H40">_xlfn.LET(
  _xlpm.act,   cronograma!$C39,
  _xlpm.fecha, cronograma!H$4,
  _xlpm.ini,   INDEX(plan!$J:$J, $B39),
  _xlpm.fin,   INDEX(plan!$K:$K, $B39),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40" s="76" cm="1">
        <f t="array" ref="I40">_xlfn.LET(
  _xlpm.act,   cronograma!$C39,
  _xlpm.fecha, cronograma!I$4,
  _xlpm.ini,   INDEX(plan!$J:$J, $B39),
  _xlpm.fin,   INDEX(plan!$K:$K, $B39),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40" s="76" cm="1">
        <f t="array" ref="J40">_xlfn.LET(
  _xlpm.act,   cronograma!$C39,
  _xlpm.fecha, cronograma!J$4,
  _xlpm.ini,   INDEX(plan!$J:$J, $B39),
  _xlpm.fin,   INDEX(plan!$K:$K, $B39),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40" s="76" cm="1">
        <f t="array" ref="K40">_xlfn.LET(
  _xlpm.act,   cronograma!$C39,
  _xlpm.fecha, cronograma!K$4,
  _xlpm.ini,   INDEX(plan!$J:$J, $B39),
  _xlpm.fin,   INDEX(plan!$K:$K, $B39),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40" s="77" cm="1">
        <f t="array" ref="L40">_xlfn.LET(
  _xlpm.act,   cronograma!$C39,
  _xlpm.fecha, cronograma!L$4,
  _xlpm.ini,   INDEX(plan!$J:$J, $B39),
  _xlpm.fin,   INDEX(plan!$K:$K, $B39),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40" s="75" cm="1">
        <f t="array" ref="M40">_xlfn.LET(
  _xlpm.act,   cronograma!$C39,
  _xlpm.fecha, cronograma!M$4,
  _xlpm.ini,   INDEX(plan!$J:$J, $B39),
  _xlpm.fin,   INDEX(plan!$K:$K, $B39),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40" s="76" cm="1">
        <f t="array" ref="N40">_xlfn.LET(
  _xlpm.act,   cronograma!$C39,
  _xlpm.fecha, cronograma!N$4,
  _xlpm.ini,   INDEX(plan!$J:$J, $B39),
  _xlpm.fin,   INDEX(plan!$K:$K, $B39),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40" s="76" cm="1">
        <f t="array" ref="O40">_xlfn.LET(
  _xlpm.act,   cronograma!$C39,
  _xlpm.fecha, cronograma!O$4,
  _xlpm.ini,   INDEX(plan!$J:$J, $B39),
  _xlpm.fin,   INDEX(plan!$K:$K, $B39),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40" s="76" cm="1">
        <f t="array" ref="P40">_xlfn.LET(
  _xlpm.act,   cronograma!$C39,
  _xlpm.fecha, cronograma!P$4,
  _xlpm.ini,   INDEX(plan!$J:$J, $B39),
  _xlpm.fin,   INDEX(plan!$K:$K, $B39),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40" s="76" cm="1">
        <f t="array" ref="Q40">_xlfn.LET(
  _xlpm.act,   cronograma!$C39,
  _xlpm.fecha, cronograma!Q$4,
  _xlpm.ini,   INDEX(plan!$J:$J, $B39),
  _xlpm.fin,   INDEX(plan!$K:$K, $B39),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40" s="76" cm="1">
        <f t="array" ref="R40">_xlfn.LET(
  _xlpm.act,   cronograma!$C39,
  _xlpm.fecha, cronograma!R$4,
  _xlpm.ini,   INDEX(plan!$J:$J, $B39),
  _xlpm.fin,   INDEX(plan!$K:$K, $B39),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40" s="77" cm="1">
        <f t="array" ref="S40">_xlfn.LET(
  _xlpm.act,   cronograma!$C39,
  _xlpm.fecha, cronograma!S$4,
  _xlpm.ini,   INDEX(plan!$J:$J, $B39),
  _xlpm.fin,   INDEX(plan!$K:$K, $B39),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40" s="75" cm="1">
        <f t="array" ref="T40">_xlfn.LET(
  _xlpm.act,   cronograma!$C39,
  _xlpm.fecha, cronograma!T$4,
  _xlpm.ini,   INDEX(plan!$J:$J, $B39),
  _xlpm.fin,   INDEX(plan!$K:$K, $B39),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40" s="76" cm="1">
        <f t="array" ref="U40">_xlfn.LET(
  _xlpm.act,   cronograma!$C39,
  _xlpm.fecha, cronograma!U$4,
  _xlpm.ini,   INDEX(plan!$J:$J, $B39),
  _xlpm.fin,   INDEX(plan!$K:$K, $B39),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40" s="76" cm="1">
        <f t="array" ref="V40">_xlfn.LET(
  _xlpm.act,   cronograma!$C39,
  _xlpm.fecha, cronograma!V$4,
  _xlpm.ini,   INDEX(plan!$J:$J, $B39),
  _xlpm.fin,   INDEX(plan!$K:$K, $B39),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40" s="76" cm="1">
        <f t="array" ref="W40">_xlfn.LET(
  _xlpm.act,   cronograma!$C39,
  _xlpm.fecha, cronograma!W$4,
  _xlpm.ini,   INDEX(plan!$J:$J, $B39),
  _xlpm.fin,   INDEX(plan!$K:$K, $B39),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40" s="76" cm="1">
        <f t="array" ref="X40">_xlfn.LET(
  _xlpm.act,   cronograma!$C39,
  _xlpm.fecha, cronograma!X$4,
  _xlpm.ini,   INDEX(plan!$J:$J, $B39),
  _xlpm.fin,   INDEX(plan!$K:$K, $B39),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40" s="76" cm="1">
        <f t="array" ref="Y40">_xlfn.LET(
  _xlpm.act,   cronograma!$C39,
  _xlpm.fecha, cronograma!Y$4,
  _xlpm.ini,   INDEX(plan!$J:$J, $B39),
  _xlpm.fin,   INDEX(plan!$K:$K, $B39),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40" s="77" cm="1">
        <f t="array" ref="Z40">_xlfn.LET(
  _xlpm.act,   cronograma!$C39,
  _xlpm.fecha, cronograma!Z$4,
  _xlpm.ini,   INDEX(plan!$J:$J, $B39),
  _xlpm.fin,   INDEX(plan!$K:$K, $B39),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40" s="75" cm="1">
        <f t="array" ref="AA40">_xlfn.LET(
  _xlpm.act,   cronograma!$C39,
  _xlpm.fecha, cronograma!AA$4,
  _xlpm.ini,   INDEX(plan!$J:$J, $B39),
  _xlpm.fin,   INDEX(plan!$K:$K, $B39),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40" s="76" cm="1">
        <f t="array" ref="AB40">_xlfn.LET(
  _xlpm.act,   cronograma!$C39,
  _xlpm.fecha, cronograma!AB$4,
  _xlpm.ini,   INDEX(plan!$J:$J, $B39),
  _xlpm.fin,   INDEX(plan!$K:$K, $B39),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40" s="76" cm="1">
        <f t="array" ref="AC40">_xlfn.LET(
  _xlpm.act,   cronograma!$C39,
  _xlpm.fecha, cronograma!AC$4,
  _xlpm.ini,   INDEX(plan!$J:$J, $B39),
  _xlpm.fin,   INDEX(plan!$K:$K, $B39),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40" s="76" cm="1">
        <f t="array" ref="AD40">_xlfn.LET(
  _xlpm.act,   cronograma!$C39,
  _xlpm.fecha, cronograma!AD$4,
  _xlpm.ini,   INDEX(plan!$J:$J, $B39),
  _xlpm.fin,   INDEX(plan!$K:$K, $B39),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40" s="76" cm="1">
        <f t="array" ref="AE40">_xlfn.LET(
  _xlpm.act,   cronograma!$C39,
  _xlpm.fecha, cronograma!AE$4,
  _xlpm.ini,   INDEX(plan!$J:$J, $B39),
  _xlpm.fin,   INDEX(plan!$K:$K, $B39),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40" s="76" cm="1">
        <f t="array" ref="AF40">_xlfn.LET(
  _xlpm.act,   cronograma!$C39,
  _xlpm.fecha, cronograma!AF$4,
  _xlpm.ini,   INDEX(plan!$J:$J, $B39),
  _xlpm.fin,   INDEX(plan!$K:$K, $B39),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40" s="77" cm="1">
        <f t="array" ref="AG40">_xlfn.LET(
  _xlpm.act,   cronograma!$C39,
  _xlpm.fecha, cronograma!AG$4,
  _xlpm.ini,   INDEX(plan!$J:$J, $B39),
  _xlpm.fin,   INDEX(plan!$K:$K, $B39),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40" s="75" cm="1">
        <f t="array" ref="AH40">_xlfn.LET(
  _xlpm.act,   cronograma!$C39,
  _xlpm.fecha, cronograma!AH$4,
  _xlpm.ini,   INDEX(plan!$J:$J, $B39),
  _xlpm.fin,   INDEX(plan!$K:$K, $B39),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40" s="76" cm="1">
        <f t="array" ref="AI40">_xlfn.LET(
  _xlpm.act,   cronograma!$C39,
  _xlpm.fecha, cronograma!AI$4,
  _xlpm.ini,   INDEX(plan!$J:$J, $B39),
  _xlpm.fin,   INDEX(plan!$K:$K, $B39),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40" s="76" cm="1">
        <f t="array" ref="AJ40">_xlfn.LET(
  _xlpm.act,   cronograma!$C39,
  _xlpm.fecha, cronograma!AJ$4,
  _xlpm.ini,   INDEX(plan!$J:$J, $B39),
  _xlpm.fin,   INDEX(plan!$K:$K, $B39),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40" s="76" cm="1">
        <f t="array" ref="AK40">_xlfn.LET(
  _xlpm.act,   cronograma!$C39,
  _xlpm.fecha, cronograma!AK$4,
  _xlpm.ini,   INDEX(plan!$J:$J, $B39),
  _xlpm.fin,   INDEX(plan!$K:$K, $B39),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40" s="76" cm="1">
        <f t="array" ref="AL40">_xlfn.LET(
  _xlpm.act,   cronograma!$C39,
  _xlpm.fecha, cronograma!AL$4,
  _xlpm.ini,   INDEX(plan!$J:$J, $B39),
  _xlpm.fin,   INDEX(plan!$K:$K, $B39),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40" s="76" cm="1">
        <f t="array" ref="AM40">_xlfn.LET(
  _xlpm.act,   cronograma!$C39,
  _xlpm.fecha, cronograma!AM$4,
  _xlpm.ini,   INDEX(plan!$J:$J, $B39),
  _xlpm.fin,   INDEX(plan!$K:$K, $B39),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40" s="77" cm="1">
        <f t="array" ref="AN40">_xlfn.LET(
  _xlpm.act,   cronograma!$C39,
  _xlpm.fecha, cronograma!AN$4,
  _xlpm.ini,   INDEX(plan!$J:$J, $B39),
  _xlpm.fin,   INDEX(plan!$K:$K, $B39),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O40" s="75" cm="1">
        <f t="array" ref="AO40">_xlfn.LET(
  _xlpm.act,   cronograma!$C39,
  _xlpm.fecha, cronograma!AO$4,
  _xlpm.ini,   INDEX(plan!$J:$J, $B39),
  _xlpm.fin,   INDEX(plan!$K:$K, $B39),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P40" s="76" cm="1">
        <f t="array" ref="AP40">_xlfn.LET(
  _xlpm.act,   cronograma!$C39,
  _xlpm.fecha, cronograma!AP$4,
  _xlpm.ini,   INDEX(plan!$J:$J, $B39),
  _xlpm.fin,   INDEX(plan!$K:$K, $B39),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Q40" s="76" cm="1">
        <f t="array" ref="AQ40">_xlfn.LET(
  _xlpm.act,   cronograma!$C39,
  _xlpm.fecha, cronograma!AQ$4,
  _xlpm.ini,   INDEX(plan!$J:$J, $B39),
  _xlpm.fin,   INDEX(plan!$K:$K, $B39),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R40" s="76" cm="1">
        <f t="array" ref="AR40">_xlfn.LET(
  _xlpm.act,   cronograma!$C39,
  _xlpm.fecha, cronograma!AR$4,
  _xlpm.ini,   INDEX(plan!$J:$J, $B39),
  _xlpm.fin,   INDEX(plan!$K:$K, $B39),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S40" s="76" cm="1">
        <f t="array" ref="AS40">_xlfn.LET(
  _xlpm.act,   cronograma!$C39,
  _xlpm.fecha, cronograma!AS$4,
  _xlpm.ini,   INDEX(plan!$J:$J, $B39),
  _xlpm.fin,   INDEX(plan!$K:$K, $B39),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T40" s="76" cm="1">
        <f t="array" ref="AT40">_xlfn.LET(
  _xlpm.act,   cronograma!$C39,
  _xlpm.fecha, cronograma!AT$4,
  _xlpm.ini,   INDEX(plan!$J:$J, $B39),
  _xlpm.fin,   INDEX(plan!$K:$K, $B39),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U40" s="77" cm="1">
        <f t="array" ref="AU40">_xlfn.LET(
  _xlpm.act,   cronograma!$C39,
  _xlpm.fecha, cronograma!AU$4,
  _xlpm.ini,   INDEX(plan!$J:$J, $B39),
  _xlpm.fin,   INDEX(plan!$K:$K, $B39),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</row>
    <row r="41" spans="1:47" ht="12.95" customHeight="1" x14ac:dyDescent="0.3">
      <c r="A41" s="36"/>
      <c r="B41" s="301">
        <f>plan!B22</f>
        <v>22</v>
      </c>
      <c r="C41" s="286" t="str">
        <f>plan!C22</f>
        <v>Entrega del incremento</v>
      </c>
      <c r="D41" s="278" cm="1">
        <f t="array" ref="D41">INDEX(plan!$I:$I, $B41)</f>
        <v>5</v>
      </c>
      <c r="E41" s="276" cm="1">
        <f t="array" ref="E41">INDEX(plan!$U:$U, $B41)</f>
        <v>0</v>
      </c>
      <c r="F41" s="74" cm="1">
        <f t="array" ref="F41">IF(AND(F$4&gt;=INDEX(plan!$J:$J, $B41), F$4&lt;=INDEX(plan!$K:$K, $B41)),1,0)</f>
        <v>0</v>
      </c>
      <c r="G41" s="78" cm="1">
        <f t="array" ref="G41">IF(AND(G$4&gt;=INDEX(plan!$J:$J, $B41), G$4&lt;=INDEX(plan!$K:$K, $B41)),1,0)</f>
        <v>0</v>
      </c>
      <c r="H41" s="78" cm="1">
        <f t="array" ref="H41">IF(AND(H$4&gt;=INDEX(plan!$J:$J, $B41), H$4&lt;=INDEX(plan!$K:$K, $B41)),1,0)</f>
        <v>0</v>
      </c>
      <c r="I41" s="78" cm="1">
        <f t="array" ref="I41">IF(AND(I$4&gt;=INDEX(plan!$J:$J, $B41), I$4&lt;=INDEX(plan!$K:$K, $B41)),1,0)</f>
        <v>0</v>
      </c>
      <c r="J41" s="78" cm="1">
        <f t="array" ref="J41">IF(AND(J$4&gt;=INDEX(plan!$J:$J, $B41), J$4&lt;=INDEX(plan!$K:$K, $B41)),1,0)</f>
        <v>0</v>
      </c>
      <c r="K41" s="78" cm="1">
        <f t="array" ref="K41">IF(AND(K$4&gt;=INDEX(plan!$J:$J, $B41), K$4&lt;=INDEX(plan!$K:$K, $B41)),1,0)</f>
        <v>0</v>
      </c>
      <c r="L41" s="79" cm="1">
        <f t="array" ref="L41">IF(AND(L$4&gt;=INDEX(plan!$J:$J, $B41), L$4&lt;=INDEX(plan!$K:$K, $B41)),1,0)</f>
        <v>0</v>
      </c>
      <c r="M41" s="74" cm="1">
        <f t="array" ref="M41">IF(AND(M$4&gt;=INDEX(plan!$J:$J, $B41), M$4&lt;=INDEX(plan!$K:$K, $B41)),1,0)</f>
        <v>0</v>
      </c>
      <c r="N41" s="78" cm="1">
        <f t="array" ref="N41">IF(AND(N$4&gt;=INDEX(plan!$J:$J, $B41), N$4&lt;=INDEX(plan!$K:$K, $B41)),1,0)</f>
        <v>0</v>
      </c>
      <c r="O41" s="78" cm="1">
        <f t="array" ref="O41">IF(AND(O$4&gt;=INDEX(plan!$J:$J, $B41), O$4&lt;=INDEX(plan!$K:$K, $B41)),1,0)</f>
        <v>0</v>
      </c>
      <c r="P41" s="78" cm="1">
        <f t="array" ref="P41">IF(AND(P$4&gt;=INDEX(plan!$J:$J, $B41), P$4&lt;=INDEX(plan!$K:$K, $B41)),1,0)</f>
        <v>0</v>
      </c>
      <c r="Q41" s="78" cm="1">
        <f t="array" ref="Q41">IF(AND(Q$4&gt;=INDEX(plan!$J:$J, $B41), Q$4&lt;=INDEX(plan!$K:$K, $B41)),1,0)</f>
        <v>0</v>
      </c>
      <c r="R41" s="78" cm="1">
        <f t="array" ref="R41">IF(AND(R$4&gt;=INDEX(plan!$J:$J, $B41), R$4&lt;=INDEX(plan!$K:$K, $B41)),1,0)</f>
        <v>0</v>
      </c>
      <c r="S41" s="79" cm="1">
        <f t="array" ref="S41">IF(AND(S$4&gt;=INDEX(plan!$J:$J, $B41), S$4&lt;=INDEX(plan!$K:$K, $B41)),1,0)</f>
        <v>0</v>
      </c>
      <c r="T41" s="74" cm="1">
        <f t="array" ref="T41">IF(AND(T$4&gt;=INDEX(plan!$J:$J, $B41), T$4&lt;=INDEX(plan!$K:$K, $B41)),1,0)</f>
        <v>0</v>
      </c>
      <c r="U41" s="78" cm="1">
        <f t="array" ref="U41">IF(AND(U$4&gt;=INDEX(plan!$J:$J, $B41), U$4&lt;=INDEX(plan!$K:$K, $B41)),1,0)</f>
        <v>0</v>
      </c>
      <c r="V41" s="78" cm="1">
        <f t="array" ref="V41">IF(AND(V$4&gt;=INDEX(plan!$J:$J, $B41), V$4&lt;=INDEX(plan!$K:$K, $B41)),1,0)</f>
        <v>0</v>
      </c>
      <c r="W41" s="78" cm="1">
        <f t="array" ref="W41">IF(AND(W$4&gt;=INDEX(plan!$J:$J, $B41), W$4&lt;=INDEX(plan!$K:$K, $B41)),1,0)</f>
        <v>0</v>
      </c>
      <c r="X41" s="78" cm="1">
        <f t="array" ref="X41">IF(AND(X$4&gt;=INDEX(plan!$J:$J, $B41), X$4&lt;=INDEX(plan!$K:$K, $B41)),1,0)</f>
        <v>0</v>
      </c>
      <c r="Y41" s="78" cm="1">
        <f t="array" ref="Y41">IF(AND(Y$4&gt;=INDEX(plan!$J:$J, $B41), Y$4&lt;=INDEX(plan!$K:$K, $B41)),1,0)</f>
        <v>0</v>
      </c>
      <c r="Z41" s="79" cm="1">
        <f t="array" ref="Z41">IF(AND(Z$4&gt;=INDEX(plan!$J:$J, $B41), Z$4&lt;=INDEX(plan!$K:$K, $B41)),1,0)</f>
        <v>0</v>
      </c>
      <c r="AA41" s="74" cm="1">
        <f t="array" ref="AA41">IF(AND(AA$4&gt;=INDEX(plan!$J:$J, $B41), AA$4&lt;=INDEX(plan!$K:$K, $B41)),1,0)</f>
        <v>0</v>
      </c>
      <c r="AB41" s="78" cm="1">
        <f t="array" ref="AB41">IF(AND(AB$4&gt;=INDEX(plan!$J:$J, $B41), AB$4&lt;=INDEX(plan!$K:$K, $B41)),1,0)</f>
        <v>0</v>
      </c>
      <c r="AC41" s="78" cm="1">
        <f t="array" ref="AC41">IF(AND(AC$4&gt;=INDEX(plan!$J:$J, $B41), AC$4&lt;=INDEX(plan!$K:$K, $B41)),1,0)</f>
        <v>0</v>
      </c>
      <c r="AD41" s="78" cm="1">
        <f t="array" ref="AD41">IF(AND(AD$4&gt;=INDEX(plan!$J:$J, $B41), AD$4&lt;=INDEX(plan!$K:$K, $B41)),1,0)</f>
        <v>0</v>
      </c>
      <c r="AE41" s="78" cm="1">
        <f t="array" ref="AE41">IF(AND(AE$4&gt;=INDEX(plan!$J:$J, $B41), AE$4&lt;=INDEX(plan!$K:$K, $B41)),1,0)</f>
        <v>0</v>
      </c>
      <c r="AF41" s="78" cm="1">
        <f t="array" ref="AF41">IF(AND(AF$4&gt;=INDEX(plan!$J:$J, $B41), AF$4&lt;=INDEX(plan!$K:$K, $B41)),1,0)</f>
        <v>0</v>
      </c>
      <c r="AG41" s="79" cm="1">
        <f t="array" ref="AG41">IF(AND(AG$4&gt;=INDEX(plan!$J:$J, $B41), AG$4&lt;=INDEX(plan!$K:$K, $B41)),1,0)</f>
        <v>0</v>
      </c>
      <c r="AH41" s="74" cm="1">
        <f t="array" ref="AH41">IF(AND(AH$4&gt;=INDEX(plan!$J:$J, $B41), AH$4&lt;=INDEX(plan!$K:$K, $B41)),1,0)</f>
        <v>0</v>
      </c>
      <c r="AI41" s="78" cm="1">
        <f t="array" ref="AI41">IF(AND(AI$4&gt;=INDEX(plan!$J:$J, $B41), AI$4&lt;=INDEX(plan!$K:$K, $B41)),1,0)</f>
        <v>0</v>
      </c>
      <c r="AJ41" s="78" cm="1">
        <f t="array" ref="AJ41">IF(AND(AJ$4&gt;=INDEX(plan!$J:$J, $B41), AJ$4&lt;=INDEX(plan!$K:$K, $B41)),1,0)</f>
        <v>0</v>
      </c>
      <c r="AK41" s="78" cm="1">
        <f t="array" ref="AK41">IF(AND(AK$4&gt;=INDEX(plan!$J:$J, $B41), AK$4&lt;=INDEX(plan!$K:$K, $B41)),1,0)</f>
        <v>0</v>
      </c>
      <c r="AL41" s="78" cm="1">
        <f t="array" ref="AL41">IF(AND(AL$4&gt;=INDEX(plan!$J:$J, $B41), AL$4&lt;=INDEX(plan!$K:$K, $B41)),1,0)</f>
        <v>0</v>
      </c>
      <c r="AM41" s="78" cm="1">
        <f t="array" ref="AM41">IF(AND(AM$4&gt;=INDEX(plan!$J:$J, $B41), AM$4&lt;=INDEX(plan!$K:$K, $B41)),1,0)</f>
        <v>0</v>
      </c>
      <c r="AN41" s="79" cm="1">
        <f t="array" ref="AN41">IF(AND(AN$4&gt;=INDEX(plan!$J:$J, $B41), AN$4&lt;=INDEX(plan!$K:$K, $B41)),1,0)</f>
        <v>0</v>
      </c>
      <c r="AO41" s="74" cm="1">
        <f t="array" ref="AO41">IF(AND(AO$4&gt;=INDEX(plan!$J:$J, $B41), AO$4&lt;=INDEX(plan!$K:$K, $B41)),1,0)</f>
        <v>0</v>
      </c>
      <c r="AP41" s="78" cm="1">
        <f t="array" ref="AP41">IF(AND(AP$4&gt;=INDEX(plan!$J:$J, $B41), AP$4&lt;=INDEX(plan!$K:$K, $B41)),1,0)</f>
        <v>0</v>
      </c>
      <c r="AQ41" s="78" cm="1">
        <f t="array" ref="AQ41">IF(AND(AQ$4&gt;=INDEX(plan!$J:$J, $B41), AQ$4&lt;=INDEX(plan!$K:$K, $B41)),1,0)</f>
        <v>0</v>
      </c>
      <c r="AR41" s="78" cm="1">
        <f t="array" ref="AR41">IF(AND(AR$4&gt;=INDEX(plan!$J:$J, $B41), AR$4&lt;=INDEX(plan!$K:$K, $B41)),1,0)</f>
        <v>0</v>
      </c>
      <c r="AS41" s="78" cm="1">
        <f t="array" ref="AS41">IF(AND(AS$4&gt;=INDEX(plan!$J:$J, $B41), AS$4&lt;=INDEX(plan!$K:$K, $B41)),1,0)</f>
        <v>1</v>
      </c>
      <c r="AT41" s="78" cm="1">
        <f t="array" ref="AT41">IF(AND(AT$4&gt;=INDEX(plan!$J:$J, $B41), AT$4&lt;=INDEX(plan!$K:$K, $B41)),1,0)</f>
        <v>0</v>
      </c>
      <c r="AU41" s="79" cm="1">
        <f t="array" ref="AU41">IF(AND(AU$4&gt;=INDEX(plan!$J:$J, $B41), AU$4&lt;=INDEX(plan!$K:$K, $B41)),1,0)</f>
        <v>0</v>
      </c>
    </row>
    <row r="42" spans="1:47" ht="12.95" customHeight="1" thickBot="1" x14ac:dyDescent="0.35">
      <c r="A42" s="36"/>
      <c r="B42" s="300"/>
      <c r="C42" s="287"/>
      <c r="D42" s="279"/>
      <c r="E42" s="277"/>
      <c r="F42" s="75" cm="1">
        <f t="array" ref="F42">_xlfn.LET(
  _xlpm.act,   cronograma!$C41,
  _xlpm.fecha, cronograma!F$4,
  _xlpm.ini,   INDEX(plan!$J:$J, $B41),
  _xlpm.fin,   INDEX(plan!$K:$K, $B41),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42" s="76" cm="1">
        <f t="array" ref="G42">_xlfn.LET(
  _xlpm.act,   cronograma!$C41,
  _xlpm.fecha, cronograma!G$4,
  _xlpm.ini,   INDEX(plan!$J:$J, $B41),
  _xlpm.fin,   INDEX(plan!$K:$K, $B41),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42" s="76" cm="1">
        <f t="array" ref="H42">_xlfn.LET(
  _xlpm.act,   cronograma!$C41,
  _xlpm.fecha, cronograma!H$4,
  _xlpm.ini,   INDEX(plan!$J:$J, $B41),
  _xlpm.fin,   INDEX(plan!$K:$K, $B41),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42" s="76" cm="1">
        <f t="array" ref="I42">_xlfn.LET(
  _xlpm.act,   cronograma!$C41,
  _xlpm.fecha, cronograma!I$4,
  _xlpm.ini,   INDEX(plan!$J:$J, $B41),
  _xlpm.fin,   INDEX(plan!$K:$K, $B41),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42" s="76" cm="1">
        <f t="array" ref="J42">_xlfn.LET(
  _xlpm.act,   cronograma!$C41,
  _xlpm.fecha, cronograma!J$4,
  _xlpm.ini,   INDEX(plan!$J:$J, $B41),
  _xlpm.fin,   INDEX(plan!$K:$K, $B41),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42" s="76" cm="1">
        <f t="array" ref="K42">_xlfn.LET(
  _xlpm.act,   cronograma!$C41,
  _xlpm.fecha, cronograma!K$4,
  _xlpm.ini,   INDEX(plan!$J:$J, $B41),
  _xlpm.fin,   INDEX(plan!$K:$K, $B41),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42" s="77" cm="1">
        <f t="array" ref="L42">_xlfn.LET(
  _xlpm.act,   cronograma!$C41,
  _xlpm.fecha, cronograma!L$4,
  _xlpm.ini,   INDEX(plan!$J:$J, $B41),
  _xlpm.fin,   INDEX(plan!$K:$K, $B41),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42" s="75" cm="1">
        <f t="array" ref="M42">_xlfn.LET(
  _xlpm.act,   cronograma!$C41,
  _xlpm.fecha, cronograma!M$4,
  _xlpm.ini,   INDEX(plan!$J:$J, $B41),
  _xlpm.fin,   INDEX(plan!$K:$K, $B41),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42" s="76" cm="1">
        <f t="array" ref="N42">_xlfn.LET(
  _xlpm.act,   cronograma!$C41,
  _xlpm.fecha, cronograma!N$4,
  _xlpm.ini,   INDEX(plan!$J:$J, $B41),
  _xlpm.fin,   INDEX(plan!$K:$K, $B41),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42" s="76" cm="1">
        <f t="array" ref="O42">_xlfn.LET(
  _xlpm.act,   cronograma!$C41,
  _xlpm.fecha, cronograma!O$4,
  _xlpm.ini,   INDEX(plan!$J:$J, $B41),
  _xlpm.fin,   INDEX(plan!$K:$K, $B41),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42" s="76" cm="1">
        <f t="array" ref="P42">_xlfn.LET(
  _xlpm.act,   cronograma!$C41,
  _xlpm.fecha, cronograma!P$4,
  _xlpm.ini,   INDEX(plan!$J:$J, $B41),
  _xlpm.fin,   INDEX(plan!$K:$K, $B41),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42" s="76" cm="1">
        <f t="array" ref="Q42">_xlfn.LET(
  _xlpm.act,   cronograma!$C41,
  _xlpm.fecha, cronograma!Q$4,
  _xlpm.ini,   INDEX(plan!$J:$J, $B41),
  _xlpm.fin,   INDEX(plan!$K:$K, $B41),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42" s="76" cm="1">
        <f t="array" ref="R42">_xlfn.LET(
  _xlpm.act,   cronograma!$C41,
  _xlpm.fecha, cronograma!R$4,
  _xlpm.ini,   INDEX(plan!$J:$J, $B41),
  _xlpm.fin,   INDEX(plan!$K:$K, $B41),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42" s="77" cm="1">
        <f t="array" ref="S42">_xlfn.LET(
  _xlpm.act,   cronograma!$C41,
  _xlpm.fecha, cronograma!S$4,
  _xlpm.ini,   INDEX(plan!$J:$J, $B41),
  _xlpm.fin,   INDEX(plan!$K:$K, $B41),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42" s="75" cm="1">
        <f t="array" ref="T42">_xlfn.LET(
  _xlpm.act,   cronograma!$C41,
  _xlpm.fecha, cronograma!T$4,
  _xlpm.ini,   INDEX(plan!$J:$J, $B41),
  _xlpm.fin,   INDEX(plan!$K:$K, $B41),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42" s="76" cm="1">
        <f t="array" ref="U42">_xlfn.LET(
  _xlpm.act,   cronograma!$C41,
  _xlpm.fecha, cronograma!U$4,
  _xlpm.ini,   INDEX(plan!$J:$J, $B41),
  _xlpm.fin,   INDEX(plan!$K:$K, $B41),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42" s="76" cm="1">
        <f t="array" ref="V42">_xlfn.LET(
  _xlpm.act,   cronograma!$C41,
  _xlpm.fecha, cronograma!V$4,
  _xlpm.ini,   INDEX(plan!$J:$J, $B41),
  _xlpm.fin,   INDEX(plan!$K:$K, $B41),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42" s="76" cm="1">
        <f t="array" ref="W42">_xlfn.LET(
  _xlpm.act,   cronograma!$C41,
  _xlpm.fecha, cronograma!W$4,
  _xlpm.ini,   INDEX(plan!$J:$J, $B41),
  _xlpm.fin,   INDEX(plan!$K:$K, $B41),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42" s="76" cm="1">
        <f t="array" ref="X42">_xlfn.LET(
  _xlpm.act,   cronograma!$C41,
  _xlpm.fecha, cronograma!X$4,
  _xlpm.ini,   INDEX(plan!$J:$J, $B41),
  _xlpm.fin,   INDEX(plan!$K:$K, $B41),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42" s="76" cm="1">
        <f t="array" ref="Y42">_xlfn.LET(
  _xlpm.act,   cronograma!$C41,
  _xlpm.fecha, cronograma!Y$4,
  _xlpm.ini,   INDEX(plan!$J:$J, $B41),
  _xlpm.fin,   INDEX(plan!$K:$K, $B41),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42" s="77" cm="1">
        <f t="array" ref="Z42">_xlfn.LET(
  _xlpm.act,   cronograma!$C41,
  _xlpm.fecha, cronograma!Z$4,
  _xlpm.ini,   INDEX(plan!$J:$J, $B41),
  _xlpm.fin,   INDEX(plan!$K:$K, $B41),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42" s="75" cm="1">
        <f t="array" ref="AA42">_xlfn.LET(
  _xlpm.act,   cronograma!$C41,
  _xlpm.fecha, cronograma!AA$4,
  _xlpm.ini,   INDEX(plan!$J:$J, $B41),
  _xlpm.fin,   INDEX(plan!$K:$K, $B41),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42" s="76" cm="1">
        <f t="array" ref="AB42">_xlfn.LET(
  _xlpm.act,   cronograma!$C41,
  _xlpm.fecha, cronograma!AB$4,
  _xlpm.ini,   INDEX(plan!$J:$J, $B41),
  _xlpm.fin,   INDEX(plan!$K:$K, $B41),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42" s="76" cm="1">
        <f t="array" ref="AC42">_xlfn.LET(
  _xlpm.act,   cronograma!$C41,
  _xlpm.fecha, cronograma!AC$4,
  _xlpm.ini,   INDEX(plan!$J:$J, $B41),
  _xlpm.fin,   INDEX(plan!$K:$K, $B41),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42" s="76" cm="1">
        <f t="array" ref="AD42">_xlfn.LET(
  _xlpm.act,   cronograma!$C41,
  _xlpm.fecha, cronograma!AD$4,
  _xlpm.ini,   INDEX(plan!$J:$J, $B41),
  _xlpm.fin,   INDEX(plan!$K:$K, $B41),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42" s="76" cm="1">
        <f t="array" ref="AE42">_xlfn.LET(
  _xlpm.act,   cronograma!$C41,
  _xlpm.fecha, cronograma!AE$4,
  _xlpm.ini,   INDEX(plan!$J:$J, $B41),
  _xlpm.fin,   INDEX(plan!$K:$K, $B41),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42" s="76" cm="1">
        <f t="array" ref="AF42">_xlfn.LET(
  _xlpm.act,   cronograma!$C41,
  _xlpm.fecha, cronograma!AF$4,
  _xlpm.ini,   INDEX(plan!$J:$J, $B41),
  _xlpm.fin,   INDEX(plan!$K:$K, $B41),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42" s="77" cm="1">
        <f t="array" ref="AG42">_xlfn.LET(
  _xlpm.act,   cronograma!$C41,
  _xlpm.fecha, cronograma!AG$4,
  _xlpm.ini,   INDEX(plan!$J:$J, $B41),
  _xlpm.fin,   INDEX(plan!$K:$K, $B41),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42" s="75" cm="1">
        <f t="array" ref="AH42">_xlfn.LET(
  _xlpm.act,   cronograma!$C41,
  _xlpm.fecha, cronograma!AH$4,
  _xlpm.ini,   INDEX(plan!$J:$J, $B41),
  _xlpm.fin,   INDEX(plan!$K:$K, $B41),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42" s="76" cm="1">
        <f t="array" ref="AI42">_xlfn.LET(
  _xlpm.act,   cronograma!$C41,
  _xlpm.fecha, cronograma!AI$4,
  _xlpm.ini,   INDEX(plan!$J:$J, $B41),
  _xlpm.fin,   INDEX(plan!$K:$K, $B41),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42" s="76" cm="1">
        <f t="array" ref="AJ42">_xlfn.LET(
  _xlpm.act,   cronograma!$C41,
  _xlpm.fecha, cronograma!AJ$4,
  _xlpm.ini,   INDEX(plan!$J:$J, $B41),
  _xlpm.fin,   INDEX(plan!$K:$K, $B41),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42" s="76" cm="1">
        <f t="array" ref="AK42">_xlfn.LET(
  _xlpm.act,   cronograma!$C41,
  _xlpm.fecha, cronograma!AK$4,
  _xlpm.ini,   INDEX(plan!$J:$J, $B41),
  _xlpm.fin,   INDEX(plan!$K:$K, $B41),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42" s="76" cm="1">
        <f t="array" ref="AL42">_xlfn.LET(
  _xlpm.act,   cronograma!$C41,
  _xlpm.fecha, cronograma!AL$4,
  _xlpm.ini,   INDEX(plan!$J:$J, $B41),
  _xlpm.fin,   INDEX(plan!$K:$K, $B41),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42" s="76" cm="1">
        <f t="array" ref="AM42">_xlfn.LET(
  _xlpm.act,   cronograma!$C41,
  _xlpm.fecha, cronograma!AM$4,
  _xlpm.ini,   INDEX(plan!$J:$J, $B41),
  _xlpm.fin,   INDEX(plan!$K:$K, $B41),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42" s="77" cm="1">
        <f t="array" ref="AN42">_xlfn.LET(
  _xlpm.act,   cronograma!$C41,
  _xlpm.fecha, cronograma!AN$4,
  _xlpm.ini,   INDEX(plan!$J:$J, $B41),
  _xlpm.fin,   INDEX(plan!$K:$K, $B41),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O42" s="75" cm="1">
        <f t="array" ref="AO42">_xlfn.LET(
  _xlpm.act,   cronograma!$C41,
  _xlpm.fecha, cronograma!AO$4,
  _xlpm.ini,   INDEX(plan!$J:$J, $B41),
  _xlpm.fin,   INDEX(plan!$K:$K, $B41),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P42" s="76" cm="1">
        <f t="array" ref="AP42">_xlfn.LET(
  _xlpm.act,   cronograma!$C41,
  _xlpm.fecha, cronograma!AP$4,
  _xlpm.ini,   INDEX(plan!$J:$J, $B41),
  _xlpm.fin,   INDEX(plan!$K:$K, $B41),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Q42" s="76" cm="1">
        <f t="array" ref="AQ42">_xlfn.LET(
  _xlpm.act,   cronograma!$C41,
  _xlpm.fecha, cronograma!AQ$4,
  _xlpm.ini,   INDEX(plan!$J:$J, $B41),
  _xlpm.fin,   INDEX(plan!$K:$K, $B41),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R42" s="76" cm="1">
        <f t="array" ref="AR42">_xlfn.LET(
  _xlpm.act,   cronograma!$C41,
  _xlpm.fecha, cronograma!AR$4,
  _xlpm.ini,   INDEX(plan!$J:$J, $B41),
  _xlpm.fin,   INDEX(plan!$K:$K, $B41),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S42" s="76" cm="1">
        <f t="array" ref="AS42">_xlfn.LET(
  _xlpm.act,   cronograma!$C41,
  _xlpm.fecha, cronograma!AS$4,
  _xlpm.ini,   INDEX(plan!$J:$J, $B41),
  _xlpm.fin,   INDEX(plan!$K:$K, $B41),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T42" s="76" cm="1">
        <f t="array" ref="AT42">_xlfn.LET(
  _xlpm.act,   cronograma!$C41,
  _xlpm.fecha, cronograma!AT$4,
  _xlpm.ini,   INDEX(plan!$J:$J, $B41),
  _xlpm.fin,   INDEX(plan!$K:$K, $B41),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U42" s="77" cm="1">
        <f t="array" ref="AU42">_xlfn.LET(
  _xlpm.act,   cronograma!$C41,
  _xlpm.fecha, cronograma!AU$4,
  _xlpm.ini,   INDEX(plan!$J:$J, $B41),
  _xlpm.fin,   INDEX(plan!$K:$K, $B41),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</row>
    <row r="43" spans="1:47" ht="12.95" hidden="1" customHeight="1" x14ac:dyDescent="0.3">
      <c r="A43" s="36"/>
      <c r="B43" s="301">
        <f>plan!B23</f>
        <v>23</v>
      </c>
      <c r="C43" s="286" t="str">
        <f>plan!C23</f>
        <v>Reuniones no planificadas</v>
      </c>
      <c r="D43" s="278" cm="1">
        <f t="array" ref="D43">INDEX(plan!$I:$I, $B43)</f>
        <v>0</v>
      </c>
      <c r="E43" s="276" cm="1">
        <f t="array" ref="E43">INDEX(plan!$U:$U, $B43)</f>
        <v>0</v>
      </c>
      <c r="F43" s="74" cm="1">
        <f t="array" ref="F43">IF(AND(F$4&gt;=INDEX(plan!$J:$J, $B43), F$4&lt;=INDEX(plan!$K:$K, $B43)),1,0)</f>
        <v>0</v>
      </c>
      <c r="G43" s="78" cm="1">
        <f t="array" ref="G43">IF(AND(G$4&gt;=INDEX(plan!$J:$J, $B43), G$4&lt;=INDEX(plan!$K:$K, $B43)),1,0)</f>
        <v>0</v>
      </c>
      <c r="H43" s="78" cm="1">
        <f t="array" ref="H43">IF(AND(H$4&gt;=INDEX(plan!$J:$J, $B43), H$4&lt;=INDEX(plan!$K:$K, $B43)),1,0)</f>
        <v>0</v>
      </c>
      <c r="I43" s="78" cm="1">
        <f t="array" ref="I43">IF(AND(I$4&gt;=INDEX(plan!$J:$J, $B43), I$4&lt;=INDEX(plan!$K:$K, $B43)),1,0)</f>
        <v>0</v>
      </c>
      <c r="J43" s="78" cm="1">
        <f t="array" ref="J43">IF(AND(J$4&gt;=INDEX(plan!$J:$J, $B43), J$4&lt;=INDEX(plan!$K:$K, $B43)),1,0)</f>
        <v>0</v>
      </c>
      <c r="K43" s="78" cm="1">
        <f t="array" ref="K43">IF(AND(K$4&gt;=INDEX(plan!$J:$J, $B43), K$4&lt;=INDEX(plan!$K:$K, $B43)),1,0)</f>
        <v>0</v>
      </c>
      <c r="L43" s="79" cm="1">
        <f t="array" ref="L43">IF(AND(L$4&gt;=INDEX(plan!$J:$J, $B43), L$4&lt;=INDEX(plan!$K:$K, $B43)),1,0)</f>
        <v>0</v>
      </c>
      <c r="M43" s="74" cm="1">
        <f t="array" ref="M43">IF(AND(M$4&gt;=INDEX(plan!$J:$J, $B43), M$4&lt;=INDEX(plan!$K:$K, $B43)),1,0)</f>
        <v>0</v>
      </c>
      <c r="N43" s="78" cm="1">
        <f t="array" ref="N43">IF(AND(N$4&gt;=INDEX(plan!$J:$J, $B43), N$4&lt;=INDEX(plan!$K:$K, $B43)),1,0)</f>
        <v>0</v>
      </c>
      <c r="O43" s="78" cm="1">
        <f t="array" ref="O43">IF(AND(O$4&gt;=INDEX(plan!$J:$J, $B43), O$4&lt;=INDEX(plan!$K:$K, $B43)),1,0)</f>
        <v>0</v>
      </c>
      <c r="P43" s="78" cm="1">
        <f t="array" ref="P43">IF(AND(P$4&gt;=INDEX(plan!$J:$J, $B43), P$4&lt;=INDEX(plan!$K:$K, $B43)),1,0)</f>
        <v>0</v>
      </c>
      <c r="Q43" s="78" cm="1">
        <f t="array" ref="Q43">IF(AND(Q$4&gt;=INDEX(plan!$J:$J, $B43), Q$4&lt;=INDEX(plan!$K:$K, $B43)),1,0)</f>
        <v>0</v>
      </c>
      <c r="R43" s="78" cm="1">
        <f t="array" ref="R43">IF(AND(R$4&gt;=INDEX(plan!$J:$J, $B43), R$4&lt;=INDEX(plan!$K:$K, $B43)),1,0)</f>
        <v>0</v>
      </c>
      <c r="S43" s="79" cm="1">
        <f t="array" ref="S43">IF(AND(S$4&gt;=INDEX(plan!$J:$J, $B43), S$4&lt;=INDEX(plan!$K:$K, $B43)),1,0)</f>
        <v>0</v>
      </c>
      <c r="T43" s="74" cm="1">
        <f t="array" ref="T43">IF(AND(T$4&gt;=INDEX(plan!$J:$J, $B43), T$4&lt;=INDEX(plan!$K:$K, $B43)),1,0)</f>
        <v>0</v>
      </c>
      <c r="U43" s="78" cm="1">
        <f t="array" ref="U43">IF(AND(U$4&gt;=INDEX(plan!$J:$J, $B43), U$4&lt;=INDEX(plan!$K:$K, $B43)),1,0)</f>
        <v>0</v>
      </c>
      <c r="V43" s="78" cm="1">
        <f t="array" ref="V43">IF(AND(V$4&gt;=INDEX(plan!$J:$J, $B43), V$4&lt;=INDEX(plan!$K:$K, $B43)),1,0)</f>
        <v>0</v>
      </c>
      <c r="W43" s="78" cm="1">
        <f t="array" ref="W43">IF(AND(W$4&gt;=INDEX(plan!$J:$J, $B43), W$4&lt;=INDEX(plan!$K:$K, $B43)),1,0)</f>
        <v>0</v>
      </c>
      <c r="X43" s="78" cm="1">
        <f t="array" ref="X43">IF(AND(X$4&gt;=INDEX(plan!$J:$J, $B43), X$4&lt;=INDEX(plan!$K:$K, $B43)),1,0)</f>
        <v>0</v>
      </c>
      <c r="Y43" s="78" cm="1">
        <f t="array" ref="Y43">IF(AND(Y$4&gt;=INDEX(plan!$J:$J, $B43), Y$4&lt;=INDEX(plan!$K:$K, $B43)),1,0)</f>
        <v>0</v>
      </c>
      <c r="Z43" s="79" cm="1">
        <f t="array" ref="Z43">IF(AND(Z$4&gt;=INDEX(plan!$J:$J, $B43), Z$4&lt;=INDEX(plan!$K:$K, $B43)),1,0)</f>
        <v>0</v>
      </c>
      <c r="AA43" s="74" cm="1">
        <f t="array" ref="AA43">IF(AND(AA$4&gt;=INDEX(plan!$J:$J, $B43), AA$4&lt;=INDEX(plan!$K:$K, $B43)),1,0)</f>
        <v>0</v>
      </c>
      <c r="AB43" s="78" cm="1">
        <f t="array" ref="AB43">IF(AND(AB$4&gt;=INDEX(plan!$J:$J, $B43), AB$4&lt;=INDEX(plan!$K:$K, $B43)),1,0)</f>
        <v>0</v>
      </c>
      <c r="AC43" s="78" cm="1">
        <f t="array" ref="AC43">IF(AND(AC$4&gt;=INDEX(plan!$J:$J, $B43), AC$4&lt;=INDEX(plan!$K:$K, $B43)),1,0)</f>
        <v>0</v>
      </c>
      <c r="AD43" s="78" cm="1">
        <f t="array" ref="AD43">IF(AND(AD$4&gt;=INDEX(plan!$J:$J, $B43), AD$4&lt;=INDEX(plan!$K:$K, $B43)),1,0)</f>
        <v>0</v>
      </c>
      <c r="AE43" s="78" cm="1">
        <f t="array" ref="AE43">IF(AND(AE$4&gt;=INDEX(plan!$J:$J, $B43), AE$4&lt;=INDEX(plan!$K:$K, $B43)),1,0)</f>
        <v>0</v>
      </c>
      <c r="AF43" s="78" cm="1">
        <f t="array" ref="AF43">IF(AND(AF$4&gt;=INDEX(plan!$J:$J, $B43), AF$4&lt;=INDEX(plan!$K:$K, $B43)),1,0)</f>
        <v>0</v>
      </c>
      <c r="AG43" s="79" cm="1">
        <f t="array" ref="AG43">IF(AND(AG$4&gt;=INDEX(plan!$J:$J, $B43), AG$4&lt;=INDEX(plan!$K:$K, $B43)),1,0)</f>
        <v>0</v>
      </c>
      <c r="AH43" s="74" cm="1">
        <f t="array" ref="AH43">IF(AND(AH$4&gt;=INDEX(plan!$J:$J, $B43), AH$4&lt;=INDEX(plan!$K:$K, $B43)),1,0)</f>
        <v>0</v>
      </c>
      <c r="AI43" s="78" cm="1">
        <f t="array" ref="AI43">IF(AND(AI$4&gt;=INDEX(plan!$J:$J, $B43), AI$4&lt;=INDEX(plan!$K:$K, $B43)),1,0)</f>
        <v>0</v>
      </c>
      <c r="AJ43" s="78" cm="1">
        <f t="array" ref="AJ43">IF(AND(AJ$4&gt;=INDEX(plan!$J:$J, $B43), AJ$4&lt;=INDEX(plan!$K:$K, $B43)),1,0)</f>
        <v>0</v>
      </c>
      <c r="AK43" s="78" cm="1">
        <f t="array" ref="AK43">IF(AND(AK$4&gt;=INDEX(plan!$J:$J, $B43), AK$4&lt;=INDEX(plan!$K:$K, $B43)),1,0)</f>
        <v>0</v>
      </c>
      <c r="AL43" s="78" cm="1">
        <f t="array" ref="AL43">IF(AND(AL$4&gt;=INDEX(plan!$J:$J, $B43), AL$4&lt;=INDEX(plan!$K:$K, $B43)),1,0)</f>
        <v>0</v>
      </c>
      <c r="AM43" s="78" cm="1">
        <f t="array" ref="AM43">IF(AND(AM$4&gt;=INDEX(plan!$J:$J, $B43), AM$4&lt;=INDEX(plan!$K:$K, $B43)),1,0)</f>
        <v>0</v>
      </c>
      <c r="AN43" s="79" cm="1">
        <f t="array" ref="AN43">IF(AND(AN$4&gt;=INDEX(plan!$J:$J, $B43), AN$4&lt;=INDEX(plan!$K:$K, $B43)),1,0)</f>
        <v>0</v>
      </c>
      <c r="AO43" s="74"/>
      <c r="AP43" s="78"/>
      <c r="AQ43" s="78"/>
      <c r="AR43" s="78"/>
      <c r="AS43" s="78"/>
      <c r="AT43" s="78"/>
      <c r="AU43" s="79"/>
    </row>
    <row r="44" spans="1:47" ht="12.95" hidden="1" customHeight="1" x14ac:dyDescent="0.3">
      <c r="A44" s="36"/>
      <c r="B44" s="300"/>
      <c r="C44" s="287"/>
      <c r="D44" s="279"/>
      <c r="E44" s="277"/>
      <c r="F44" s="75" cm="1">
        <f t="array" ref="F44">_xlfn.LET(
  _xlpm.act,   cronograma!$C43,
  _xlpm.fecha, cronograma!F$4,
  _xlpm.ini,   INDEX(plan!$J:$J, $B43),
  _xlpm.fin,   INDEX(plan!$K:$K, $B43),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44" s="76" cm="1">
        <f t="array" ref="G44">_xlfn.LET(
  _xlpm.act,   cronograma!$C43,
  _xlpm.fecha, cronograma!G$4,
  _xlpm.ini,   INDEX(plan!$J:$J, $B43),
  _xlpm.fin,   INDEX(plan!$K:$K, $B43),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44" s="76" cm="1">
        <f t="array" ref="H44">_xlfn.LET(
  _xlpm.act,   cronograma!$C43,
  _xlpm.fecha, cronograma!H$4,
  _xlpm.ini,   INDEX(plan!$J:$J, $B43),
  _xlpm.fin,   INDEX(plan!$K:$K, $B43),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44" s="76" cm="1">
        <f t="array" ref="I44">_xlfn.LET(
  _xlpm.act,   cronograma!$C43,
  _xlpm.fecha, cronograma!I$4,
  _xlpm.ini,   INDEX(plan!$J:$J, $B43),
  _xlpm.fin,   INDEX(plan!$K:$K, $B43),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44" s="76" cm="1">
        <f t="array" ref="J44">_xlfn.LET(
  _xlpm.act,   cronograma!$C43,
  _xlpm.fecha, cronograma!J$4,
  _xlpm.ini,   INDEX(plan!$J:$J, $B43),
  _xlpm.fin,   INDEX(plan!$K:$K, $B43),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44" s="76" cm="1">
        <f t="array" ref="K44">_xlfn.LET(
  _xlpm.act,   cronograma!$C43,
  _xlpm.fecha, cronograma!K$4,
  _xlpm.ini,   INDEX(plan!$J:$J, $B43),
  _xlpm.fin,   INDEX(plan!$K:$K, $B43),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44" s="77" cm="1">
        <f t="array" ref="L44">_xlfn.LET(
  _xlpm.act,   cronograma!$C43,
  _xlpm.fecha, cronograma!L$4,
  _xlpm.ini,   INDEX(plan!$J:$J, $B43),
  _xlpm.fin,   INDEX(plan!$K:$K, $B43),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44" s="75" cm="1">
        <f t="array" ref="M44">_xlfn.LET(
  _xlpm.act,   cronograma!$C43,
  _xlpm.fecha, cronograma!M$4,
  _xlpm.ini,   INDEX(plan!$J:$J, $B43),
  _xlpm.fin,   INDEX(plan!$K:$K, $B43),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44" s="76" cm="1">
        <f t="array" ref="N44">_xlfn.LET(
  _xlpm.act,   cronograma!$C43,
  _xlpm.fecha, cronograma!N$4,
  _xlpm.ini,   INDEX(plan!$J:$J, $B43),
  _xlpm.fin,   INDEX(plan!$K:$K, $B43),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44" s="76" cm="1">
        <f t="array" ref="O44">_xlfn.LET(
  _xlpm.act,   cronograma!$C43,
  _xlpm.fecha, cronograma!O$4,
  _xlpm.ini,   INDEX(plan!$J:$J, $B43),
  _xlpm.fin,   INDEX(plan!$K:$K, $B43),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44" s="76" cm="1">
        <f t="array" ref="P44">_xlfn.LET(
  _xlpm.act,   cronograma!$C43,
  _xlpm.fecha, cronograma!P$4,
  _xlpm.ini,   INDEX(plan!$J:$J, $B43),
  _xlpm.fin,   INDEX(plan!$K:$K, $B43),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44" s="76" cm="1">
        <f t="array" ref="Q44">_xlfn.LET(
  _xlpm.act,   cronograma!$C43,
  _xlpm.fecha, cronograma!Q$4,
  _xlpm.ini,   INDEX(plan!$J:$J, $B43),
  _xlpm.fin,   INDEX(plan!$K:$K, $B43),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44" s="76" cm="1">
        <f t="array" ref="R44">_xlfn.LET(
  _xlpm.act,   cronograma!$C43,
  _xlpm.fecha, cronograma!R$4,
  _xlpm.ini,   INDEX(plan!$J:$J, $B43),
  _xlpm.fin,   INDEX(plan!$K:$K, $B43),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44" s="77" cm="1">
        <f t="array" ref="S44">_xlfn.LET(
  _xlpm.act,   cronograma!$C43,
  _xlpm.fecha, cronograma!S$4,
  _xlpm.ini,   INDEX(plan!$J:$J, $B43),
  _xlpm.fin,   INDEX(plan!$K:$K, $B43),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44" s="75" cm="1">
        <f t="array" ref="T44">_xlfn.LET(
  _xlpm.act,   cronograma!$C43,
  _xlpm.fecha, cronograma!T$4,
  _xlpm.ini,   INDEX(plan!$J:$J, $B43),
  _xlpm.fin,   INDEX(plan!$K:$K, $B43),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44" s="76" cm="1">
        <f t="array" ref="U44">_xlfn.LET(
  _xlpm.act,   cronograma!$C43,
  _xlpm.fecha, cronograma!U$4,
  _xlpm.ini,   INDEX(plan!$J:$J, $B43),
  _xlpm.fin,   INDEX(plan!$K:$K, $B43),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44" s="76" cm="1">
        <f t="array" ref="V44">_xlfn.LET(
  _xlpm.act,   cronograma!$C43,
  _xlpm.fecha, cronograma!V$4,
  _xlpm.ini,   INDEX(plan!$J:$J, $B43),
  _xlpm.fin,   INDEX(plan!$K:$K, $B43),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44" s="76" cm="1">
        <f t="array" ref="W44">_xlfn.LET(
  _xlpm.act,   cronograma!$C43,
  _xlpm.fecha, cronograma!W$4,
  _xlpm.ini,   INDEX(plan!$J:$J, $B43),
  _xlpm.fin,   INDEX(plan!$K:$K, $B43),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44" s="76" cm="1">
        <f t="array" ref="X44">_xlfn.LET(
  _xlpm.act,   cronograma!$C43,
  _xlpm.fecha, cronograma!X$4,
  _xlpm.ini,   INDEX(plan!$J:$J, $B43),
  _xlpm.fin,   INDEX(plan!$K:$K, $B43),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44" s="76" cm="1">
        <f t="array" ref="Y44">_xlfn.LET(
  _xlpm.act,   cronograma!$C43,
  _xlpm.fecha, cronograma!Y$4,
  _xlpm.ini,   INDEX(plan!$J:$J, $B43),
  _xlpm.fin,   INDEX(plan!$K:$K, $B43),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44" s="77" cm="1">
        <f t="array" ref="Z44">_xlfn.LET(
  _xlpm.act,   cronograma!$C43,
  _xlpm.fecha, cronograma!Z$4,
  _xlpm.ini,   INDEX(plan!$J:$J, $B43),
  _xlpm.fin,   INDEX(plan!$K:$K, $B43),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44" s="75" cm="1">
        <f t="array" ref="AA44">_xlfn.LET(
  _xlpm.act,   cronograma!$C43,
  _xlpm.fecha, cronograma!AA$4,
  _xlpm.ini,   INDEX(plan!$J:$J, $B43),
  _xlpm.fin,   INDEX(plan!$K:$K, $B43),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44" s="76" cm="1">
        <f t="array" ref="AB44">_xlfn.LET(
  _xlpm.act,   cronograma!$C43,
  _xlpm.fecha, cronograma!AB$4,
  _xlpm.ini,   INDEX(plan!$J:$J, $B43),
  _xlpm.fin,   INDEX(plan!$K:$K, $B43),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44" s="76" cm="1">
        <f t="array" ref="AC44">_xlfn.LET(
  _xlpm.act,   cronograma!$C43,
  _xlpm.fecha, cronograma!AC$4,
  _xlpm.ini,   INDEX(plan!$J:$J, $B43),
  _xlpm.fin,   INDEX(plan!$K:$K, $B43),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44" s="76" cm="1">
        <f t="array" ref="AD44">_xlfn.LET(
  _xlpm.act,   cronograma!$C43,
  _xlpm.fecha, cronograma!AD$4,
  _xlpm.ini,   INDEX(plan!$J:$J, $B43),
  _xlpm.fin,   INDEX(plan!$K:$K, $B43),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44" s="76" cm="1">
        <f t="array" ref="AE44">_xlfn.LET(
  _xlpm.act,   cronograma!$C43,
  _xlpm.fecha, cronograma!AE$4,
  _xlpm.ini,   INDEX(plan!$J:$J, $B43),
  _xlpm.fin,   INDEX(plan!$K:$K, $B43),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44" s="76" cm="1">
        <f t="array" ref="AF44">_xlfn.LET(
  _xlpm.act,   cronograma!$C43,
  _xlpm.fecha, cronograma!AF$4,
  _xlpm.ini,   INDEX(plan!$J:$J, $B43),
  _xlpm.fin,   INDEX(plan!$K:$K, $B43),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44" s="77" cm="1">
        <f t="array" ref="AG44">_xlfn.LET(
  _xlpm.act,   cronograma!$C43,
  _xlpm.fecha, cronograma!AG$4,
  _xlpm.ini,   INDEX(plan!$J:$J, $B43),
  _xlpm.fin,   INDEX(plan!$K:$K, $B43),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44" s="75" cm="1">
        <f t="array" ref="AH44">_xlfn.LET(
  _xlpm.act,   cronograma!$C43,
  _xlpm.fecha, cronograma!AH$4,
  _xlpm.ini,   INDEX(plan!$J:$J, $B43),
  _xlpm.fin,   INDEX(plan!$K:$K, $B43),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44" s="76" cm="1">
        <f t="array" ref="AI44">_xlfn.LET(
  _xlpm.act,   cronograma!$C43,
  _xlpm.fecha, cronograma!AI$4,
  _xlpm.ini,   INDEX(plan!$J:$J, $B43),
  _xlpm.fin,   INDEX(plan!$K:$K, $B43),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44" s="76" cm="1">
        <f t="array" ref="AJ44">_xlfn.LET(
  _xlpm.act,   cronograma!$C43,
  _xlpm.fecha, cronograma!AJ$4,
  _xlpm.ini,   INDEX(plan!$J:$J, $B43),
  _xlpm.fin,   INDEX(plan!$K:$K, $B43),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44" s="76" cm="1">
        <f t="array" ref="AK44">_xlfn.LET(
  _xlpm.act,   cronograma!$C43,
  _xlpm.fecha, cronograma!AK$4,
  _xlpm.ini,   INDEX(plan!$J:$J, $B43),
  _xlpm.fin,   INDEX(plan!$K:$K, $B43),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44" s="76" cm="1">
        <f t="array" ref="AL44">_xlfn.LET(
  _xlpm.act,   cronograma!$C43,
  _xlpm.fecha, cronograma!AL$4,
  _xlpm.ini,   INDEX(plan!$J:$J, $B43),
  _xlpm.fin,   INDEX(plan!$K:$K, $B43),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44" s="76" cm="1">
        <f t="array" ref="AM44">_xlfn.LET(
  _xlpm.act,   cronograma!$C43,
  _xlpm.fecha, cronograma!AM$4,
  _xlpm.ini,   INDEX(plan!$J:$J, $B43),
  _xlpm.fin,   INDEX(plan!$K:$K, $B43),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44" s="77" cm="1">
        <f t="array" ref="AN44">_xlfn.LET(
  _xlpm.act,   cronograma!$C43,
  _xlpm.fecha, cronograma!AN$4,
  _xlpm.ini,   INDEX(plan!$J:$J, $B43),
  _xlpm.fin,   INDEX(plan!$K:$K, $B43),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O44" s="75"/>
      <c r="AP44" s="76"/>
      <c r="AQ44" s="76"/>
      <c r="AR44" s="76"/>
      <c r="AS44" s="76"/>
      <c r="AT44" s="76"/>
      <c r="AU44" s="77"/>
    </row>
    <row r="45" spans="1:47" ht="12.95" hidden="1" customHeight="1" x14ac:dyDescent="0.3">
      <c r="A45" s="36"/>
      <c r="B45" s="301">
        <v>24</v>
      </c>
      <c r="C45" s="286">
        <f>plan!C24</f>
        <v>0</v>
      </c>
      <c r="D45" s="278" cm="1">
        <f t="array" ref="D45">INDEX(plan!$I:$I, $B45)</f>
        <v>0</v>
      </c>
      <c r="E45" s="276" cm="1">
        <f t="array" ref="E45">INDEX(plan!$U:$U, $B45)</f>
        <v>0</v>
      </c>
      <c r="F45" s="74" cm="1">
        <f t="array" ref="F45">IF(AND(F$4&gt;=INDEX(plan!$J:$J, $B45), F$4&lt;=INDEX(plan!$K:$K, $B45)),1,0)</f>
        <v>0</v>
      </c>
      <c r="G45" s="78" cm="1">
        <f t="array" ref="G45">IF(AND(G$4&gt;=INDEX(plan!$J:$J, $B45), G$4&lt;=INDEX(plan!$K:$K, $B45)),1,0)</f>
        <v>0</v>
      </c>
      <c r="H45" s="78" cm="1">
        <f t="array" ref="H45">IF(AND(H$4&gt;=INDEX(plan!$J:$J, $B45), H$4&lt;=INDEX(plan!$K:$K, $B45)),1,0)</f>
        <v>0</v>
      </c>
      <c r="I45" s="78" cm="1">
        <f t="array" ref="I45">IF(AND(I$4&gt;=INDEX(plan!$J:$J, $B45), I$4&lt;=INDEX(plan!$K:$K, $B45)),1,0)</f>
        <v>0</v>
      </c>
      <c r="J45" s="78" cm="1">
        <f t="array" ref="J45">IF(AND(J$4&gt;=INDEX(plan!$J:$J, $B45), J$4&lt;=INDEX(plan!$K:$K, $B45)),1,0)</f>
        <v>0</v>
      </c>
      <c r="K45" s="78" cm="1">
        <f t="array" ref="K45">IF(AND(K$4&gt;=INDEX(plan!$J:$J, $B45), K$4&lt;=INDEX(plan!$K:$K, $B45)),1,0)</f>
        <v>0</v>
      </c>
      <c r="L45" s="79" cm="1">
        <f t="array" ref="L45">IF(AND(L$4&gt;=INDEX(plan!$J:$J, $B45), L$4&lt;=INDEX(plan!$K:$K, $B45)),1,0)</f>
        <v>0</v>
      </c>
      <c r="M45" s="74" cm="1">
        <f t="array" ref="M45">IF(AND(M$4&gt;=INDEX(plan!$J:$J, $B45), M$4&lt;=INDEX(plan!$K:$K, $B45)),1,0)</f>
        <v>0</v>
      </c>
      <c r="N45" s="78" cm="1">
        <f t="array" ref="N45">IF(AND(N$4&gt;=INDEX(plan!$J:$J, $B45), N$4&lt;=INDEX(plan!$K:$K, $B45)),1,0)</f>
        <v>0</v>
      </c>
      <c r="O45" s="78" cm="1">
        <f t="array" ref="O45">IF(AND(O$4&gt;=INDEX(plan!$J:$J, $B45), O$4&lt;=INDEX(plan!$K:$K, $B45)),1,0)</f>
        <v>0</v>
      </c>
      <c r="P45" s="78" cm="1">
        <f t="array" ref="P45">IF(AND(P$4&gt;=INDEX(plan!$J:$J, $B45), P$4&lt;=INDEX(plan!$K:$K, $B45)),1,0)</f>
        <v>0</v>
      </c>
      <c r="Q45" s="78" cm="1">
        <f t="array" ref="Q45">IF(AND(Q$4&gt;=INDEX(plan!$J:$J, $B45), Q$4&lt;=INDEX(plan!$K:$K, $B45)),1,0)</f>
        <v>0</v>
      </c>
      <c r="R45" s="78" cm="1">
        <f t="array" ref="R45">IF(AND(R$4&gt;=INDEX(plan!$J:$J, $B45), R$4&lt;=INDEX(plan!$K:$K, $B45)),1,0)</f>
        <v>0</v>
      </c>
      <c r="S45" s="79" cm="1">
        <f t="array" ref="S45">IF(AND(S$4&gt;=INDEX(plan!$J:$J, $B45), S$4&lt;=INDEX(plan!$K:$K, $B45)),1,0)</f>
        <v>0</v>
      </c>
      <c r="T45" s="74" cm="1">
        <f t="array" ref="T45">IF(AND(T$4&gt;=INDEX(plan!$J:$J, $B45), T$4&lt;=INDEX(plan!$K:$K, $B45)),1,0)</f>
        <v>0</v>
      </c>
      <c r="U45" s="78" cm="1">
        <f t="array" ref="U45">IF(AND(U$4&gt;=INDEX(plan!$J:$J, $B45), U$4&lt;=INDEX(plan!$K:$K, $B45)),1,0)</f>
        <v>0</v>
      </c>
      <c r="V45" s="78" cm="1">
        <f t="array" ref="V45">IF(AND(V$4&gt;=INDEX(plan!$J:$J, $B45), V$4&lt;=INDEX(plan!$K:$K, $B45)),1,0)</f>
        <v>0</v>
      </c>
      <c r="W45" s="78" cm="1">
        <f t="array" ref="W45">IF(AND(W$4&gt;=INDEX(plan!$J:$J, $B45), W$4&lt;=INDEX(plan!$K:$K, $B45)),1,0)</f>
        <v>0</v>
      </c>
      <c r="X45" s="78" cm="1">
        <f t="array" ref="X45">IF(AND(X$4&gt;=INDEX(plan!$J:$J, $B45), X$4&lt;=INDEX(plan!$K:$K, $B45)),1,0)</f>
        <v>0</v>
      </c>
      <c r="Y45" s="78" cm="1">
        <f t="array" ref="Y45">IF(AND(Y$4&gt;=INDEX(plan!$J:$J, $B45), Y$4&lt;=INDEX(plan!$K:$K, $B45)),1,0)</f>
        <v>0</v>
      </c>
      <c r="Z45" s="79" cm="1">
        <f t="array" ref="Z45">IF(AND(Z$4&gt;=INDEX(plan!$J:$J, $B45), Z$4&lt;=INDEX(plan!$K:$K, $B45)),1,0)</f>
        <v>0</v>
      </c>
      <c r="AA45" s="74" cm="1">
        <f t="array" ref="AA45">IF(AND(AA$4&gt;=INDEX(plan!$J:$J, $B45), AA$4&lt;=INDEX(plan!$K:$K, $B45)),1,0)</f>
        <v>0</v>
      </c>
      <c r="AB45" s="78" cm="1">
        <f t="array" ref="AB45">IF(AND(AB$4&gt;=INDEX(plan!$J:$J, $B45), AB$4&lt;=INDEX(plan!$K:$K, $B45)),1,0)</f>
        <v>0</v>
      </c>
      <c r="AC45" s="78" cm="1">
        <f t="array" ref="AC45">IF(AND(AC$4&gt;=INDEX(plan!$J:$J, $B45), AC$4&lt;=INDEX(plan!$K:$K, $B45)),1,0)</f>
        <v>0</v>
      </c>
      <c r="AD45" s="78" cm="1">
        <f t="array" ref="AD45">IF(AND(AD$4&gt;=INDEX(plan!$J:$J, $B45), AD$4&lt;=INDEX(plan!$K:$K, $B45)),1,0)</f>
        <v>0</v>
      </c>
      <c r="AE45" s="78" cm="1">
        <f t="array" ref="AE45">IF(AND(AE$4&gt;=INDEX(plan!$J:$J, $B45), AE$4&lt;=INDEX(plan!$K:$K, $B45)),1,0)</f>
        <v>0</v>
      </c>
      <c r="AF45" s="78" cm="1">
        <f t="array" ref="AF45">IF(AND(AF$4&gt;=INDEX(plan!$J:$J, $B45), AF$4&lt;=INDEX(plan!$K:$K, $B45)),1,0)</f>
        <v>0</v>
      </c>
      <c r="AG45" s="79" cm="1">
        <f t="array" ref="AG45">IF(AND(AG$4&gt;=INDEX(plan!$J:$J, $B45), AG$4&lt;=INDEX(plan!$K:$K, $B45)),1,0)</f>
        <v>0</v>
      </c>
      <c r="AH45" s="74" cm="1">
        <f t="array" ref="AH45">IF(AND(AH$4&gt;=INDEX(plan!$J:$J, $B45), AH$4&lt;=INDEX(plan!$K:$K, $B45)),1,0)</f>
        <v>0</v>
      </c>
      <c r="AI45" s="78" cm="1">
        <f t="array" ref="AI45">IF(AND(AI$4&gt;=INDEX(plan!$J:$J, $B45), AI$4&lt;=INDEX(plan!$K:$K, $B45)),1,0)</f>
        <v>0</v>
      </c>
      <c r="AJ45" s="78" cm="1">
        <f t="array" ref="AJ45">IF(AND(AJ$4&gt;=INDEX(plan!$J:$J, $B45), AJ$4&lt;=INDEX(plan!$K:$K, $B45)),1,0)</f>
        <v>0</v>
      </c>
      <c r="AK45" s="78" cm="1">
        <f t="array" ref="AK45">IF(AND(AK$4&gt;=INDEX(plan!$J:$J, $B45), AK$4&lt;=INDEX(plan!$K:$K, $B45)),1,0)</f>
        <v>0</v>
      </c>
      <c r="AL45" s="78" cm="1">
        <f t="array" ref="AL45">IF(AND(AL$4&gt;=INDEX(plan!$J:$J, $B45), AL$4&lt;=INDEX(plan!$K:$K, $B45)),1,0)</f>
        <v>0</v>
      </c>
      <c r="AM45" s="78" cm="1">
        <f t="array" ref="AM45">IF(AND(AM$4&gt;=INDEX(plan!$J:$J, $B45), AM$4&lt;=INDEX(plan!$K:$K, $B45)),1,0)</f>
        <v>0</v>
      </c>
      <c r="AN45" s="79" cm="1">
        <f t="array" ref="AN45">IF(AND(AN$4&gt;=INDEX(plan!$J:$J, $B45), AN$4&lt;=INDEX(plan!$K:$K, $B45)),1,0)</f>
        <v>0</v>
      </c>
      <c r="AO45" s="74"/>
      <c r="AP45" s="78"/>
      <c r="AQ45" s="78"/>
      <c r="AR45" s="78"/>
      <c r="AS45" s="78"/>
      <c r="AT45" s="78"/>
      <c r="AU45" s="79"/>
    </row>
    <row r="46" spans="1:47" ht="12.95" hidden="1" customHeight="1" x14ac:dyDescent="0.3">
      <c r="A46" s="36"/>
      <c r="B46" s="300"/>
      <c r="C46" s="287"/>
      <c r="D46" s="279"/>
      <c r="E46" s="277"/>
      <c r="F46" s="75" cm="1">
        <f t="array" ref="F46">_xlfn.LET(
  _xlpm.act,   cronograma!$C45,
  _xlpm.fecha, cronograma!F$4,
  _xlpm.ini,   INDEX(plan!$J:$J, $B45),
  _xlpm.fin,   INDEX(plan!$K:$K, $B45),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46" s="76" cm="1">
        <f t="array" ref="G46">_xlfn.LET(
  _xlpm.act,   cronograma!$C45,
  _xlpm.fecha, cronograma!G$4,
  _xlpm.ini,   INDEX(plan!$J:$J, $B45),
  _xlpm.fin,   INDEX(plan!$K:$K, $B45),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46" s="76" cm="1">
        <f t="array" ref="H46">_xlfn.LET(
  _xlpm.act,   cronograma!$C45,
  _xlpm.fecha, cronograma!H$4,
  _xlpm.ini,   INDEX(plan!$J:$J, $B45),
  _xlpm.fin,   INDEX(plan!$K:$K, $B45),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46" s="76" cm="1">
        <f t="array" ref="I46">_xlfn.LET(
  _xlpm.act,   cronograma!$C45,
  _xlpm.fecha, cronograma!I$4,
  _xlpm.ini,   INDEX(plan!$J:$J, $B45),
  _xlpm.fin,   INDEX(plan!$K:$K, $B45),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46" s="76" cm="1">
        <f t="array" ref="J46">_xlfn.LET(
  _xlpm.act,   cronograma!$C45,
  _xlpm.fecha, cronograma!J$4,
  _xlpm.ini,   INDEX(plan!$J:$J, $B45),
  _xlpm.fin,   INDEX(plan!$K:$K, $B45),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46" s="76" cm="1">
        <f t="array" ref="K46">_xlfn.LET(
  _xlpm.act,   cronograma!$C45,
  _xlpm.fecha, cronograma!K$4,
  _xlpm.ini,   INDEX(plan!$J:$J, $B45),
  _xlpm.fin,   INDEX(plan!$K:$K, $B45),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46" s="77" cm="1">
        <f t="array" ref="L46">_xlfn.LET(
  _xlpm.act,   cronograma!$C45,
  _xlpm.fecha, cronograma!L$4,
  _xlpm.ini,   INDEX(plan!$J:$J, $B45),
  _xlpm.fin,   INDEX(plan!$K:$K, $B45),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46" s="75" cm="1">
        <f t="array" ref="M46">_xlfn.LET(
  _xlpm.act,   cronograma!$C45,
  _xlpm.fecha, cronograma!M$4,
  _xlpm.ini,   INDEX(plan!$J:$J, $B45),
  _xlpm.fin,   INDEX(plan!$K:$K, $B45),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46" s="76" cm="1">
        <f t="array" ref="N46">_xlfn.LET(
  _xlpm.act,   cronograma!$C45,
  _xlpm.fecha, cronograma!N$4,
  _xlpm.ini,   INDEX(plan!$J:$J, $B45),
  _xlpm.fin,   INDEX(plan!$K:$K, $B45),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46" s="76" cm="1">
        <f t="array" ref="O46">_xlfn.LET(
  _xlpm.act,   cronograma!$C45,
  _xlpm.fecha, cronograma!O$4,
  _xlpm.ini,   INDEX(plan!$J:$J, $B45),
  _xlpm.fin,   INDEX(plan!$K:$K, $B45),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46" s="76" cm="1">
        <f t="array" ref="P46">_xlfn.LET(
  _xlpm.act,   cronograma!$C45,
  _xlpm.fecha, cronograma!P$4,
  _xlpm.ini,   INDEX(plan!$J:$J, $B45),
  _xlpm.fin,   INDEX(plan!$K:$K, $B45),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46" s="76" cm="1">
        <f t="array" ref="Q46">_xlfn.LET(
  _xlpm.act,   cronograma!$C45,
  _xlpm.fecha, cronograma!Q$4,
  _xlpm.ini,   INDEX(plan!$J:$J, $B45),
  _xlpm.fin,   INDEX(plan!$K:$K, $B45),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46" s="76" cm="1">
        <f t="array" ref="R46">_xlfn.LET(
  _xlpm.act,   cronograma!$C45,
  _xlpm.fecha, cronograma!R$4,
  _xlpm.ini,   INDEX(plan!$J:$J, $B45),
  _xlpm.fin,   INDEX(plan!$K:$K, $B45),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46" s="77" cm="1">
        <f t="array" ref="S46">_xlfn.LET(
  _xlpm.act,   cronograma!$C45,
  _xlpm.fecha, cronograma!S$4,
  _xlpm.ini,   INDEX(plan!$J:$J, $B45),
  _xlpm.fin,   INDEX(plan!$K:$K, $B45),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46" s="75" cm="1">
        <f t="array" ref="T46">_xlfn.LET(
  _xlpm.act,   cronograma!$C45,
  _xlpm.fecha, cronograma!T$4,
  _xlpm.ini,   INDEX(plan!$J:$J, $B45),
  _xlpm.fin,   INDEX(plan!$K:$K, $B45),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46" s="76" cm="1">
        <f t="array" ref="U46">_xlfn.LET(
  _xlpm.act,   cronograma!$C45,
  _xlpm.fecha, cronograma!U$4,
  _xlpm.ini,   INDEX(plan!$J:$J, $B45),
  _xlpm.fin,   INDEX(plan!$K:$K, $B45),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46" s="76" cm="1">
        <f t="array" ref="V46">_xlfn.LET(
  _xlpm.act,   cronograma!$C45,
  _xlpm.fecha, cronograma!V$4,
  _xlpm.ini,   INDEX(plan!$J:$J, $B45),
  _xlpm.fin,   INDEX(plan!$K:$K, $B45),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46" s="76" cm="1">
        <f t="array" ref="W46">_xlfn.LET(
  _xlpm.act,   cronograma!$C45,
  _xlpm.fecha, cronograma!W$4,
  _xlpm.ini,   INDEX(plan!$J:$J, $B45),
  _xlpm.fin,   INDEX(plan!$K:$K, $B45),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46" s="76" cm="1">
        <f t="array" ref="X46">_xlfn.LET(
  _xlpm.act,   cronograma!$C45,
  _xlpm.fecha, cronograma!X$4,
  _xlpm.ini,   INDEX(plan!$J:$J, $B45),
  _xlpm.fin,   INDEX(plan!$K:$K, $B45),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46" s="76" cm="1">
        <f t="array" ref="Y46">_xlfn.LET(
  _xlpm.act,   cronograma!$C45,
  _xlpm.fecha, cronograma!Y$4,
  _xlpm.ini,   INDEX(plan!$J:$J, $B45),
  _xlpm.fin,   INDEX(plan!$K:$K, $B45),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46" s="77" cm="1">
        <f t="array" ref="Z46">_xlfn.LET(
  _xlpm.act,   cronograma!$C45,
  _xlpm.fecha, cronograma!Z$4,
  _xlpm.ini,   INDEX(plan!$J:$J, $B45),
  _xlpm.fin,   INDEX(plan!$K:$K, $B45),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46" s="75" cm="1">
        <f t="array" ref="AA46">_xlfn.LET(
  _xlpm.act,   cronograma!$C45,
  _xlpm.fecha, cronograma!AA$4,
  _xlpm.ini,   INDEX(plan!$J:$J, $B45),
  _xlpm.fin,   INDEX(plan!$K:$K, $B45),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46" s="76" cm="1">
        <f t="array" ref="AB46">_xlfn.LET(
  _xlpm.act,   cronograma!$C45,
  _xlpm.fecha, cronograma!AB$4,
  _xlpm.ini,   INDEX(plan!$J:$J, $B45),
  _xlpm.fin,   INDEX(plan!$K:$K, $B45),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46" s="76" cm="1">
        <f t="array" ref="AC46">_xlfn.LET(
  _xlpm.act,   cronograma!$C45,
  _xlpm.fecha, cronograma!AC$4,
  _xlpm.ini,   INDEX(plan!$J:$J, $B45),
  _xlpm.fin,   INDEX(plan!$K:$K, $B45),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46" s="76" cm="1">
        <f t="array" ref="AD46">_xlfn.LET(
  _xlpm.act,   cronograma!$C45,
  _xlpm.fecha, cronograma!AD$4,
  _xlpm.ini,   INDEX(plan!$J:$J, $B45),
  _xlpm.fin,   INDEX(plan!$K:$K, $B45),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46" s="76" cm="1">
        <f t="array" ref="AE46">_xlfn.LET(
  _xlpm.act,   cronograma!$C45,
  _xlpm.fecha, cronograma!AE$4,
  _xlpm.ini,   INDEX(plan!$J:$J, $B45),
  _xlpm.fin,   INDEX(plan!$K:$K, $B45),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46" s="76" cm="1">
        <f t="array" ref="AF46">_xlfn.LET(
  _xlpm.act,   cronograma!$C45,
  _xlpm.fecha, cronograma!AF$4,
  _xlpm.ini,   INDEX(plan!$J:$J, $B45),
  _xlpm.fin,   INDEX(plan!$K:$K, $B45),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46" s="77" cm="1">
        <f t="array" ref="AG46">_xlfn.LET(
  _xlpm.act,   cronograma!$C45,
  _xlpm.fecha, cronograma!AG$4,
  _xlpm.ini,   INDEX(plan!$J:$J, $B45),
  _xlpm.fin,   INDEX(plan!$K:$K, $B45),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46" s="75" cm="1">
        <f t="array" ref="AH46">_xlfn.LET(
  _xlpm.act,   cronograma!$C45,
  _xlpm.fecha, cronograma!AH$4,
  _xlpm.ini,   INDEX(plan!$J:$J, $B45),
  _xlpm.fin,   INDEX(plan!$K:$K, $B45),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46" s="76" cm="1">
        <f t="array" ref="AI46">_xlfn.LET(
  _xlpm.act,   cronograma!$C45,
  _xlpm.fecha, cronograma!AI$4,
  _xlpm.ini,   INDEX(plan!$J:$J, $B45),
  _xlpm.fin,   INDEX(plan!$K:$K, $B45),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46" s="76" cm="1">
        <f t="array" ref="AJ46">_xlfn.LET(
  _xlpm.act,   cronograma!$C45,
  _xlpm.fecha, cronograma!AJ$4,
  _xlpm.ini,   INDEX(plan!$J:$J, $B45),
  _xlpm.fin,   INDEX(plan!$K:$K, $B45),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46" s="76" cm="1">
        <f t="array" ref="AK46">_xlfn.LET(
  _xlpm.act,   cronograma!$C45,
  _xlpm.fecha, cronograma!AK$4,
  _xlpm.ini,   INDEX(plan!$J:$J, $B45),
  _xlpm.fin,   INDEX(plan!$K:$K, $B45),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46" s="76" cm="1">
        <f t="array" ref="AL46">_xlfn.LET(
  _xlpm.act,   cronograma!$C45,
  _xlpm.fecha, cronograma!AL$4,
  _xlpm.ini,   INDEX(plan!$J:$J, $B45),
  _xlpm.fin,   INDEX(plan!$K:$K, $B45),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46" s="76" cm="1">
        <f t="array" ref="AM46">_xlfn.LET(
  _xlpm.act,   cronograma!$C45,
  _xlpm.fecha, cronograma!AM$4,
  _xlpm.ini,   INDEX(plan!$J:$J, $B45),
  _xlpm.fin,   INDEX(plan!$K:$K, $B45),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46" s="77" cm="1">
        <f t="array" ref="AN46">_xlfn.LET(
  _xlpm.act,   cronograma!$C45,
  _xlpm.fecha, cronograma!AN$4,
  _xlpm.ini,   INDEX(plan!$J:$J, $B45),
  _xlpm.fin,   INDEX(plan!$K:$K, $B45),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O46" s="75"/>
      <c r="AP46" s="76"/>
      <c r="AQ46" s="76"/>
      <c r="AR46" s="76"/>
      <c r="AS46" s="76"/>
      <c r="AT46" s="76"/>
      <c r="AU46" s="77"/>
    </row>
    <row r="47" spans="1:47" ht="12.95" hidden="1" customHeight="1" x14ac:dyDescent="0.3">
      <c r="A47" s="36"/>
      <c r="B47" s="301">
        <f>plan!B25</f>
        <v>25</v>
      </c>
      <c r="C47" s="286">
        <f>plan!C25</f>
        <v>0</v>
      </c>
      <c r="D47" s="278" cm="1">
        <f t="array" ref="D47">INDEX(plan!$I:$I, $B47)</f>
        <v>0</v>
      </c>
      <c r="E47" s="276" cm="1">
        <f t="array" ref="E47">INDEX(plan!$U:$U, $B47)</f>
        <v>0</v>
      </c>
      <c r="F47" s="74" cm="1">
        <f t="array" ref="F47">IF(AND(F$4&gt;=INDEX(plan!$J:$J, $B47), F$4&lt;=INDEX(plan!$K:$K, $B47)),1,0)</f>
        <v>0</v>
      </c>
      <c r="G47" s="78" cm="1">
        <f t="array" ref="G47">IF(AND(G$4&gt;=INDEX(plan!$J:$J, $B47), G$4&lt;=INDEX(plan!$K:$K, $B47)),1,0)</f>
        <v>0</v>
      </c>
      <c r="H47" s="78" cm="1">
        <f t="array" ref="H47">IF(AND(H$4&gt;=INDEX(plan!$J:$J, $B47), H$4&lt;=INDEX(plan!$K:$K, $B47)),1,0)</f>
        <v>0</v>
      </c>
      <c r="I47" s="78" cm="1">
        <f t="array" ref="I47">IF(AND(I$4&gt;=INDEX(plan!$J:$J, $B47), I$4&lt;=INDEX(plan!$K:$K, $B47)),1,0)</f>
        <v>0</v>
      </c>
      <c r="J47" s="78" cm="1">
        <f t="array" ref="J47">IF(AND(J$4&gt;=INDEX(plan!$J:$J, $B47), J$4&lt;=INDEX(plan!$K:$K, $B47)),1,0)</f>
        <v>0</v>
      </c>
      <c r="K47" s="78" cm="1">
        <f t="array" ref="K47">IF(AND(K$4&gt;=INDEX(plan!$J:$J, $B47), K$4&lt;=INDEX(plan!$K:$K, $B47)),1,0)</f>
        <v>0</v>
      </c>
      <c r="L47" s="79" cm="1">
        <f t="array" ref="L47">IF(AND(L$4&gt;=INDEX(plan!$J:$J, $B47), L$4&lt;=INDEX(plan!$K:$K, $B47)),1,0)</f>
        <v>0</v>
      </c>
      <c r="M47" s="74" cm="1">
        <f t="array" ref="M47">IF(AND(M$4&gt;=INDEX(plan!$J:$J, $B47), M$4&lt;=INDEX(plan!$K:$K, $B47)),1,0)</f>
        <v>0</v>
      </c>
      <c r="N47" s="78" cm="1">
        <f t="array" ref="N47">IF(AND(N$4&gt;=INDEX(plan!$J:$J, $B47), N$4&lt;=INDEX(plan!$K:$K, $B47)),1,0)</f>
        <v>0</v>
      </c>
      <c r="O47" s="78" cm="1">
        <f t="array" ref="O47">IF(AND(O$4&gt;=INDEX(plan!$J:$J, $B47), O$4&lt;=INDEX(plan!$K:$K, $B47)),1,0)</f>
        <v>0</v>
      </c>
      <c r="P47" s="78" cm="1">
        <f t="array" ref="P47">IF(AND(P$4&gt;=INDEX(plan!$J:$J, $B47), P$4&lt;=INDEX(plan!$K:$K, $B47)),1,0)</f>
        <v>0</v>
      </c>
      <c r="Q47" s="78" cm="1">
        <f t="array" ref="Q47">IF(AND(Q$4&gt;=INDEX(plan!$J:$J, $B47), Q$4&lt;=INDEX(plan!$K:$K, $B47)),1,0)</f>
        <v>0</v>
      </c>
      <c r="R47" s="78" cm="1">
        <f t="array" ref="R47">IF(AND(R$4&gt;=INDEX(plan!$J:$J, $B47), R$4&lt;=INDEX(plan!$K:$K, $B47)),1,0)</f>
        <v>0</v>
      </c>
      <c r="S47" s="79" cm="1">
        <f t="array" ref="S47">IF(AND(S$4&gt;=INDEX(plan!$J:$J, $B47), S$4&lt;=INDEX(plan!$K:$K, $B47)),1,0)</f>
        <v>0</v>
      </c>
      <c r="T47" s="74" cm="1">
        <f t="array" ref="T47">IF(AND(T$4&gt;=INDEX(plan!$J:$J, $B47), T$4&lt;=INDEX(plan!$K:$K, $B47)),1,0)</f>
        <v>0</v>
      </c>
      <c r="U47" s="78" cm="1">
        <f t="array" ref="U47">IF(AND(U$4&gt;=INDEX(plan!$J:$J, $B47), U$4&lt;=INDEX(plan!$K:$K, $B47)),1,0)</f>
        <v>0</v>
      </c>
      <c r="V47" s="78" cm="1">
        <f t="array" ref="V47">IF(AND(V$4&gt;=INDEX(plan!$J:$J, $B47), V$4&lt;=INDEX(plan!$K:$K, $B47)),1,0)</f>
        <v>0</v>
      </c>
      <c r="W47" s="78" cm="1">
        <f t="array" ref="W47">IF(AND(W$4&gt;=INDEX(plan!$J:$J, $B47), W$4&lt;=INDEX(plan!$K:$K, $B47)),1,0)</f>
        <v>0</v>
      </c>
      <c r="X47" s="78" cm="1">
        <f t="array" ref="X47">IF(AND(X$4&gt;=INDEX(plan!$J:$J, $B47), X$4&lt;=INDEX(plan!$K:$K, $B47)),1,0)</f>
        <v>0</v>
      </c>
      <c r="Y47" s="78" cm="1">
        <f t="array" ref="Y47">IF(AND(Y$4&gt;=INDEX(plan!$J:$J, $B47), Y$4&lt;=INDEX(plan!$K:$K, $B47)),1,0)</f>
        <v>0</v>
      </c>
      <c r="Z47" s="79" cm="1">
        <f t="array" ref="Z47">IF(AND(Z$4&gt;=INDEX(plan!$J:$J, $B47), Z$4&lt;=INDEX(plan!$K:$K, $B47)),1,0)</f>
        <v>0</v>
      </c>
      <c r="AA47" s="74" cm="1">
        <f t="array" ref="AA47">IF(AND(AA$4&gt;=INDEX(plan!$J:$J, $B47), AA$4&lt;=INDEX(plan!$K:$K, $B47)),1,0)</f>
        <v>0</v>
      </c>
      <c r="AB47" s="78" cm="1">
        <f t="array" ref="AB47">IF(AND(AB$4&gt;=INDEX(plan!$J:$J, $B47), AB$4&lt;=INDEX(plan!$K:$K, $B47)),1,0)</f>
        <v>0</v>
      </c>
      <c r="AC47" s="78" cm="1">
        <f t="array" ref="AC47">IF(AND(AC$4&gt;=INDEX(plan!$J:$J, $B47), AC$4&lt;=INDEX(plan!$K:$K, $B47)),1,0)</f>
        <v>0</v>
      </c>
      <c r="AD47" s="78" cm="1">
        <f t="array" ref="AD47">IF(AND(AD$4&gt;=INDEX(plan!$J:$J, $B47), AD$4&lt;=INDEX(plan!$K:$K, $B47)),1,0)</f>
        <v>0</v>
      </c>
      <c r="AE47" s="78" cm="1">
        <f t="array" ref="AE47">IF(AND(AE$4&gt;=INDEX(plan!$J:$J, $B47), AE$4&lt;=INDEX(plan!$K:$K, $B47)),1,0)</f>
        <v>0</v>
      </c>
      <c r="AF47" s="78" cm="1">
        <f t="array" ref="AF47">IF(AND(AF$4&gt;=INDEX(plan!$J:$J, $B47), AF$4&lt;=INDEX(plan!$K:$K, $B47)),1,0)</f>
        <v>0</v>
      </c>
      <c r="AG47" s="79" cm="1">
        <f t="array" ref="AG47">IF(AND(AG$4&gt;=INDEX(plan!$J:$J, $B47), AG$4&lt;=INDEX(plan!$K:$K, $B47)),1,0)</f>
        <v>0</v>
      </c>
      <c r="AH47" s="74" cm="1">
        <f t="array" ref="AH47">IF(AND(AH$4&gt;=INDEX(plan!$J:$J, $B47), AH$4&lt;=INDEX(plan!$K:$K, $B47)),1,0)</f>
        <v>0</v>
      </c>
      <c r="AI47" s="78" cm="1">
        <f t="array" ref="AI47">IF(AND(AI$4&gt;=INDEX(plan!$J:$J, $B47), AI$4&lt;=INDEX(plan!$K:$K, $B47)),1,0)</f>
        <v>0</v>
      </c>
      <c r="AJ47" s="78" cm="1">
        <f t="array" ref="AJ47">IF(AND(AJ$4&gt;=INDEX(plan!$J:$J, $B47), AJ$4&lt;=INDEX(plan!$K:$K, $B47)),1,0)</f>
        <v>0</v>
      </c>
      <c r="AK47" s="78" cm="1">
        <f t="array" ref="AK47">IF(AND(AK$4&gt;=INDEX(plan!$J:$J, $B47), AK$4&lt;=INDEX(plan!$K:$K, $B47)),1,0)</f>
        <v>0</v>
      </c>
      <c r="AL47" s="78" cm="1">
        <f t="array" ref="AL47">IF(AND(AL$4&gt;=INDEX(plan!$J:$J, $B47), AL$4&lt;=INDEX(plan!$K:$K, $B47)),1,0)</f>
        <v>0</v>
      </c>
      <c r="AM47" s="78" cm="1">
        <f t="array" ref="AM47">IF(AND(AM$4&gt;=INDEX(plan!$J:$J, $B47), AM$4&lt;=INDEX(plan!$K:$K, $B47)),1,0)</f>
        <v>0</v>
      </c>
      <c r="AN47" s="79" cm="1">
        <f t="array" ref="AN47">IF(AND(AN$4&gt;=INDEX(plan!$J:$J, $B47), AN$4&lt;=INDEX(plan!$K:$K, $B47)),1,0)</f>
        <v>0</v>
      </c>
      <c r="AO47" s="74"/>
      <c r="AP47" s="78"/>
      <c r="AQ47" s="78"/>
      <c r="AR47" s="78"/>
      <c r="AS47" s="78"/>
      <c r="AT47" s="78"/>
      <c r="AU47" s="79"/>
    </row>
    <row r="48" spans="1:47" ht="12.95" hidden="1" customHeight="1" x14ac:dyDescent="0.3">
      <c r="A48" s="36"/>
      <c r="B48" s="300"/>
      <c r="C48" s="287"/>
      <c r="D48" s="279"/>
      <c r="E48" s="277"/>
      <c r="F48" s="75" cm="1">
        <f t="array" ref="F48">_xlfn.LET(
  _xlpm.act,   cronograma!$C47,
  _xlpm.fecha, cronograma!F$4,
  _xlpm.ini,   INDEX(plan!$J:$J, $B47),
  _xlpm.fin,   INDEX(plan!$K:$K, $B47),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48" s="76" cm="1">
        <f t="array" ref="G48">_xlfn.LET(
  _xlpm.act,   cronograma!$C47,
  _xlpm.fecha, cronograma!G$4,
  _xlpm.ini,   INDEX(plan!$J:$J, $B47),
  _xlpm.fin,   INDEX(plan!$K:$K, $B47),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48" s="76" cm="1">
        <f t="array" ref="H48">_xlfn.LET(
  _xlpm.act,   cronograma!$C47,
  _xlpm.fecha, cronograma!H$4,
  _xlpm.ini,   INDEX(plan!$J:$J, $B47),
  _xlpm.fin,   INDEX(plan!$K:$K, $B47),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48" s="76" cm="1">
        <f t="array" ref="I48">_xlfn.LET(
  _xlpm.act,   cronograma!$C47,
  _xlpm.fecha, cronograma!I$4,
  _xlpm.ini,   INDEX(plan!$J:$J, $B47),
  _xlpm.fin,   INDEX(plan!$K:$K, $B47),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48" s="76" cm="1">
        <f t="array" ref="J48">_xlfn.LET(
  _xlpm.act,   cronograma!$C47,
  _xlpm.fecha, cronograma!J$4,
  _xlpm.ini,   INDEX(plan!$J:$J, $B47),
  _xlpm.fin,   INDEX(plan!$K:$K, $B47),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48" s="76" cm="1">
        <f t="array" ref="K48">_xlfn.LET(
  _xlpm.act,   cronograma!$C47,
  _xlpm.fecha, cronograma!K$4,
  _xlpm.ini,   INDEX(plan!$J:$J, $B47),
  _xlpm.fin,   INDEX(plan!$K:$K, $B47),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48" s="77" cm="1">
        <f t="array" ref="L48">_xlfn.LET(
  _xlpm.act,   cronograma!$C47,
  _xlpm.fecha, cronograma!L$4,
  _xlpm.ini,   INDEX(plan!$J:$J, $B47),
  _xlpm.fin,   INDEX(plan!$K:$K, $B47),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48" s="75" cm="1">
        <f t="array" ref="M48">_xlfn.LET(
  _xlpm.act,   cronograma!$C47,
  _xlpm.fecha, cronograma!M$4,
  _xlpm.ini,   INDEX(plan!$J:$J, $B47),
  _xlpm.fin,   INDEX(plan!$K:$K, $B47),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48" s="76" cm="1">
        <f t="array" ref="N48">_xlfn.LET(
  _xlpm.act,   cronograma!$C47,
  _xlpm.fecha, cronograma!N$4,
  _xlpm.ini,   INDEX(plan!$J:$J, $B47),
  _xlpm.fin,   INDEX(plan!$K:$K, $B47),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48" s="76" cm="1">
        <f t="array" ref="O48">_xlfn.LET(
  _xlpm.act,   cronograma!$C47,
  _xlpm.fecha, cronograma!O$4,
  _xlpm.ini,   INDEX(plan!$J:$J, $B47),
  _xlpm.fin,   INDEX(plan!$K:$K, $B47),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48" s="76" cm="1">
        <f t="array" ref="P48">_xlfn.LET(
  _xlpm.act,   cronograma!$C47,
  _xlpm.fecha, cronograma!P$4,
  _xlpm.ini,   INDEX(plan!$J:$J, $B47),
  _xlpm.fin,   INDEX(plan!$K:$K, $B47),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48" s="76" cm="1">
        <f t="array" ref="Q48">_xlfn.LET(
  _xlpm.act,   cronograma!$C47,
  _xlpm.fecha, cronograma!Q$4,
  _xlpm.ini,   INDEX(plan!$J:$J, $B47),
  _xlpm.fin,   INDEX(plan!$K:$K, $B47),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48" s="76" cm="1">
        <f t="array" ref="R48">_xlfn.LET(
  _xlpm.act,   cronograma!$C47,
  _xlpm.fecha, cronograma!R$4,
  _xlpm.ini,   INDEX(plan!$J:$J, $B47),
  _xlpm.fin,   INDEX(plan!$K:$K, $B47),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48" s="77" cm="1">
        <f t="array" ref="S48">_xlfn.LET(
  _xlpm.act,   cronograma!$C47,
  _xlpm.fecha, cronograma!S$4,
  _xlpm.ini,   INDEX(plan!$J:$J, $B47),
  _xlpm.fin,   INDEX(plan!$K:$K, $B47),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48" s="75" cm="1">
        <f t="array" ref="T48">_xlfn.LET(
  _xlpm.act,   cronograma!$C47,
  _xlpm.fecha, cronograma!T$4,
  _xlpm.ini,   INDEX(plan!$J:$J, $B47),
  _xlpm.fin,   INDEX(plan!$K:$K, $B47),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48" s="76" cm="1">
        <f t="array" ref="U48">_xlfn.LET(
  _xlpm.act,   cronograma!$C47,
  _xlpm.fecha, cronograma!U$4,
  _xlpm.ini,   INDEX(plan!$J:$J, $B47),
  _xlpm.fin,   INDEX(plan!$K:$K, $B47),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48" s="76" cm="1">
        <f t="array" ref="V48">_xlfn.LET(
  _xlpm.act,   cronograma!$C47,
  _xlpm.fecha, cronograma!V$4,
  _xlpm.ini,   INDEX(plan!$J:$J, $B47),
  _xlpm.fin,   INDEX(plan!$K:$K, $B47),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48" s="76" cm="1">
        <f t="array" ref="W48">_xlfn.LET(
  _xlpm.act,   cronograma!$C47,
  _xlpm.fecha, cronograma!W$4,
  _xlpm.ini,   INDEX(plan!$J:$J, $B47),
  _xlpm.fin,   INDEX(plan!$K:$K, $B47),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48" s="76" cm="1">
        <f t="array" ref="X48">_xlfn.LET(
  _xlpm.act,   cronograma!$C47,
  _xlpm.fecha, cronograma!X$4,
  _xlpm.ini,   INDEX(plan!$J:$J, $B47),
  _xlpm.fin,   INDEX(plan!$K:$K, $B47),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48" s="76" cm="1">
        <f t="array" ref="Y48">_xlfn.LET(
  _xlpm.act,   cronograma!$C47,
  _xlpm.fecha, cronograma!Y$4,
  _xlpm.ini,   INDEX(plan!$J:$J, $B47),
  _xlpm.fin,   INDEX(plan!$K:$K, $B47),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48" s="77" cm="1">
        <f t="array" ref="Z48">_xlfn.LET(
  _xlpm.act,   cronograma!$C47,
  _xlpm.fecha, cronograma!Z$4,
  _xlpm.ini,   INDEX(plan!$J:$J, $B47),
  _xlpm.fin,   INDEX(plan!$K:$K, $B47),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48" s="75" cm="1">
        <f t="array" ref="AA48">_xlfn.LET(
  _xlpm.act,   cronograma!$C47,
  _xlpm.fecha, cronograma!AA$4,
  _xlpm.ini,   INDEX(plan!$J:$J, $B47),
  _xlpm.fin,   INDEX(plan!$K:$K, $B47),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48" s="76" cm="1">
        <f t="array" ref="AB48">_xlfn.LET(
  _xlpm.act,   cronograma!$C47,
  _xlpm.fecha, cronograma!AB$4,
  _xlpm.ini,   INDEX(plan!$J:$J, $B47),
  _xlpm.fin,   INDEX(plan!$K:$K, $B47),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48" s="76" cm="1">
        <f t="array" ref="AC48">_xlfn.LET(
  _xlpm.act,   cronograma!$C47,
  _xlpm.fecha, cronograma!AC$4,
  _xlpm.ini,   INDEX(plan!$J:$J, $B47),
  _xlpm.fin,   INDEX(plan!$K:$K, $B47),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48" s="76" cm="1">
        <f t="array" ref="AD48">_xlfn.LET(
  _xlpm.act,   cronograma!$C47,
  _xlpm.fecha, cronograma!AD$4,
  _xlpm.ini,   INDEX(plan!$J:$J, $B47),
  _xlpm.fin,   INDEX(plan!$K:$K, $B47),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48" s="76" cm="1">
        <f t="array" ref="AE48">_xlfn.LET(
  _xlpm.act,   cronograma!$C47,
  _xlpm.fecha, cronograma!AE$4,
  _xlpm.ini,   INDEX(plan!$J:$J, $B47),
  _xlpm.fin,   INDEX(plan!$K:$K, $B47),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48" s="76" cm="1">
        <f t="array" ref="AF48">_xlfn.LET(
  _xlpm.act,   cronograma!$C47,
  _xlpm.fecha, cronograma!AF$4,
  _xlpm.ini,   INDEX(plan!$J:$J, $B47),
  _xlpm.fin,   INDEX(plan!$K:$K, $B47),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48" s="77" cm="1">
        <f t="array" ref="AG48">_xlfn.LET(
  _xlpm.act,   cronograma!$C47,
  _xlpm.fecha, cronograma!AG$4,
  _xlpm.ini,   INDEX(plan!$J:$J, $B47),
  _xlpm.fin,   INDEX(plan!$K:$K, $B47),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48" s="75" cm="1">
        <f t="array" ref="AH48">_xlfn.LET(
  _xlpm.act,   cronograma!$C47,
  _xlpm.fecha, cronograma!AH$4,
  _xlpm.ini,   INDEX(plan!$J:$J, $B47),
  _xlpm.fin,   INDEX(plan!$K:$K, $B47),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48" s="76" cm="1">
        <f t="array" ref="AI48">_xlfn.LET(
  _xlpm.act,   cronograma!$C47,
  _xlpm.fecha, cronograma!AI$4,
  _xlpm.ini,   INDEX(plan!$J:$J, $B47),
  _xlpm.fin,   INDEX(plan!$K:$K, $B47),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48" s="76" cm="1">
        <f t="array" ref="AJ48">_xlfn.LET(
  _xlpm.act,   cronograma!$C47,
  _xlpm.fecha, cronograma!AJ$4,
  _xlpm.ini,   INDEX(plan!$J:$J, $B47),
  _xlpm.fin,   INDEX(plan!$K:$K, $B47),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48" s="76" cm="1">
        <f t="array" ref="AK48">_xlfn.LET(
  _xlpm.act,   cronograma!$C47,
  _xlpm.fecha, cronograma!AK$4,
  _xlpm.ini,   INDEX(plan!$J:$J, $B47),
  _xlpm.fin,   INDEX(plan!$K:$K, $B47),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48" s="76" cm="1">
        <f t="array" ref="AL48">_xlfn.LET(
  _xlpm.act,   cronograma!$C47,
  _xlpm.fecha, cronograma!AL$4,
  _xlpm.ini,   INDEX(plan!$J:$J, $B47),
  _xlpm.fin,   INDEX(plan!$K:$K, $B47),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48" s="76" cm="1">
        <f t="array" ref="AM48">_xlfn.LET(
  _xlpm.act,   cronograma!$C47,
  _xlpm.fecha, cronograma!AM$4,
  _xlpm.ini,   INDEX(plan!$J:$J, $B47),
  _xlpm.fin,   INDEX(plan!$K:$K, $B47),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48" s="77" cm="1">
        <f t="array" ref="AN48">_xlfn.LET(
  _xlpm.act,   cronograma!$C47,
  _xlpm.fecha, cronograma!AN$4,
  _xlpm.ini,   INDEX(plan!$J:$J, $B47),
  _xlpm.fin,   INDEX(plan!$K:$K, $B47),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O48" s="75"/>
      <c r="AP48" s="76"/>
      <c r="AQ48" s="76"/>
      <c r="AR48" s="76"/>
      <c r="AS48" s="76"/>
      <c r="AT48" s="76"/>
      <c r="AU48" s="77"/>
    </row>
    <row r="49" spans="1:47" ht="12.95" hidden="1" customHeight="1" x14ac:dyDescent="0.3">
      <c r="A49" s="36"/>
      <c r="B49" s="301">
        <f>plan!B26</f>
        <v>26</v>
      </c>
      <c r="C49" s="286">
        <f>plan!C26</f>
        <v>0</v>
      </c>
      <c r="D49" s="278" cm="1">
        <f t="array" ref="D49">INDEX(plan!$I:$I, $B49)</f>
        <v>0</v>
      </c>
      <c r="E49" s="276" cm="1">
        <f t="array" ref="E49">INDEX(plan!$U:$U, $B49)</f>
        <v>0</v>
      </c>
      <c r="F49" s="74" cm="1">
        <f t="array" ref="F49">IF(AND(F$4&gt;=INDEX(plan!$J:$J, $B49), F$4&lt;=INDEX(plan!$K:$K, $B49)),1,0)</f>
        <v>0</v>
      </c>
      <c r="G49" s="78" cm="1">
        <f t="array" ref="G49">IF(AND(G$4&gt;=INDEX(plan!$J:$J, $B49), G$4&lt;=INDEX(plan!$K:$K, $B49)),1,0)</f>
        <v>0</v>
      </c>
      <c r="H49" s="78" cm="1">
        <f t="array" ref="H49">IF(AND(H$4&gt;=INDEX(plan!$J:$J, $B49), H$4&lt;=INDEX(plan!$K:$K, $B49)),1,0)</f>
        <v>0</v>
      </c>
      <c r="I49" s="78" cm="1">
        <f t="array" ref="I49">IF(AND(I$4&gt;=INDEX(plan!$J:$J, $B49), I$4&lt;=INDEX(plan!$K:$K, $B49)),1,0)</f>
        <v>0</v>
      </c>
      <c r="J49" s="78" cm="1">
        <f t="array" ref="J49">IF(AND(J$4&gt;=INDEX(plan!$J:$J, $B49), J$4&lt;=INDEX(plan!$K:$K, $B49)),1,0)</f>
        <v>0</v>
      </c>
      <c r="K49" s="78" cm="1">
        <f t="array" ref="K49">IF(AND(K$4&gt;=INDEX(plan!$J:$J, $B49), K$4&lt;=INDEX(plan!$K:$K, $B49)),1,0)</f>
        <v>0</v>
      </c>
      <c r="L49" s="79" cm="1">
        <f t="array" ref="L49">IF(AND(L$4&gt;=INDEX(plan!$J:$J, $B49), L$4&lt;=INDEX(plan!$K:$K, $B49)),1,0)</f>
        <v>0</v>
      </c>
      <c r="M49" s="74" cm="1">
        <f t="array" ref="M49">IF(AND(M$4&gt;=INDEX(plan!$J:$J, $B49), M$4&lt;=INDEX(plan!$K:$K, $B49)),1,0)</f>
        <v>0</v>
      </c>
      <c r="N49" s="78" cm="1">
        <f t="array" ref="N49">IF(AND(N$4&gt;=INDEX(plan!$J:$J, $B49), N$4&lt;=INDEX(plan!$K:$K, $B49)),1,0)</f>
        <v>0</v>
      </c>
      <c r="O49" s="78" cm="1">
        <f t="array" ref="O49">IF(AND(O$4&gt;=INDEX(plan!$J:$J, $B49), O$4&lt;=INDEX(plan!$K:$K, $B49)),1,0)</f>
        <v>0</v>
      </c>
      <c r="P49" s="78" cm="1">
        <f t="array" ref="P49">IF(AND(P$4&gt;=INDEX(plan!$J:$J, $B49), P$4&lt;=INDEX(plan!$K:$K, $B49)),1,0)</f>
        <v>0</v>
      </c>
      <c r="Q49" s="78" cm="1">
        <f t="array" ref="Q49">IF(AND(Q$4&gt;=INDEX(plan!$J:$J, $B49), Q$4&lt;=INDEX(plan!$K:$K, $B49)),1,0)</f>
        <v>0</v>
      </c>
      <c r="R49" s="78" cm="1">
        <f t="array" ref="R49">IF(AND(R$4&gt;=INDEX(plan!$J:$J, $B49), R$4&lt;=INDEX(plan!$K:$K, $B49)),1,0)</f>
        <v>0</v>
      </c>
      <c r="S49" s="79" cm="1">
        <f t="array" ref="S49">IF(AND(S$4&gt;=INDEX(plan!$J:$J, $B49), S$4&lt;=INDEX(plan!$K:$K, $B49)),1,0)</f>
        <v>0</v>
      </c>
      <c r="T49" s="74" cm="1">
        <f t="array" ref="T49">IF(AND(T$4&gt;=INDEX(plan!$J:$J, $B49), T$4&lt;=INDEX(plan!$K:$K, $B49)),1,0)</f>
        <v>0</v>
      </c>
      <c r="U49" s="78" cm="1">
        <f t="array" ref="U49">IF(AND(U$4&gt;=INDEX(plan!$J:$J, $B49), U$4&lt;=INDEX(plan!$K:$K, $B49)),1,0)</f>
        <v>0</v>
      </c>
      <c r="V49" s="78" cm="1">
        <f t="array" ref="V49">IF(AND(V$4&gt;=INDEX(plan!$J:$J, $B49), V$4&lt;=INDEX(plan!$K:$K, $B49)),1,0)</f>
        <v>0</v>
      </c>
      <c r="W49" s="78" cm="1">
        <f t="array" ref="W49">IF(AND(W$4&gt;=INDEX(plan!$J:$J, $B49), W$4&lt;=INDEX(plan!$K:$K, $B49)),1,0)</f>
        <v>0</v>
      </c>
      <c r="X49" s="78" cm="1">
        <f t="array" ref="X49">IF(AND(X$4&gt;=INDEX(plan!$J:$J, $B49), X$4&lt;=INDEX(plan!$K:$K, $B49)),1,0)</f>
        <v>0</v>
      </c>
      <c r="Y49" s="78" cm="1">
        <f t="array" ref="Y49">IF(AND(Y$4&gt;=INDEX(plan!$J:$J, $B49), Y$4&lt;=INDEX(plan!$K:$K, $B49)),1,0)</f>
        <v>0</v>
      </c>
      <c r="Z49" s="79" cm="1">
        <f t="array" ref="Z49">IF(AND(Z$4&gt;=INDEX(plan!$J:$J, $B49), Z$4&lt;=INDEX(plan!$K:$K, $B49)),1,0)</f>
        <v>0</v>
      </c>
      <c r="AA49" s="74" cm="1">
        <f t="array" ref="AA49">IF(AND(AA$4&gt;=INDEX(plan!$J:$J, $B49), AA$4&lt;=INDEX(plan!$K:$K, $B49)),1,0)</f>
        <v>0</v>
      </c>
      <c r="AB49" s="78" cm="1">
        <f t="array" ref="AB49">IF(AND(AB$4&gt;=INDEX(plan!$J:$J, $B49), AB$4&lt;=INDEX(plan!$K:$K, $B49)),1,0)</f>
        <v>0</v>
      </c>
      <c r="AC49" s="78" cm="1">
        <f t="array" ref="AC49">IF(AND(AC$4&gt;=INDEX(plan!$J:$J, $B49), AC$4&lt;=INDEX(plan!$K:$K, $B49)),1,0)</f>
        <v>0</v>
      </c>
      <c r="AD49" s="78" cm="1">
        <f t="array" ref="AD49">IF(AND(AD$4&gt;=INDEX(plan!$J:$J, $B49), AD$4&lt;=INDEX(plan!$K:$K, $B49)),1,0)</f>
        <v>0</v>
      </c>
      <c r="AE49" s="78" cm="1">
        <f t="array" ref="AE49">IF(AND(AE$4&gt;=INDEX(plan!$J:$J, $B49), AE$4&lt;=INDEX(plan!$K:$K, $B49)),1,0)</f>
        <v>0</v>
      </c>
      <c r="AF49" s="78" cm="1">
        <f t="array" ref="AF49">IF(AND(AF$4&gt;=INDEX(plan!$J:$J, $B49), AF$4&lt;=INDEX(plan!$K:$K, $B49)),1,0)</f>
        <v>0</v>
      </c>
      <c r="AG49" s="79" cm="1">
        <f t="array" ref="AG49">IF(AND(AG$4&gt;=INDEX(plan!$J:$J, $B49), AG$4&lt;=INDEX(plan!$K:$K, $B49)),1,0)</f>
        <v>0</v>
      </c>
      <c r="AH49" s="74" cm="1">
        <f t="array" ref="AH49">IF(AND(AH$4&gt;=INDEX(plan!$J:$J, $B49), AH$4&lt;=INDEX(plan!$K:$K, $B49)),1,0)</f>
        <v>0</v>
      </c>
      <c r="AI49" s="78" cm="1">
        <f t="array" ref="AI49">IF(AND(AI$4&gt;=INDEX(plan!$J:$J, $B49), AI$4&lt;=INDEX(plan!$K:$K, $B49)),1,0)</f>
        <v>0</v>
      </c>
      <c r="AJ49" s="78" cm="1">
        <f t="array" ref="AJ49">IF(AND(AJ$4&gt;=INDEX(plan!$J:$J, $B49), AJ$4&lt;=INDEX(plan!$K:$K, $B49)),1,0)</f>
        <v>0</v>
      </c>
      <c r="AK49" s="78" cm="1">
        <f t="array" ref="AK49">IF(AND(AK$4&gt;=INDEX(plan!$J:$J, $B49), AK$4&lt;=INDEX(plan!$K:$K, $B49)),1,0)</f>
        <v>0</v>
      </c>
      <c r="AL49" s="78" cm="1">
        <f t="array" ref="AL49">IF(AND(AL$4&gt;=INDEX(plan!$J:$J, $B49), AL$4&lt;=INDEX(plan!$K:$K, $B49)),1,0)</f>
        <v>0</v>
      </c>
      <c r="AM49" s="78" cm="1">
        <f t="array" ref="AM49">IF(AND(AM$4&gt;=INDEX(plan!$J:$J, $B49), AM$4&lt;=INDEX(plan!$K:$K, $B49)),1,0)</f>
        <v>0</v>
      </c>
      <c r="AN49" s="79" cm="1">
        <f t="array" ref="AN49">IF(AND(AN$4&gt;=INDEX(plan!$J:$J, $B49), AN$4&lt;=INDEX(plan!$K:$K, $B49)),1,0)</f>
        <v>0</v>
      </c>
      <c r="AO49" s="74"/>
      <c r="AP49" s="78"/>
      <c r="AQ49" s="78"/>
      <c r="AR49" s="78"/>
      <c r="AS49" s="78"/>
      <c r="AT49" s="78"/>
      <c r="AU49" s="79"/>
    </row>
    <row r="50" spans="1:47" ht="12.95" hidden="1" customHeight="1" x14ac:dyDescent="0.3">
      <c r="A50" s="36"/>
      <c r="B50" s="300"/>
      <c r="C50" s="287"/>
      <c r="D50" s="279"/>
      <c r="E50" s="277"/>
      <c r="F50" s="75" cm="1">
        <f t="array" ref="F50">_xlfn.LET(
  _xlpm.act,   cronograma!$C49,
  _xlpm.fecha, cronograma!F$4,
  _xlpm.ini,   INDEX(plan!$J:$J, $B49),
  _xlpm.fin,   INDEX(plan!$K:$K, $B49),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50" s="76" cm="1">
        <f t="array" ref="G50">_xlfn.LET(
  _xlpm.act,   cronograma!$C49,
  _xlpm.fecha, cronograma!G$4,
  _xlpm.ini,   INDEX(plan!$J:$J, $B49),
  _xlpm.fin,   INDEX(plan!$K:$K, $B49),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50" s="76" cm="1">
        <f t="array" ref="H50">_xlfn.LET(
  _xlpm.act,   cronograma!$C49,
  _xlpm.fecha, cronograma!H$4,
  _xlpm.ini,   INDEX(plan!$J:$J, $B49),
  _xlpm.fin,   INDEX(plan!$K:$K, $B49),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50" s="76" cm="1">
        <f t="array" ref="I50">_xlfn.LET(
  _xlpm.act,   cronograma!$C49,
  _xlpm.fecha, cronograma!I$4,
  _xlpm.ini,   INDEX(plan!$J:$J, $B49),
  _xlpm.fin,   INDEX(plan!$K:$K, $B49),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50" s="76" cm="1">
        <f t="array" ref="J50">_xlfn.LET(
  _xlpm.act,   cronograma!$C49,
  _xlpm.fecha, cronograma!J$4,
  _xlpm.ini,   INDEX(plan!$J:$J, $B49),
  _xlpm.fin,   INDEX(plan!$K:$K, $B49),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50" s="76" cm="1">
        <f t="array" ref="K50">_xlfn.LET(
  _xlpm.act,   cronograma!$C49,
  _xlpm.fecha, cronograma!K$4,
  _xlpm.ini,   INDEX(plan!$J:$J, $B49),
  _xlpm.fin,   INDEX(plan!$K:$K, $B49),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50" s="77" cm="1">
        <f t="array" ref="L50">_xlfn.LET(
  _xlpm.act,   cronograma!$C49,
  _xlpm.fecha, cronograma!L$4,
  _xlpm.ini,   INDEX(plan!$J:$J, $B49),
  _xlpm.fin,   INDEX(plan!$K:$K, $B49),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50" s="75" cm="1">
        <f t="array" ref="M50">_xlfn.LET(
  _xlpm.act,   cronograma!$C49,
  _xlpm.fecha, cronograma!M$4,
  _xlpm.ini,   INDEX(plan!$J:$J, $B49),
  _xlpm.fin,   INDEX(plan!$K:$K, $B49),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50" s="76" cm="1">
        <f t="array" ref="N50">_xlfn.LET(
  _xlpm.act,   cronograma!$C49,
  _xlpm.fecha, cronograma!N$4,
  _xlpm.ini,   INDEX(plan!$J:$J, $B49),
  _xlpm.fin,   INDEX(plan!$K:$K, $B49),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50" s="76" cm="1">
        <f t="array" ref="O50">_xlfn.LET(
  _xlpm.act,   cronograma!$C49,
  _xlpm.fecha, cronograma!O$4,
  _xlpm.ini,   INDEX(plan!$J:$J, $B49),
  _xlpm.fin,   INDEX(plan!$K:$K, $B49),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50" s="76" cm="1">
        <f t="array" ref="P50">_xlfn.LET(
  _xlpm.act,   cronograma!$C49,
  _xlpm.fecha, cronograma!P$4,
  _xlpm.ini,   INDEX(plan!$J:$J, $B49),
  _xlpm.fin,   INDEX(plan!$K:$K, $B49),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50" s="76" cm="1">
        <f t="array" ref="Q50">_xlfn.LET(
  _xlpm.act,   cronograma!$C49,
  _xlpm.fecha, cronograma!Q$4,
  _xlpm.ini,   INDEX(plan!$J:$J, $B49),
  _xlpm.fin,   INDEX(plan!$K:$K, $B49),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50" s="76" cm="1">
        <f t="array" ref="R50">_xlfn.LET(
  _xlpm.act,   cronograma!$C49,
  _xlpm.fecha, cronograma!R$4,
  _xlpm.ini,   INDEX(plan!$J:$J, $B49),
  _xlpm.fin,   INDEX(plan!$K:$K, $B49),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50" s="77" cm="1">
        <f t="array" ref="S50">_xlfn.LET(
  _xlpm.act,   cronograma!$C49,
  _xlpm.fecha, cronograma!S$4,
  _xlpm.ini,   INDEX(plan!$J:$J, $B49),
  _xlpm.fin,   INDEX(plan!$K:$K, $B49),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50" s="75" cm="1">
        <f t="array" ref="T50">_xlfn.LET(
  _xlpm.act,   cronograma!$C49,
  _xlpm.fecha, cronograma!T$4,
  _xlpm.ini,   INDEX(plan!$J:$J, $B49),
  _xlpm.fin,   INDEX(plan!$K:$K, $B49),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50" s="76" cm="1">
        <f t="array" ref="U50">_xlfn.LET(
  _xlpm.act,   cronograma!$C49,
  _xlpm.fecha, cronograma!U$4,
  _xlpm.ini,   INDEX(plan!$J:$J, $B49),
  _xlpm.fin,   INDEX(plan!$K:$K, $B49),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50" s="76" cm="1">
        <f t="array" ref="V50">_xlfn.LET(
  _xlpm.act,   cronograma!$C49,
  _xlpm.fecha, cronograma!V$4,
  _xlpm.ini,   INDEX(plan!$J:$J, $B49),
  _xlpm.fin,   INDEX(plan!$K:$K, $B49),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50" s="76" cm="1">
        <f t="array" ref="W50">_xlfn.LET(
  _xlpm.act,   cronograma!$C49,
  _xlpm.fecha, cronograma!W$4,
  _xlpm.ini,   INDEX(plan!$J:$J, $B49),
  _xlpm.fin,   INDEX(plan!$K:$K, $B49),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50" s="76" cm="1">
        <f t="array" ref="X50">_xlfn.LET(
  _xlpm.act,   cronograma!$C49,
  _xlpm.fecha, cronograma!X$4,
  _xlpm.ini,   INDEX(plan!$J:$J, $B49),
  _xlpm.fin,   INDEX(plan!$K:$K, $B49),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50" s="76" cm="1">
        <f t="array" ref="Y50">_xlfn.LET(
  _xlpm.act,   cronograma!$C49,
  _xlpm.fecha, cronograma!Y$4,
  _xlpm.ini,   INDEX(plan!$J:$J, $B49),
  _xlpm.fin,   INDEX(plan!$K:$K, $B49),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50" s="77" cm="1">
        <f t="array" ref="Z50">_xlfn.LET(
  _xlpm.act,   cronograma!$C49,
  _xlpm.fecha, cronograma!Z$4,
  _xlpm.ini,   INDEX(plan!$J:$J, $B49),
  _xlpm.fin,   INDEX(plan!$K:$K, $B49),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50" s="75" cm="1">
        <f t="array" ref="AA50">_xlfn.LET(
  _xlpm.act,   cronograma!$C49,
  _xlpm.fecha, cronograma!AA$4,
  _xlpm.ini,   INDEX(plan!$J:$J, $B49),
  _xlpm.fin,   INDEX(plan!$K:$K, $B49),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50" s="76" cm="1">
        <f t="array" ref="AB50">_xlfn.LET(
  _xlpm.act,   cronograma!$C49,
  _xlpm.fecha, cronograma!AB$4,
  _xlpm.ini,   INDEX(plan!$J:$J, $B49),
  _xlpm.fin,   INDEX(plan!$K:$K, $B49),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50" s="76" cm="1">
        <f t="array" ref="AC50">_xlfn.LET(
  _xlpm.act,   cronograma!$C49,
  _xlpm.fecha, cronograma!AC$4,
  _xlpm.ini,   INDEX(plan!$J:$J, $B49),
  _xlpm.fin,   INDEX(plan!$K:$K, $B49),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50" s="76" cm="1">
        <f t="array" ref="AD50">_xlfn.LET(
  _xlpm.act,   cronograma!$C49,
  _xlpm.fecha, cronograma!AD$4,
  _xlpm.ini,   INDEX(plan!$J:$J, $B49),
  _xlpm.fin,   INDEX(plan!$K:$K, $B49),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50" s="76" cm="1">
        <f t="array" ref="AE50">_xlfn.LET(
  _xlpm.act,   cronograma!$C49,
  _xlpm.fecha, cronograma!AE$4,
  _xlpm.ini,   INDEX(plan!$J:$J, $B49),
  _xlpm.fin,   INDEX(plan!$K:$K, $B49),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50" s="76" cm="1">
        <f t="array" ref="AF50">_xlfn.LET(
  _xlpm.act,   cronograma!$C49,
  _xlpm.fecha, cronograma!AF$4,
  _xlpm.ini,   INDEX(plan!$J:$J, $B49),
  _xlpm.fin,   INDEX(plan!$K:$K, $B49),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50" s="77" cm="1">
        <f t="array" ref="AG50">_xlfn.LET(
  _xlpm.act,   cronograma!$C49,
  _xlpm.fecha, cronograma!AG$4,
  _xlpm.ini,   INDEX(plan!$J:$J, $B49),
  _xlpm.fin,   INDEX(plan!$K:$K, $B49),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50" s="75" cm="1">
        <f t="array" ref="AH50">_xlfn.LET(
  _xlpm.act,   cronograma!$C49,
  _xlpm.fecha, cronograma!AH$4,
  _xlpm.ini,   INDEX(plan!$J:$J, $B49),
  _xlpm.fin,   INDEX(plan!$K:$K, $B49),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50" s="76" cm="1">
        <f t="array" ref="AI50">_xlfn.LET(
  _xlpm.act,   cronograma!$C49,
  _xlpm.fecha, cronograma!AI$4,
  _xlpm.ini,   INDEX(plan!$J:$J, $B49),
  _xlpm.fin,   INDEX(plan!$K:$K, $B49),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50" s="76" cm="1">
        <f t="array" ref="AJ50">_xlfn.LET(
  _xlpm.act,   cronograma!$C49,
  _xlpm.fecha, cronograma!AJ$4,
  _xlpm.ini,   INDEX(plan!$J:$J, $B49),
  _xlpm.fin,   INDEX(plan!$K:$K, $B49),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50" s="76" cm="1">
        <f t="array" ref="AK50">_xlfn.LET(
  _xlpm.act,   cronograma!$C49,
  _xlpm.fecha, cronograma!AK$4,
  _xlpm.ini,   INDEX(plan!$J:$J, $B49),
  _xlpm.fin,   INDEX(plan!$K:$K, $B49),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50" s="76" cm="1">
        <f t="array" ref="AL50">_xlfn.LET(
  _xlpm.act,   cronograma!$C49,
  _xlpm.fecha, cronograma!AL$4,
  _xlpm.ini,   INDEX(plan!$J:$J, $B49),
  _xlpm.fin,   INDEX(plan!$K:$K, $B49),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50" s="76" cm="1">
        <f t="array" ref="AM50">_xlfn.LET(
  _xlpm.act,   cronograma!$C49,
  _xlpm.fecha, cronograma!AM$4,
  _xlpm.ini,   INDEX(plan!$J:$J, $B49),
  _xlpm.fin,   INDEX(plan!$K:$K, $B49),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50" s="77" cm="1">
        <f t="array" ref="AN50">_xlfn.LET(
  _xlpm.act,   cronograma!$C49,
  _xlpm.fecha, cronograma!AN$4,
  _xlpm.ini,   INDEX(plan!$J:$J, $B49),
  _xlpm.fin,   INDEX(plan!$K:$K, $B49),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O50" s="75"/>
      <c r="AP50" s="76"/>
      <c r="AQ50" s="76"/>
      <c r="AR50" s="76"/>
      <c r="AS50" s="76"/>
      <c r="AT50" s="76"/>
      <c r="AU50" s="77"/>
    </row>
    <row r="51" spans="1:47" ht="12.95" hidden="1" customHeight="1" x14ac:dyDescent="0.3">
      <c r="A51" s="36"/>
      <c r="B51" s="301">
        <f>plan!B27</f>
        <v>27</v>
      </c>
      <c r="C51" s="286">
        <f>plan!C27</f>
        <v>0</v>
      </c>
      <c r="D51" s="278" cm="1">
        <f t="array" ref="D51">INDEX(plan!$I:$I, $B51)</f>
        <v>0</v>
      </c>
      <c r="E51" s="276" cm="1">
        <f t="array" ref="E51">INDEX(plan!$U:$U, $B51)</f>
        <v>0</v>
      </c>
      <c r="F51" s="74" cm="1">
        <f t="array" ref="F51">IF(AND(F$4&gt;=INDEX(plan!$J:$J, $B51), F$4&lt;=INDEX(plan!$K:$K, $B51)),1,0)</f>
        <v>0</v>
      </c>
      <c r="G51" s="78" cm="1">
        <f t="array" ref="G51">IF(AND(G$4&gt;=INDEX(plan!$J:$J, $B51), G$4&lt;=INDEX(plan!$K:$K, $B51)),1,0)</f>
        <v>0</v>
      </c>
      <c r="H51" s="78" cm="1">
        <f t="array" ref="H51">IF(AND(H$4&gt;=INDEX(plan!$J:$J, $B51), H$4&lt;=INDEX(plan!$K:$K, $B51)),1,0)</f>
        <v>0</v>
      </c>
      <c r="I51" s="78" cm="1">
        <f t="array" ref="I51">IF(AND(I$4&gt;=INDEX(plan!$J:$J, $B51), I$4&lt;=INDEX(plan!$K:$K, $B51)),1,0)</f>
        <v>0</v>
      </c>
      <c r="J51" s="78" cm="1">
        <f t="array" ref="J51">IF(AND(J$4&gt;=INDEX(plan!$J:$J, $B51), J$4&lt;=INDEX(plan!$K:$K, $B51)),1,0)</f>
        <v>0</v>
      </c>
      <c r="K51" s="78" cm="1">
        <f t="array" ref="K51">IF(AND(K$4&gt;=INDEX(plan!$J:$J, $B51), K$4&lt;=INDEX(plan!$K:$K, $B51)),1,0)</f>
        <v>0</v>
      </c>
      <c r="L51" s="79" cm="1">
        <f t="array" ref="L51">IF(AND(L$4&gt;=INDEX(plan!$J:$J, $B51), L$4&lt;=INDEX(plan!$K:$K, $B51)),1,0)</f>
        <v>0</v>
      </c>
      <c r="M51" s="74" cm="1">
        <f t="array" ref="M51">IF(AND(M$4&gt;=INDEX(plan!$J:$J, $B51), M$4&lt;=INDEX(plan!$K:$K, $B51)),1,0)</f>
        <v>0</v>
      </c>
      <c r="N51" s="78" cm="1">
        <f t="array" ref="N51">IF(AND(N$4&gt;=INDEX(plan!$J:$J, $B51), N$4&lt;=INDEX(plan!$K:$K, $B51)),1,0)</f>
        <v>0</v>
      </c>
      <c r="O51" s="78" cm="1">
        <f t="array" ref="O51">IF(AND(O$4&gt;=INDEX(plan!$J:$J, $B51), O$4&lt;=INDEX(plan!$K:$K, $B51)),1,0)</f>
        <v>0</v>
      </c>
      <c r="P51" s="78" cm="1">
        <f t="array" ref="P51">IF(AND(P$4&gt;=INDEX(plan!$J:$J, $B51), P$4&lt;=INDEX(plan!$K:$K, $B51)),1,0)</f>
        <v>0</v>
      </c>
      <c r="Q51" s="78" cm="1">
        <f t="array" ref="Q51">IF(AND(Q$4&gt;=INDEX(plan!$J:$J, $B51), Q$4&lt;=INDEX(plan!$K:$K, $B51)),1,0)</f>
        <v>0</v>
      </c>
      <c r="R51" s="78" cm="1">
        <f t="array" ref="R51">IF(AND(R$4&gt;=INDEX(plan!$J:$J, $B51), R$4&lt;=INDEX(plan!$K:$K, $B51)),1,0)</f>
        <v>0</v>
      </c>
      <c r="S51" s="79" cm="1">
        <f t="array" ref="S51">IF(AND(S$4&gt;=INDEX(plan!$J:$J, $B51), S$4&lt;=INDEX(plan!$K:$K, $B51)),1,0)</f>
        <v>0</v>
      </c>
      <c r="T51" s="74" cm="1">
        <f t="array" ref="T51">IF(AND(T$4&gt;=INDEX(plan!$J:$J, $B51), T$4&lt;=INDEX(plan!$K:$K, $B51)),1,0)</f>
        <v>0</v>
      </c>
      <c r="U51" s="78" cm="1">
        <f t="array" ref="U51">IF(AND(U$4&gt;=INDEX(plan!$J:$J, $B51), U$4&lt;=INDEX(plan!$K:$K, $B51)),1,0)</f>
        <v>0</v>
      </c>
      <c r="V51" s="78" cm="1">
        <f t="array" ref="V51">IF(AND(V$4&gt;=INDEX(plan!$J:$J, $B51), V$4&lt;=INDEX(plan!$K:$K, $B51)),1,0)</f>
        <v>0</v>
      </c>
      <c r="W51" s="78" cm="1">
        <f t="array" ref="W51">IF(AND(W$4&gt;=INDEX(plan!$J:$J, $B51), W$4&lt;=INDEX(plan!$K:$K, $B51)),1,0)</f>
        <v>0</v>
      </c>
      <c r="X51" s="78" cm="1">
        <f t="array" ref="X51">IF(AND(X$4&gt;=INDEX(plan!$J:$J, $B51), X$4&lt;=INDEX(plan!$K:$K, $B51)),1,0)</f>
        <v>0</v>
      </c>
      <c r="Y51" s="78" cm="1">
        <f t="array" ref="Y51">IF(AND(Y$4&gt;=INDEX(plan!$J:$J, $B51), Y$4&lt;=INDEX(plan!$K:$K, $B51)),1,0)</f>
        <v>0</v>
      </c>
      <c r="Z51" s="79" cm="1">
        <f t="array" ref="Z51">IF(AND(Z$4&gt;=INDEX(plan!$J:$J, $B51), Z$4&lt;=INDEX(plan!$K:$K, $B51)),1,0)</f>
        <v>0</v>
      </c>
      <c r="AA51" s="74" cm="1">
        <f t="array" ref="AA51">IF(AND(AA$4&gt;=INDEX(plan!$J:$J, $B51), AA$4&lt;=INDEX(plan!$K:$K, $B51)),1,0)</f>
        <v>0</v>
      </c>
      <c r="AB51" s="78" cm="1">
        <f t="array" ref="AB51">IF(AND(AB$4&gt;=INDEX(plan!$J:$J, $B51), AB$4&lt;=INDEX(plan!$K:$K, $B51)),1,0)</f>
        <v>0</v>
      </c>
      <c r="AC51" s="78" cm="1">
        <f t="array" ref="AC51">IF(AND(AC$4&gt;=INDEX(plan!$J:$J, $B51), AC$4&lt;=INDEX(plan!$K:$K, $B51)),1,0)</f>
        <v>0</v>
      </c>
      <c r="AD51" s="78" cm="1">
        <f t="array" ref="AD51">IF(AND(AD$4&gt;=INDEX(plan!$J:$J, $B51), AD$4&lt;=INDEX(plan!$K:$K, $B51)),1,0)</f>
        <v>0</v>
      </c>
      <c r="AE51" s="78" cm="1">
        <f t="array" ref="AE51">IF(AND(AE$4&gt;=INDEX(plan!$J:$J, $B51), AE$4&lt;=INDEX(plan!$K:$K, $B51)),1,0)</f>
        <v>0</v>
      </c>
      <c r="AF51" s="78" cm="1">
        <f t="array" ref="AF51">IF(AND(AF$4&gt;=INDEX(plan!$J:$J, $B51), AF$4&lt;=INDEX(plan!$K:$K, $B51)),1,0)</f>
        <v>0</v>
      </c>
      <c r="AG51" s="79" cm="1">
        <f t="array" ref="AG51">IF(AND(AG$4&gt;=INDEX(plan!$J:$J, $B51), AG$4&lt;=INDEX(plan!$K:$K, $B51)),1,0)</f>
        <v>0</v>
      </c>
      <c r="AH51" s="74" cm="1">
        <f t="array" ref="AH51">IF(AND(AH$4&gt;=INDEX(plan!$J:$J, $B51), AH$4&lt;=INDEX(plan!$K:$K, $B51)),1,0)</f>
        <v>0</v>
      </c>
      <c r="AI51" s="78" cm="1">
        <f t="array" ref="AI51">IF(AND(AI$4&gt;=INDEX(plan!$J:$J, $B51), AI$4&lt;=INDEX(plan!$K:$K, $B51)),1,0)</f>
        <v>0</v>
      </c>
      <c r="AJ51" s="78" cm="1">
        <f t="array" ref="AJ51">IF(AND(AJ$4&gt;=INDEX(plan!$J:$J, $B51), AJ$4&lt;=INDEX(plan!$K:$K, $B51)),1,0)</f>
        <v>0</v>
      </c>
      <c r="AK51" s="78" cm="1">
        <f t="array" ref="AK51">IF(AND(AK$4&gt;=INDEX(plan!$J:$J, $B51), AK$4&lt;=INDEX(plan!$K:$K, $B51)),1,0)</f>
        <v>0</v>
      </c>
      <c r="AL51" s="78" cm="1">
        <f t="array" ref="AL51">IF(AND(AL$4&gt;=INDEX(plan!$J:$J, $B51), AL$4&lt;=INDEX(plan!$K:$K, $B51)),1,0)</f>
        <v>0</v>
      </c>
      <c r="AM51" s="78" cm="1">
        <f t="array" ref="AM51">IF(AND(AM$4&gt;=INDEX(plan!$J:$J, $B51), AM$4&lt;=INDEX(plan!$K:$K, $B51)),1,0)</f>
        <v>0</v>
      </c>
      <c r="AN51" s="79" cm="1">
        <f t="array" ref="AN51">IF(AND(AN$4&gt;=INDEX(plan!$J:$J, $B51), AN$4&lt;=INDEX(plan!$K:$K, $B51)),1,0)</f>
        <v>0</v>
      </c>
      <c r="AO51" s="74"/>
      <c r="AP51" s="78"/>
      <c r="AQ51" s="78"/>
      <c r="AR51" s="78"/>
      <c r="AS51" s="78"/>
      <c r="AT51" s="78"/>
      <c r="AU51" s="79"/>
    </row>
    <row r="52" spans="1:47" ht="12.95" hidden="1" customHeight="1" x14ac:dyDescent="0.3">
      <c r="A52" s="36"/>
      <c r="B52" s="300"/>
      <c r="C52" s="287"/>
      <c r="D52" s="279"/>
      <c r="E52" s="277"/>
      <c r="F52" s="75" cm="1">
        <f t="array" ref="F52">_xlfn.LET(
  _xlpm.act,   cronograma!$C51,
  _xlpm.fecha, cronograma!F$4,
  _xlpm.ini,   INDEX(plan!$J:$J, $B51),
  _xlpm.fin,   INDEX(plan!$K:$K, $B51),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52" s="76" cm="1">
        <f t="array" ref="G52">_xlfn.LET(
  _xlpm.act,   cronograma!$C51,
  _xlpm.fecha, cronograma!G$4,
  _xlpm.ini,   INDEX(plan!$J:$J, $B51),
  _xlpm.fin,   INDEX(plan!$K:$K, $B51),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52" s="76" cm="1">
        <f t="array" ref="H52">_xlfn.LET(
  _xlpm.act,   cronograma!$C51,
  _xlpm.fecha, cronograma!H$4,
  _xlpm.ini,   INDEX(plan!$J:$J, $B51),
  _xlpm.fin,   INDEX(plan!$K:$K, $B51),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52" s="76" cm="1">
        <f t="array" ref="I52">_xlfn.LET(
  _xlpm.act,   cronograma!$C51,
  _xlpm.fecha, cronograma!I$4,
  _xlpm.ini,   INDEX(plan!$J:$J, $B51),
  _xlpm.fin,   INDEX(plan!$K:$K, $B51),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52" s="76" cm="1">
        <f t="array" ref="J52">_xlfn.LET(
  _xlpm.act,   cronograma!$C51,
  _xlpm.fecha, cronograma!J$4,
  _xlpm.ini,   INDEX(plan!$J:$J, $B51),
  _xlpm.fin,   INDEX(plan!$K:$K, $B51),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52" s="76" cm="1">
        <f t="array" ref="K52">_xlfn.LET(
  _xlpm.act,   cronograma!$C51,
  _xlpm.fecha, cronograma!K$4,
  _xlpm.ini,   INDEX(plan!$J:$J, $B51),
  _xlpm.fin,   INDEX(plan!$K:$K, $B51),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52" s="77" cm="1">
        <f t="array" ref="L52">_xlfn.LET(
  _xlpm.act,   cronograma!$C51,
  _xlpm.fecha, cronograma!L$4,
  _xlpm.ini,   INDEX(plan!$J:$J, $B51),
  _xlpm.fin,   INDEX(plan!$K:$K, $B51),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52" s="75" cm="1">
        <f t="array" ref="M52">_xlfn.LET(
  _xlpm.act,   cronograma!$C51,
  _xlpm.fecha, cronograma!M$4,
  _xlpm.ini,   INDEX(plan!$J:$J, $B51),
  _xlpm.fin,   INDEX(plan!$K:$K, $B51),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52" s="76" cm="1">
        <f t="array" ref="N52">_xlfn.LET(
  _xlpm.act,   cronograma!$C51,
  _xlpm.fecha, cronograma!N$4,
  _xlpm.ini,   INDEX(plan!$J:$J, $B51),
  _xlpm.fin,   INDEX(plan!$K:$K, $B51),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52" s="76" cm="1">
        <f t="array" ref="O52">_xlfn.LET(
  _xlpm.act,   cronograma!$C51,
  _xlpm.fecha, cronograma!O$4,
  _xlpm.ini,   INDEX(plan!$J:$J, $B51),
  _xlpm.fin,   INDEX(plan!$K:$K, $B51),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52" s="76" cm="1">
        <f t="array" ref="P52">_xlfn.LET(
  _xlpm.act,   cronograma!$C51,
  _xlpm.fecha, cronograma!P$4,
  _xlpm.ini,   INDEX(plan!$J:$J, $B51),
  _xlpm.fin,   INDEX(plan!$K:$K, $B51),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52" s="76" cm="1">
        <f t="array" ref="Q52">_xlfn.LET(
  _xlpm.act,   cronograma!$C51,
  _xlpm.fecha, cronograma!Q$4,
  _xlpm.ini,   INDEX(plan!$J:$J, $B51),
  _xlpm.fin,   INDEX(plan!$K:$K, $B51),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52" s="76" cm="1">
        <f t="array" ref="R52">_xlfn.LET(
  _xlpm.act,   cronograma!$C51,
  _xlpm.fecha, cronograma!R$4,
  _xlpm.ini,   INDEX(plan!$J:$J, $B51),
  _xlpm.fin,   INDEX(plan!$K:$K, $B51),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52" s="77" cm="1">
        <f t="array" ref="S52">_xlfn.LET(
  _xlpm.act,   cronograma!$C51,
  _xlpm.fecha, cronograma!S$4,
  _xlpm.ini,   INDEX(plan!$J:$J, $B51),
  _xlpm.fin,   INDEX(plan!$K:$K, $B51),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52" s="75" cm="1">
        <f t="array" ref="T52">_xlfn.LET(
  _xlpm.act,   cronograma!$C51,
  _xlpm.fecha, cronograma!T$4,
  _xlpm.ini,   INDEX(plan!$J:$J, $B51),
  _xlpm.fin,   INDEX(plan!$K:$K, $B51),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52" s="76" cm="1">
        <f t="array" ref="U52">_xlfn.LET(
  _xlpm.act,   cronograma!$C51,
  _xlpm.fecha, cronograma!U$4,
  _xlpm.ini,   INDEX(plan!$J:$J, $B51),
  _xlpm.fin,   INDEX(plan!$K:$K, $B51),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52" s="76" cm="1">
        <f t="array" ref="V52">_xlfn.LET(
  _xlpm.act,   cronograma!$C51,
  _xlpm.fecha, cronograma!V$4,
  _xlpm.ini,   INDEX(plan!$J:$J, $B51),
  _xlpm.fin,   INDEX(plan!$K:$K, $B51),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52" s="76" cm="1">
        <f t="array" ref="W52">_xlfn.LET(
  _xlpm.act,   cronograma!$C51,
  _xlpm.fecha, cronograma!W$4,
  _xlpm.ini,   INDEX(plan!$J:$J, $B51),
  _xlpm.fin,   INDEX(plan!$K:$K, $B51),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52" s="76" cm="1">
        <f t="array" ref="X52">_xlfn.LET(
  _xlpm.act,   cronograma!$C51,
  _xlpm.fecha, cronograma!X$4,
  _xlpm.ini,   INDEX(plan!$J:$J, $B51),
  _xlpm.fin,   INDEX(plan!$K:$K, $B51),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52" s="76" cm="1">
        <f t="array" ref="Y52">_xlfn.LET(
  _xlpm.act,   cronograma!$C51,
  _xlpm.fecha, cronograma!Y$4,
  _xlpm.ini,   INDEX(plan!$J:$J, $B51),
  _xlpm.fin,   INDEX(plan!$K:$K, $B51),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52" s="77" cm="1">
        <f t="array" ref="Z52">_xlfn.LET(
  _xlpm.act,   cronograma!$C51,
  _xlpm.fecha, cronograma!Z$4,
  _xlpm.ini,   INDEX(plan!$J:$J, $B51),
  _xlpm.fin,   INDEX(plan!$K:$K, $B51),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52" s="75" cm="1">
        <f t="array" ref="AA52">_xlfn.LET(
  _xlpm.act,   cronograma!$C51,
  _xlpm.fecha, cronograma!AA$4,
  _xlpm.ini,   INDEX(plan!$J:$J, $B51),
  _xlpm.fin,   INDEX(plan!$K:$K, $B51),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52" s="76" cm="1">
        <f t="array" ref="AB52">_xlfn.LET(
  _xlpm.act,   cronograma!$C51,
  _xlpm.fecha, cronograma!AB$4,
  _xlpm.ini,   INDEX(plan!$J:$J, $B51),
  _xlpm.fin,   INDEX(plan!$K:$K, $B51),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52" s="76" cm="1">
        <f t="array" ref="AC52">_xlfn.LET(
  _xlpm.act,   cronograma!$C51,
  _xlpm.fecha, cronograma!AC$4,
  _xlpm.ini,   INDEX(plan!$J:$J, $B51),
  _xlpm.fin,   INDEX(plan!$K:$K, $B51),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52" s="76" cm="1">
        <f t="array" ref="AD52">_xlfn.LET(
  _xlpm.act,   cronograma!$C51,
  _xlpm.fecha, cronograma!AD$4,
  _xlpm.ini,   INDEX(plan!$J:$J, $B51),
  _xlpm.fin,   INDEX(plan!$K:$K, $B51),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52" s="76" cm="1">
        <f t="array" ref="AE52">_xlfn.LET(
  _xlpm.act,   cronograma!$C51,
  _xlpm.fecha, cronograma!AE$4,
  _xlpm.ini,   INDEX(plan!$J:$J, $B51),
  _xlpm.fin,   INDEX(plan!$K:$K, $B51),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52" s="76" cm="1">
        <f t="array" ref="AF52">_xlfn.LET(
  _xlpm.act,   cronograma!$C51,
  _xlpm.fecha, cronograma!AF$4,
  _xlpm.ini,   INDEX(plan!$J:$J, $B51),
  _xlpm.fin,   INDEX(plan!$K:$K, $B51),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52" s="77" cm="1">
        <f t="array" ref="AG52">_xlfn.LET(
  _xlpm.act,   cronograma!$C51,
  _xlpm.fecha, cronograma!AG$4,
  _xlpm.ini,   INDEX(plan!$J:$J, $B51),
  _xlpm.fin,   INDEX(plan!$K:$K, $B51),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52" s="75" cm="1">
        <f t="array" ref="AH52">_xlfn.LET(
  _xlpm.act,   cronograma!$C51,
  _xlpm.fecha, cronograma!AH$4,
  _xlpm.ini,   INDEX(plan!$J:$J, $B51),
  _xlpm.fin,   INDEX(plan!$K:$K, $B51),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52" s="76" cm="1">
        <f t="array" ref="AI52">_xlfn.LET(
  _xlpm.act,   cronograma!$C51,
  _xlpm.fecha, cronograma!AI$4,
  _xlpm.ini,   INDEX(plan!$J:$J, $B51),
  _xlpm.fin,   INDEX(plan!$K:$K, $B51),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52" s="76" cm="1">
        <f t="array" ref="AJ52">_xlfn.LET(
  _xlpm.act,   cronograma!$C51,
  _xlpm.fecha, cronograma!AJ$4,
  _xlpm.ini,   INDEX(plan!$J:$J, $B51),
  _xlpm.fin,   INDEX(plan!$K:$K, $B51),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52" s="76" cm="1">
        <f t="array" ref="AK52">_xlfn.LET(
  _xlpm.act,   cronograma!$C51,
  _xlpm.fecha, cronograma!AK$4,
  _xlpm.ini,   INDEX(plan!$J:$J, $B51),
  _xlpm.fin,   INDEX(plan!$K:$K, $B51),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52" s="76" cm="1">
        <f t="array" ref="AL52">_xlfn.LET(
  _xlpm.act,   cronograma!$C51,
  _xlpm.fecha, cronograma!AL$4,
  _xlpm.ini,   INDEX(plan!$J:$J, $B51),
  _xlpm.fin,   INDEX(plan!$K:$K, $B51),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52" s="76" cm="1">
        <f t="array" ref="AM52">_xlfn.LET(
  _xlpm.act,   cronograma!$C51,
  _xlpm.fecha, cronograma!AM$4,
  _xlpm.ini,   INDEX(plan!$J:$J, $B51),
  _xlpm.fin,   INDEX(plan!$K:$K, $B51),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52" s="77" cm="1">
        <f t="array" ref="AN52">_xlfn.LET(
  _xlpm.act,   cronograma!$C51,
  _xlpm.fecha, cronograma!AN$4,
  _xlpm.ini,   INDEX(plan!$J:$J, $B51),
  _xlpm.fin,   INDEX(plan!$K:$K, $B51),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O52" s="75"/>
      <c r="AP52" s="76"/>
      <c r="AQ52" s="76"/>
      <c r="AR52" s="76"/>
      <c r="AS52" s="76"/>
      <c r="AT52" s="76"/>
      <c r="AU52" s="77"/>
    </row>
    <row r="53" spans="1:47" ht="12.95" hidden="1" customHeight="1" x14ac:dyDescent="0.3">
      <c r="A53" s="36"/>
      <c r="B53" s="301">
        <f>plan!B28</f>
        <v>28</v>
      </c>
      <c r="C53" s="274">
        <f>plan!C28</f>
        <v>0</v>
      </c>
      <c r="D53" s="278" cm="1">
        <f t="array" ref="D53">INDEX(plan!$I:$I, $B53)</f>
        <v>0</v>
      </c>
      <c r="E53" s="276" cm="1">
        <f t="array" ref="E53">INDEX(plan!$U:$U, $B53)</f>
        <v>0</v>
      </c>
      <c r="F53" s="74" cm="1">
        <f t="array" ref="F53">IF(AND(F$4&gt;=INDEX(plan!$J:$J, $B53), F$4&lt;=INDEX(plan!$K:$K, $B53)),1,0)</f>
        <v>0</v>
      </c>
      <c r="G53" s="78" cm="1">
        <f t="array" ref="G53">IF(AND(G$4&gt;=INDEX(plan!$J:$J, $B53), G$4&lt;=INDEX(plan!$K:$K, $B53)),1,0)</f>
        <v>0</v>
      </c>
      <c r="H53" s="78" cm="1">
        <f t="array" ref="H53">IF(AND(H$4&gt;=INDEX(plan!$J:$J, $B53), H$4&lt;=INDEX(plan!$K:$K, $B53)),1,0)</f>
        <v>0</v>
      </c>
      <c r="I53" s="78" cm="1">
        <f t="array" ref="I53">IF(AND(I$4&gt;=INDEX(plan!$J:$J, $B53), I$4&lt;=INDEX(plan!$K:$K, $B53)),1,0)</f>
        <v>0</v>
      </c>
      <c r="J53" s="78" cm="1">
        <f t="array" ref="J53">IF(AND(J$4&gt;=INDEX(plan!$J:$J, $B53), J$4&lt;=INDEX(plan!$K:$K, $B53)),1,0)</f>
        <v>0</v>
      </c>
      <c r="K53" s="78" cm="1">
        <f t="array" ref="K53">IF(AND(K$4&gt;=INDEX(plan!$J:$J, $B53), K$4&lt;=INDEX(plan!$K:$K, $B53)),1,0)</f>
        <v>0</v>
      </c>
      <c r="L53" s="79" cm="1">
        <f t="array" ref="L53">IF(AND(L$4&gt;=INDEX(plan!$J:$J, $B53), L$4&lt;=INDEX(plan!$K:$K, $B53)),1,0)</f>
        <v>0</v>
      </c>
      <c r="M53" s="74" cm="1">
        <f t="array" ref="M53">IF(AND(M$4&gt;=INDEX(plan!$J:$J, $B53), M$4&lt;=INDEX(plan!$K:$K, $B53)),1,0)</f>
        <v>0</v>
      </c>
      <c r="N53" s="78" cm="1">
        <f t="array" ref="N53">IF(AND(N$4&gt;=INDEX(plan!$J:$J, $B53), N$4&lt;=INDEX(plan!$K:$K, $B53)),1,0)</f>
        <v>0</v>
      </c>
      <c r="O53" s="78" cm="1">
        <f t="array" ref="O53">IF(AND(O$4&gt;=INDEX(plan!$J:$J, $B53), O$4&lt;=INDEX(plan!$K:$K, $B53)),1,0)</f>
        <v>0</v>
      </c>
      <c r="P53" s="78" cm="1">
        <f t="array" ref="P53">IF(AND(P$4&gt;=INDEX(plan!$J:$J, $B53), P$4&lt;=INDEX(plan!$K:$K, $B53)),1,0)</f>
        <v>0</v>
      </c>
      <c r="Q53" s="78" cm="1">
        <f t="array" ref="Q53">IF(AND(Q$4&gt;=INDEX(plan!$J:$J, $B53), Q$4&lt;=INDEX(plan!$K:$K, $B53)),1,0)</f>
        <v>0</v>
      </c>
      <c r="R53" s="78" cm="1">
        <f t="array" ref="R53">IF(AND(R$4&gt;=INDEX(plan!$J:$J, $B53), R$4&lt;=INDEX(plan!$K:$K, $B53)),1,0)</f>
        <v>0</v>
      </c>
      <c r="S53" s="79" cm="1">
        <f t="array" ref="S53">IF(AND(S$4&gt;=INDEX(plan!$J:$J, $B53), S$4&lt;=INDEX(plan!$K:$K, $B53)),1,0)</f>
        <v>0</v>
      </c>
      <c r="T53" s="74" cm="1">
        <f t="array" ref="T53">IF(AND(T$4&gt;=INDEX(plan!$J:$J, $B53), T$4&lt;=INDEX(plan!$K:$K, $B53)),1,0)</f>
        <v>0</v>
      </c>
      <c r="U53" s="78" cm="1">
        <f t="array" ref="U53">IF(AND(U$4&gt;=INDEX(plan!$J:$J, $B53), U$4&lt;=INDEX(plan!$K:$K, $B53)),1,0)</f>
        <v>0</v>
      </c>
      <c r="V53" s="78" cm="1">
        <f t="array" ref="V53">IF(AND(V$4&gt;=INDEX(plan!$J:$J, $B53), V$4&lt;=INDEX(plan!$K:$K, $B53)),1,0)</f>
        <v>0</v>
      </c>
      <c r="W53" s="78" cm="1">
        <f t="array" ref="W53">IF(AND(W$4&gt;=INDEX(plan!$J:$J, $B53), W$4&lt;=INDEX(plan!$K:$K, $B53)),1,0)</f>
        <v>0</v>
      </c>
      <c r="X53" s="78" cm="1">
        <f t="array" ref="X53">IF(AND(X$4&gt;=INDEX(plan!$J:$J, $B53), X$4&lt;=INDEX(plan!$K:$K, $B53)),1,0)</f>
        <v>0</v>
      </c>
      <c r="Y53" s="78" cm="1">
        <f t="array" ref="Y53">IF(AND(Y$4&gt;=INDEX(plan!$J:$J, $B53), Y$4&lt;=INDEX(plan!$K:$K, $B53)),1,0)</f>
        <v>0</v>
      </c>
      <c r="Z53" s="79" cm="1">
        <f t="array" ref="Z53">IF(AND(Z$4&gt;=INDEX(plan!$J:$J, $B53), Z$4&lt;=INDEX(plan!$K:$K, $B53)),1,0)</f>
        <v>0</v>
      </c>
      <c r="AA53" s="74" cm="1">
        <f t="array" ref="AA53">IF(AND(AA$4&gt;=INDEX(plan!$J:$J, $B53), AA$4&lt;=INDEX(plan!$K:$K, $B53)),1,0)</f>
        <v>0</v>
      </c>
      <c r="AB53" s="78" cm="1">
        <f t="array" ref="AB53">IF(AND(AB$4&gt;=INDEX(plan!$J:$J, $B53), AB$4&lt;=INDEX(plan!$K:$K, $B53)),1,0)</f>
        <v>0</v>
      </c>
      <c r="AC53" s="78" cm="1">
        <f t="array" ref="AC53">IF(AND(AC$4&gt;=INDEX(plan!$J:$J, $B53), AC$4&lt;=INDEX(plan!$K:$K, $B53)),1,0)</f>
        <v>0</v>
      </c>
      <c r="AD53" s="78" cm="1">
        <f t="array" ref="AD53">IF(AND(AD$4&gt;=INDEX(plan!$J:$J, $B53), AD$4&lt;=INDEX(plan!$K:$K, $B53)),1,0)</f>
        <v>0</v>
      </c>
      <c r="AE53" s="78" cm="1">
        <f t="array" ref="AE53">IF(AND(AE$4&gt;=INDEX(plan!$J:$J, $B53), AE$4&lt;=INDEX(plan!$K:$K, $B53)),1,0)</f>
        <v>0</v>
      </c>
      <c r="AF53" s="78" cm="1">
        <f t="array" ref="AF53">IF(AND(AF$4&gt;=INDEX(plan!$J:$J, $B53), AF$4&lt;=INDEX(plan!$K:$K, $B53)),1,0)</f>
        <v>0</v>
      </c>
      <c r="AG53" s="79" cm="1">
        <f t="array" ref="AG53">IF(AND(AG$4&gt;=INDEX(plan!$J:$J, $B53), AG$4&lt;=INDEX(plan!$K:$K, $B53)),1,0)</f>
        <v>0</v>
      </c>
      <c r="AH53" s="74" cm="1">
        <f t="array" ref="AH53">IF(AND(AH$4&gt;=INDEX(plan!$J:$J, $B53), AH$4&lt;=INDEX(plan!$K:$K, $B53)),1,0)</f>
        <v>0</v>
      </c>
      <c r="AI53" s="78" cm="1">
        <f t="array" ref="AI53">IF(AND(AI$4&gt;=INDEX(plan!$J:$J, $B53), AI$4&lt;=INDEX(plan!$K:$K, $B53)),1,0)</f>
        <v>0</v>
      </c>
      <c r="AJ53" s="78" cm="1">
        <f t="array" ref="AJ53">IF(AND(AJ$4&gt;=INDEX(plan!$J:$J, $B53), AJ$4&lt;=INDEX(plan!$K:$K, $B53)),1,0)</f>
        <v>0</v>
      </c>
      <c r="AK53" s="78" cm="1">
        <f t="array" ref="AK53">IF(AND(AK$4&gt;=INDEX(plan!$J:$J, $B53), AK$4&lt;=INDEX(plan!$K:$K, $B53)),1,0)</f>
        <v>0</v>
      </c>
      <c r="AL53" s="78" cm="1">
        <f t="array" ref="AL53">IF(AND(AL$4&gt;=INDEX(plan!$J:$J, $B53), AL$4&lt;=INDEX(plan!$K:$K, $B53)),1,0)</f>
        <v>0</v>
      </c>
      <c r="AM53" s="78" cm="1">
        <f t="array" ref="AM53">IF(AND(AM$4&gt;=INDEX(plan!$J:$J, $B53), AM$4&lt;=INDEX(plan!$K:$K, $B53)),1,0)</f>
        <v>0</v>
      </c>
      <c r="AN53" s="79" cm="1">
        <f t="array" ref="AN53">IF(AND(AN$4&gt;=INDEX(plan!$J:$J, $B53), AN$4&lt;=INDEX(plan!$K:$K, $B53)),1,0)</f>
        <v>0</v>
      </c>
      <c r="AO53" s="74"/>
      <c r="AP53" s="78"/>
      <c r="AQ53" s="78"/>
      <c r="AR53" s="78"/>
      <c r="AS53" s="78"/>
      <c r="AT53" s="78"/>
      <c r="AU53" s="79"/>
    </row>
    <row r="54" spans="1:47" ht="12.95" hidden="1" customHeight="1" x14ac:dyDescent="0.3">
      <c r="A54" s="36"/>
      <c r="B54" s="300"/>
      <c r="C54" s="275"/>
      <c r="D54" s="279"/>
      <c r="E54" s="277"/>
      <c r="F54" s="75" cm="1">
        <f t="array" ref="F54">_xlfn.LET(
  _xlpm.act,   cronograma!$C53,
  _xlpm.fecha, cronograma!F$4,
  _xlpm.ini,   INDEX(plan!$J:$J, $B53),
  _xlpm.fin,   INDEX(plan!$K:$K, $B53),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54" s="76" cm="1">
        <f t="array" ref="G54">_xlfn.LET(
  _xlpm.act,   cronograma!$C53,
  _xlpm.fecha, cronograma!G$4,
  _xlpm.ini,   INDEX(plan!$J:$J, $B53),
  _xlpm.fin,   INDEX(plan!$K:$K, $B53),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54" s="76" cm="1">
        <f t="array" ref="H54">_xlfn.LET(
  _xlpm.act,   cronograma!$C53,
  _xlpm.fecha, cronograma!H$4,
  _xlpm.ini,   INDEX(plan!$J:$J, $B53),
  _xlpm.fin,   INDEX(plan!$K:$K, $B53),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54" s="76" cm="1">
        <f t="array" ref="I54">_xlfn.LET(
  _xlpm.act,   cronograma!$C53,
  _xlpm.fecha, cronograma!I$4,
  _xlpm.ini,   INDEX(plan!$J:$J, $B53),
  _xlpm.fin,   INDEX(plan!$K:$K, $B53),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54" s="76" cm="1">
        <f t="array" ref="J54">_xlfn.LET(
  _xlpm.act,   cronograma!$C53,
  _xlpm.fecha, cronograma!J$4,
  _xlpm.ini,   INDEX(plan!$J:$J, $B53),
  _xlpm.fin,   INDEX(plan!$K:$K, $B53),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54" s="76" cm="1">
        <f t="array" ref="K54">_xlfn.LET(
  _xlpm.act,   cronograma!$C53,
  _xlpm.fecha, cronograma!K$4,
  _xlpm.ini,   INDEX(plan!$J:$J, $B53),
  _xlpm.fin,   INDEX(plan!$K:$K, $B53),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54" s="77" cm="1">
        <f t="array" ref="L54">_xlfn.LET(
  _xlpm.act,   cronograma!$C53,
  _xlpm.fecha, cronograma!L$4,
  _xlpm.ini,   INDEX(plan!$J:$J, $B53),
  _xlpm.fin,   INDEX(plan!$K:$K, $B53),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54" s="75" cm="1">
        <f t="array" ref="M54">_xlfn.LET(
  _xlpm.act,   cronograma!$C53,
  _xlpm.fecha, cronograma!M$4,
  _xlpm.ini,   INDEX(plan!$J:$J, $B53),
  _xlpm.fin,   INDEX(plan!$K:$K, $B53),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54" s="76" cm="1">
        <f t="array" ref="N54">_xlfn.LET(
  _xlpm.act,   cronograma!$C53,
  _xlpm.fecha, cronograma!N$4,
  _xlpm.ini,   INDEX(plan!$J:$J, $B53),
  _xlpm.fin,   INDEX(plan!$K:$K, $B53),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54" s="76" cm="1">
        <f t="array" ref="O54">_xlfn.LET(
  _xlpm.act,   cronograma!$C53,
  _xlpm.fecha, cronograma!O$4,
  _xlpm.ini,   INDEX(plan!$J:$J, $B53),
  _xlpm.fin,   INDEX(plan!$K:$K, $B53),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54" s="76" cm="1">
        <f t="array" ref="P54">_xlfn.LET(
  _xlpm.act,   cronograma!$C53,
  _xlpm.fecha, cronograma!P$4,
  _xlpm.ini,   INDEX(plan!$J:$J, $B53),
  _xlpm.fin,   INDEX(plan!$K:$K, $B53),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54" s="76" cm="1">
        <f t="array" ref="Q54">_xlfn.LET(
  _xlpm.act,   cronograma!$C53,
  _xlpm.fecha, cronograma!Q$4,
  _xlpm.ini,   INDEX(plan!$J:$J, $B53),
  _xlpm.fin,   INDEX(plan!$K:$K, $B53),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54" s="76" cm="1">
        <f t="array" ref="R54">_xlfn.LET(
  _xlpm.act,   cronograma!$C53,
  _xlpm.fecha, cronograma!R$4,
  _xlpm.ini,   INDEX(plan!$J:$J, $B53),
  _xlpm.fin,   INDEX(plan!$K:$K, $B53),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54" s="77" cm="1">
        <f t="array" ref="S54">_xlfn.LET(
  _xlpm.act,   cronograma!$C53,
  _xlpm.fecha, cronograma!S$4,
  _xlpm.ini,   INDEX(plan!$J:$J, $B53),
  _xlpm.fin,   INDEX(plan!$K:$K, $B53),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54" s="75" cm="1">
        <f t="array" ref="T54">_xlfn.LET(
  _xlpm.act,   cronograma!$C53,
  _xlpm.fecha, cronograma!T$4,
  _xlpm.ini,   INDEX(plan!$J:$J, $B53),
  _xlpm.fin,   INDEX(plan!$K:$K, $B53),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54" s="76" cm="1">
        <f t="array" ref="U54">_xlfn.LET(
  _xlpm.act,   cronograma!$C53,
  _xlpm.fecha, cronograma!U$4,
  _xlpm.ini,   INDEX(plan!$J:$J, $B53),
  _xlpm.fin,   INDEX(plan!$K:$K, $B53),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54" s="76" cm="1">
        <f t="array" ref="V54">_xlfn.LET(
  _xlpm.act,   cronograma!$C53,
  _xlpm.fecha, cronograma!V$4,
  _xlpm.ini,   INDEX(plan!$J:$J, $B53),
  _xlpm.fin,   INDEX(plan!$K:$K, $B53),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54" s="76" cm="1">
        <f t="array" ref="W54">_xlfn.LET(
  _xlpm.act,   cronograma!$C53,
  _xlpm.fecha, cronograma!W$4,
  _xlpm.ini,   INDEX(plan!$J:$J, $B53),
  _xlpm.fin,   INDEX(plan!$K:$K, $B53),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54" s="76" cm="1">
        <f t="array" ref="X54">_xlfn.LET(
  _xlpm.act,   cronograma!$C53,
  _xlpm.fecha, cronograma!X$4,
  _xlpm.ini,   INDEX(plan!$J:$J, $B53),
  _xlpm.fin,   INDEX(plan!$K:$K, $B53),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54" s="76" cm="1">
        <f t="array" ref="Y54">_xlfn.LET(
  _xlpm.act,   cronograma!$C53,
  _xlpm.fecha, cronograma!Y$4,
  _xlpm.ini,   INDEX(plan!$J:$J, $B53),
  _xlpm.fin,   INDEX(plan!$K:$K, $B53),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54" s="77" cm="1">
        <f t="array" ref="Z54">_xlfn.LET(
  _xlpm.act,   cronograma!$C53,
  _xlpm.fecha, cronograma!Z$4,
  _xlpm.ini,   INDEX(plan!$J:$J, $B53),
  _xlpm.fin,   INDEX(plan!$K:$K, $B53),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54" s="75" cm="1">
        <f t="array" ref="AA54">_xlfn.LET(
  _xlpm.act,   cronograma!$C53,
  _xlpm.fecha, cronograma!AA$4,
  _xlpm.ini,   INDEX(plan!$J:$J, $B53),
  _xlpm.fin,   INDEX(plan!$K:$K, $B53),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54" s="76" cm="1">
        <f t="array" ref="AB54">_xlfn.LET(
  _xlpm.act,   cronograma!$C53,
  _xlpm.fecha, cronograma!AB$4,
  _xlpm.ini,   INDEX(plan!$J:$J, $B53),
  _xlpm.fin,   INDEX(plan!$K:$K, $B53),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54" s="76" cm="1">
        <f t="array" ref="AC54">_xlfn.LET(
  _xlpm.act,   cronograma!$C53,
  _xlpm.fecha, cronograma!AC$4,
  _xlpm.ini,   INDEX(plan!$J:$J, $B53),
  _xlpm.fin,   INDEX(plan!$K:$K, $B53),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54" s="76" cm="1">
        <f t="array" ref="AD54">_xlfn.LET(
  _xlpm.act,   cronograma!$C53,
  _xlpm.fecha, cronograma!AD$4,
  _xlpm.ini,   INDEX(plan!$J:$J, $B53),
  _xlpm.fin,   INDEX(plan!$K:$K, $B53),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54" s="76" cm="1">
        <f t="array" ref="AE54">_xlfn.LET(
  _xlpm.act,   cronograma!$C53,
  _xlpm.fecha, cronograma!AE$4,
  _xlpm.ini,   INDEX(plan!$J:$J, $B53),
  _xlpm.fin,   INDEX(plan!$K:$K, $B53),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54" s="76" cm="1">
        <f t="array" ref="AF54">_xlfn.LET(
  _xlpm.act,   cronograma!$C53,
  _xlpm.fecha, cronograma!AF$4,
  _xlpm.ini,   INDEX(plan!$J:$J, $B53),
  _xlpm.fin,   INDEX(plan!$K:$K, $B53),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54" s="77" cm="1">
        <f t="array" ref="AG54">_xlfn.LET(
  _xlpm.act,   cronograma!$C53,
  _xlpm.fecha, cronograma!AG$4,
  _xlpm.ini,   INDEX(plan!$J:$J, $B53),
  _xlpm.fin,   INDEX(plan!$K:$K, $B53),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54" s="75" cm="1">
        <f t="array" ref="AH54">_xlfn.LET(
  _xlpm.act,   cronograma!$C53,
  _xlpm.fecha, cronograma!AH$4,
  _xlpm.ini,   INDEX(plan!$J:$J, $B53),
  _xlpm.fin,   INDEX(plan!$K:$K, $B53),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54" s="76" cm="1">
        <f t="array" ref="AI54">_xlfn.LET(
  _xlpm.act,   cronograma!$C53,
  _xlpm.fecha, cronograma!AI$4,
  _xlpm.ini,   INDEX(plan!$J:$J, $B53),
  _xlpm.fin,   INDEX(plan!$K:$K, $B53),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54" s="76" cm="1">
        <f t="array" ref="AJ54">_xlfn.LET(
  _xlpm.act,   cronograma!$C53,
  _xlpm.fecha, cronograma!AJ$4,
  _xlpm.ini,   INDEX(plan!$J:$J, $B53),
  _xlpm.fin,   INDEX(plan!$K:$K, $B53),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54" s="76" cm="1">
        <f t="array" ref="AK54">_xlfn.LET(
  _xlpm.act,   cronograma!$C53,
  _xlpm.fecha, cronograma!AK$4,
  _xlpm.ini,   INDEX(plan!$J:$J, $B53),
  _xlpm.fin,   INDEX(plan!$K:$K, $B53),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54" s="76" cm="1">
        <f t="array" ref="AL54">_xlfn.LET(
  _xlpm.act,   cronograma!$C53,
  _xlpm.fecha, cronograma!AL$4,
  _xlpm.ini,   INDEX(plan!$J:$J, $B53),
  _xlpm.fin,   INDEX(plan!$K:$K, $B53),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54" s="76" cm="1">
        <f t="array" ref="AM54">_xlfn.LET(
  _xlpm.act,   cronograma!$C53,
  _xlpm.fecha, cronograma!AM$4,
  _xlpm.ini,   INDEX(plan!$J:$J, $B53),
  _xlpm.fin,   INDEX(plan!$K:$K, $B53),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54" s="77" cm="1">
        <f t="array" ref="AN54">_xlfn.LET(
  _xlpm.act,   cronograma!$C53,
  _xlpm.fecha, cronograma!AN$4,
  _xlpm.ini,   INDEX(plan!$J:$J, $B53),
  _xlpm.fin,   INDEX(plan!$K:$K, $B53),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O54" s="75"/>
      <c r="AP54" s="76"/>
      <c r="AQ54" s="76"/>
      <c r="AR54" s="76"/>
      <c r="AS54" s="76"/>
      <c r="AT54" s="76"/>
      <c r="AU54" s="77"/>
    </row>
    <row r="55" spans="1:47" ht="12.95" hidden="1" customHeight="1" x14ac:dyDescent="0.3">
      <c r="A55" s="36"/>
      <c r="B55" s="301">
        <f>plan!B29</f>
        <v>29</v>
      </c>
      <c r="C55" s="274">
        <f>plan!C29</f>
        <v>0</v>
      </c>
      <c r="D55" s="278" cm="1">
        <f t="array" ref="D55">INDEX(plan!$I:$I, $B55)</f>
        <v>0</v>
      </c>
      <c r="E55" s="276" cm="1">
        <f t="array" ref="E55">INDEX(plan!$U:$U, $B55)</f>
        <v>0</v>
      </c>
      <c r="F55" s="74" cm="1">
        <f t="array" ref="F55">IF(AND(F$4&gt;=INDEX(plan!$J:$J, $B55), F$4&lt;=INDEX(plan!$K:$K, $B55)),1,0)</f>
        <v>0</v>
      </c>
      <c r="G55" s="78" cm="1">
        <f t="array" ref="G55">IF(AND(G$4&gt;=INDEX(plan!$J:$J, $B55), G$4&lt;=INDEX(plan!$K:$K, $B55)),1,0)</f>
        <v>0</v>
      </c>
      <c r="H55" s="78" cm="1">
        <f t="array" ref="H55">IF(AND(H$4&gt;=INDEX(plan!$J:$J, $B55), H$4&lt;=INDEX(plan!$K:$K, $B55)),1,0)</f>
        <v>0</v>
      </c>
      <c r="I55" s="78" cm="1">
        <f t="array" ref="I55">IF(AND(I$4&gt;=INDEX(plan!$J:$J, $B55), I$4&lt;=INDEX(plan!$K:$K, $B55)),1,0)</f>
        <v>0</v>
      </c>
      <c r="J55" s="78" cm="1">
        <f t="array" ref="J55">IF(AND(J$4&gt;=INDEX(plan!$J:$J, $B55), J$4&lt;=INDEX(plan!$K:$K, $B55)),1,0)</f>
        <v>0</v>
      </c>
      <c r="K55" s="78" cm="1">
        <f t="array" ref="K55">IF(AND(K$4&gt;=INDEX(plan!$J:$J, $B55), K$4&lt;=INDEX(plan!$K:$K, $B55)),1,0)</f>
        <v>0</v>
      </c>
      <c r="L55" s="79" cm="1">
        <f t="array" ref="L55">IF(AND(L$4&gt;=INDEX(plan!$J:$J, $B55), L$4&lt;=INDEX(plan!$K:$K, $B55)),1,0)</f>
        <v>0</v>
      </c>
      <c r="M55" s="74" cm="1">
        <f t="array" ref="M55">IF(AND(M$4&gt;=INDEX(plan!$J:$J, $B55), M$4&lt;=INDEX(plan!$K:$K, $B55)),1,0)</f>
        <v>0</v>
      </c>
      <c r="N55" s="78" cm="1">
        <f t="array" ref="N55">IF(AND(N$4&gt;=INDEX(plan!$J:$J, $B55), N$4&lt;=INDEX(plan!$K:$K, $B55)),1,0)</f>
        <v>0</v>
      </c>
      <c r="O55" s="78" cm="1">
        <f t="array" ref="O55">IF(AND(O$4&gt;=INDEX(plan!$J:$J, $B55), O$4&lt;=INDEX(plan!$K:$K, $B55)),1,0)</f>
        <v>0</v>
      </c>
      <c r="P55" s="78" cm="1">
        <f t="array" ref="P55">IF(AND(P$4&gt;=INDEX(plan!$J:$J, $B55), P$4&lt;=INDEX(plan!$K:$K, $B55)),1,0)</f>
        <v>0</v>
      </c>
      <c r="Q55" s="78" cm="1">
        <f t="array" ref="Q55">IF(AND(Q$4&gt;=INDEX(plan!$J:$J, $B55), Q$4&lt;=INDEX(plan!$K:$K, $B55)),1,0)</f>
        <v>0</v>
      </c>
      <c r="R55" s="78" cm="1">
        <f t="array" ref="R55">IF(AND(R$4&gt;=INDEX(plan!$J:$J, $B55), R$4&lt;=INDEX(plan!$K:$K, $B55)),1,0)</f>
        <v>0</v>
      </c>
      <c r="S55" s="79" cm="1">
        <f t="array" ref="S55">IF(AND(S$4&gt;=INDEX(plan!$J:$J, $B55), S$4&lt;=INDEX(plan!$K:$K, $B55)),1,0)</f>
        <v>0</v>
      </c>
      <c r="T55" s="74" cm="1">
        <f t="array" ref="T55">IF(AND(T$4&gt;=INDEX(plan!$J:$J, $B55), T$4&lt;=INDEX(plan!$K:$K, $B55)),1,0)</f>
        <v>0</v>
      </c>
      <c r="U55" s="78" cm="1">
        <f t="array" ref="U55">IF(AND(U$4&gt;=INDEX(plan!$J:$J, $B55), U$4&lt;=INDEX(plan!$K:$K, $B55)),1,0)</f>
        <v>0</v>
      </c>
      <c r="V55" s="78" cm="1">
        <f t="array" ref="V55">IF(AND(V$4&gt;=INDEX(plan!$J:$J, $B55), V$4&lt;=INDEX(plan!$K:$K, $B55)),1,0)</f>
        <v>0</v>
      </c>
      <c r="W55" s="78" cm="1">
        <f t="array" ref="W55">IF(AND(W$4&gt;=INDEX(plan!$J:$J, $B55), W$4&lt;=INDEX(plan!$K:$K, $B55)),1,0)</f>
        <v>0</v>
      </c>
      <c r="X55" s="78" cm="1">
        <f t="array" ref="X55">IF(AND(X$4&gt;=INDEX(plan!$J:$J, $B55), X$4&lt;=INDEX(plan!$K:$K, $B55)),1,0)</f>
        <v>0</v>
      </c>
      <c r="Y55" s="78" cm="1">
        <f t="array" ref="Y55">IF(AND(Y$4&gt;=INDEX(plan!$J:$J, $B55), Y$4&lt;=INDEX(plan!$K:$K, $B55)),1,0)</f>
        <v>0</v>
      </c>
      <c r="Z55" s="79" cm="1">
        <f t="array" ref="Z55">IF(AND(Z$4&gt;=INDEX(plan!$J:$J, $B55), Z$4&lt;=INDEX(plan!$K:$K, $B55)),1,0)</f>
        <v>0</v>
      </c>
      <c r="AA55" s="74" cm="1">
        <f t="array" ref="AA55">IF(AND(AA$4&gt;=INDEX(plan!$J:$J, $B55), AA$4&lt;=INDEX(plan!$K:$K, $B55)),1,0)</f>
        <v>0</v>
      </c>
      <c r="AB55" s="78" cm="1">
        <f t="array" ref="AB55">IF(AND(AB$4&gt;=INDEX(plan!$J:$J, $B55), AB$4&lt;=INDEX(plan!$K:$K, $B55)),1,0)</f>
        <v>0</v>
      </c>
      <c r="AC55" s="78" cm="1">
        <f t="array" ref="AC55">IF(AND(AC$4&gt;=INDEX(plan!$J:$J, $B55), AC$4&lt;=INDEX(plan!$K:$K, $B55)),1,0)</f>
        <v>0</v>
      </c>
      <c r="AD55" s="78" cm="1">
        <f t="array" ref="AD55">IF(AND(AD$4&gt;=INDEX(plan!$J:$J, $B55), AD$4&lt;=INDEX(plan!$K:$K, $B55)),1,0)</f>
        <v>0</v>
      </c>
      <c r="AE55" s="78" cm="1">
        <f t="array" ref="AE55">IF(AND(AE$4&gt;=INDEX(plan!$J:$J, $B55), AE$4&lt;=INDEX(plan!$K:$K, $B55)),1,0)</f>
        <v>0</v>
      </c>
      <c r="AF55" s="78" cm="1">
        <f t="array" ref="AF55">IF(AND(AF$4&gt;=INDEX(plan!$J:$J, $B55), AF$4&lt;=INDEX(plan!$K:$K, $B55)),1,0)</f>
        <v>0</v>
      </c>
      <c r="AG55" s="79" cm="1">
        <f t="array" ref="AG55">IF(AND(AG$4&gt;=INDEX(plan!$J:$J, $B55), AG$4&lt;=INDEX(plan!$K:$K, $B55)),1,0)</f>
        <v>0</v>
      </c>
      <c r="AH55" s="74" cm="1">
        <f t="array" ref="AH55">IF(AND(AH$4&gt;=INDEX(plan!$J:$J, $B55), AH$4&lt;=INDEX(plan!$K:$K, $B55)),1,0)</f>
        <v>0</v>
      </c>
      <c r="AI55" s="78" cm="1">
        <f t="array" ref="AI55">IF(AND(AI$4&gt;=INDEX(plan!$J:$J, $B55), AI$4&lt;=INDEX(plan!$K:$K, $B55)),1,0)</f>
        <v>0</v>
      </c>
      <c r="AJ55" s="78" cm="1">
        <f t="array" ref="AJ55">IF(AND(AJ$4&gt;=INDEX(plan!$J:$J, $B55), AJ$4&lt;=INDEX(plan!$K:$K, $B55)),1,0)</f>
        <v>0</v>
      </c>
      <c r="AK55" s="78" cm="1">
        <f t="array" ref="AK55">IF(AND(AK$4&gt;=INDEX(plan!$J:$J, $B55), AK$4&lt;=INDEX(plan!$K:$K, $B55)),1,0)</f>
        <v>0</v>
      </c>
      <c r="AL55" s="78" cm="1">
        <f t="array" ref="AL55">IF(AND(AL$4&gt;=INDEX(plan!$J:$J, $B55), AL$4&lt;=INDEX(plan!$K:$K, $B55)),1,0)</f>
        <v>0</v>
      </c>
      <c r="AM55" s="78" cm="1">
        <f t="array" ref="AM55">IF(AND(AM$4&gt;=INDEX(plan!$J:$J, $B55), AM$4&lt;=INDEX(plan!$K:$K, $B55)),1,0)</f>
        <v>0</v>
      </c>
      <c r="AN55" s="79" cm="1">
        <f t="array" ref="AN55">IF(AND(AN$4&gt;=INDEX(plan!$J:$J, $B55), AN$4&lt;=INDEX(plan!$K:$K, $B55)),1,0)</f>
        <v>0</v>
      </c>
      <c r="AO55" s="74"/>
      <c r="AP55" s="78"/>
      <c r="AQ55" s="78"/>
      <c r="AR55" s="78"/>
      <c r="AS55" s="78"/>
      <c r="AT55" s="78"/>
      <c r="AU55" s="79"/>
    </row>
    <row r="56" spans="1:47" ht="12.95" hidden="1" customHeight="1" x14ac:dyDescent="0.3">
      <c r="A56" s="36"/>
      <c r="B56" s="300"/>
      <c r="C56" s="275"/>
      <c r="D56" s="279"/>
      <c r="E56" s="277"/>
      <c r="F56" s="75" cm="1">
        <f t="array" ref="F56">_xlfn.LET(
  _xlpm.act,   cronograma!$C55,
  _xlpm.fecha, cronograma!F$4,
  _xlpm.ini,   INDEX(plan!$J:$J, $B55),
  _xlpm.fin,   INDEX(plan!$K:$K, $B55),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56" s="76" cm="1">
        <f t="array" ref="G56">_xlfn.LET(
  _xlpm.act,   cronograma!$C55,
  _xlpm.fecha, cronograma!G$4,
  _xlpm.ini,   INDEX(plan!$J:$J, $B55),
  _xlpm.fin,   INDEX(plan!$K:$K, $B55),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56" s="76" cm="1">
        <f t="array" ref="H56">_xlfn.LET(
  _xlpm.act,   cronograma!$C55,
  _xlpm.fecha, cronograma!H$4,
  _xlpm.ini,   INDEX(plan!$J:$J, $B55),
  _xlpm.fin,   INDEX(plan!$K:$K, $B55),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56" s="76" cm="1">
        <f t="array" ref="I56">_xlfn.LET(
  _xlpm.act,   cronograma!$C55,
  _xlpm.fecha, cronograma!I$4,
  _xlpm.ini,   INDEX(plan!$J:$J, $B55),
  _xlpm.fin,   INDEX(plan!$K:$K, $B55),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56" s="76" cm="1">
        <f t="array" ref="J56">_xlfn.LET(
  _xlpm.act,   cronograma!$C55,
  _xlpm.fecha, cronograma!J$4,
  _xlpm.ini,   INDEX(plan!$J:$J, $B55),
  _xlpm.fin,   INDEX(plan!$K:$K, $B55),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56" s="76" cm="1">
        <f t="array" ref="K56">_xlfn.LET(
  _xlpm.act,   cronograma!$C55,
  _xlpm.fecha, cronograma!K$4,
  _xlpm.ini,   INDEX(plan!$J:$J, $B55),
  _xlpm.fin,   INDEX(plan!$K:$K, $B55),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56" s="77" cm="1">
        <f t="array" ref="L56">_xlfn.LET(
  _xlpm.act,   cronograma!$C55,
  _xlpm.fecha, cronograma!L$4,
  _xlpm.ini,   INDEX(plan!$J:$J, $B55),
  _xlpm.fin,   INDEX(plan!$K:$K, $B55),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56" s="75" cm="1">
        <f t="array" ref="M56">_xlfn.LET(
  _xlpm.act,   cronograma!$C55,
  _xlpm.fecha, cronograma!M$4,
  _xlpm.ini,   INDEX(plan!$J:$J, $B55),
  _xlpm.fin,   INDEX(plan!$K:$K, $B55),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56" s="76" cm="1">
        <f t="array" ref="N56">_xlfn.LET(
  _xlpm.act,   cronograma!$C55,
  _xlpm.fecha, cronograma!N$4,
  _xlpm.ini,   INDEX(plan!$J:$J, $B55),
  _xlpm.fin,   INDEX(plan!$K:$K, $B55),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56" s="76" cm="1">
        <f t="array" ref="O56">_xlfn.LET(
  _xlpm.act,   cronograma!$C55,
  _xlpm.fecha, cronograma!O$4,
  _xlpm.ini,   INDEX(plan!$J:$J, $B55),
  _xlpm.fin,   INDEX(plan!$K:$K, $B55),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56" s="76" cm="1">
        <f t="array" ref="P56">_xlfn.LET(
  _xlpm.act,   cronograma!$C55,
  _xlpm.fecha, cronograma!P$4,
  _xlpm.ini,   INDEX(plan!$J:$J, $B55),
  _xlpm.fin,   INDEX(plan!$K:$K, $B55),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56" s="76" cm="1">
        <f t="array" ref="Q56">_xlfn.LET(
  _xlpm.act,   cronograma!$C55,
  _xlpm.fecha, cronograma!Q$4,
  _xlpm.ini,   INDEX(plan!$J:$J, $B55),
  _xlpm.fin,   INDEX(plan!$K:$K, $B55),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56" s="76" cm="1">
        <f t="array" ref="R56">_xlfn.LET(
  _xlpm.act,   cronograma!$C55,
  _xlpm.fecha, cronograma!R$4,
  _xlpm.ini,   INDEX(plan!$J:$J, $B55),
  _xlpm.fin,   INDEX(plan!$K:$K, $B55),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56" s="77" cm="1">
        <f t="array" ref="S56">_xlfn.LET(
  _xlpm.act,   cronograma!$C55,
  _xlpm.fecha, cronograma!S$4,
  _xlpm.ini,   INDEX(plan!$J:$J, $B55),
  _xlpm.fin,   INDEX(plan!$K:$K, $B55),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56" s="75" cm="1">
        <f t="array" ref="T56">_xlfn.LET(
  _xlpm.act,   cronograma!$C55,
  _xlpm.fecha, cronograma!T$4,
  _xlpm.ini,   INDEX(plan!$J:$J, $B55),
  _xlpm.fin,   INDEX(plan!$K:$K, $B55),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56" s="76" cm="1">
        <f t="array" ref="U56">_xlfn.LET(
  _xlpm.act,   cronograma!$C55,
  _xlpm.fecha, cronograma!U$4,
  _xlpm.ini,   INDEX(plan!$J:$J, $B55),
  _xlpm.fin,   INDEX(plan!$K:$K, $B55),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56" s="76" cm="1">
        <f t="array" ref="V56">_xlfn.LET(
  _xlpm.act,   cronograma!$C55,
  _xlpm.fecha, cronograma!V$4,
  _xlpm.ini,   INDEX(plan!$J:$J, $B55),
  _xlpm.fin,   INDEX(plan!$K:$K, $B55),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56" s="76" cm="1">
        <f t="array" ref="W56">_xlfn.LET(
  _xlpm.act,   cronograma!$C55,
  _xlpm.fecha, cronograma!W$4,
  _xlpm.ini,   INDEX(plan!$J:$J, $B55),
  _xlpm.fin,   INDEX(plan!$K:$K, $B55),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56" s="76" cm="1">
        <f t="array" ref="X56">_xlfn.LET(
  _xlpm.act,   cronograma!$C55,
  _xlpm.fecha, cronograma!X$4,
  _xlpm.ini,   INDEX(plan!$J:$J, $B55),
  _xlpm.fin,   INDEX(plan!$K:$K, $B55),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56" s="76" cm="1">
        <f t="array" ref="Y56">_xlfn.LET(
  _xlpm.act,   cronograma!$C55,
  _xlpm.fecha, cronograma!Y$4,
  _xlpm.ini,   INDEX(plan!$J:$J, $B55),
  _xlpm.fin,   INDEX(plan!$K:$K, $B55),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56" s="77" cm="1">
        <f t="array" ref="Z56">_xlfn.LET(
  _xlpm.act,   cronograma!$C55,
  _xlpm.fecha, cronograma!Z$4,
  _xlpm.ini,   INDEX(plan!$J:$J, $B55),
  _xlpm.fin,   INDEX(plan!$K:$K, $B55),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56" s="75" cm="1">
        <f t="array" ref="AA56">_xlfn.LET(
  _xlpm.act,   cronograma!$C55,
  _xlpm.fecha, cronograma!AA$4,
  _xlpm.ini,   INDEX(plan!$J:$J, $B55),
  _xlpm.fin,   INDEX(plan!$K:$K, $B55),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56" s="76" cm="1">
        <f t="array" ref="AB56">_xlfn.LET(
  _xlpm.act,   cronograma!$C55,
  _xlpm.fecha, cronograma!AB$4,
  _xlpm.ini,   INDEX(plan!$J:$J, $B55),
  _xlpm.fin,   INDEX(plan!$K:$K, $B55),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56" s="76" cm="1">
        <f t="array" ref="AC56">_xlfn.LET(
  _xlpm.act,   cronograma!$C55,
  _xlpm.fecha, cronograma!AC$4,
  _xlpm.ini,   INDEX(plan!$J:$J, $B55),
  _xlpm.fin,   INDEX(plan!$K:$K, $B55),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56" s="76" cm="1">
        <f t="array" ref="AD56">_xlfn.LET(
  _xlpm.act,   cronograma!$C55,
  _xlpm.fecha, cronograma!AD$4,
  _xlpm.ini,   INDEX(plan!$J:$J, $B55),
  _xlpm.fin,   INDEX(plan!$K:$K, $B55),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56" s="76" cm="1">
        <f t="array" ref="AE56">_xlfn.LET(
  _xlpm.act,   cronograma!$C55,
  _xlpm.fecha, cronograma!AE$4,
  _xlpm.ini,   INDEX(plan!$J:$J, $B55),
  _xlpm.fin,   INDEX(plan!$K:$K, $B55),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56" s="76" cm="1">
        <f t="array" ref="AF56">_xlfn.LET(
  _xlpm.act,   cronograma!$C55,
  _xlpm.fecha, cronograma!AF$4,
  _xlpm.ini,   INDEX(plan!$J:$J, $B55),
  _xlpm.fin,   INDEX(plan!$K:$K, $B55),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56" s="77" cm="1">
        <f t="array" ref="AG56">_xlfn.LET(
  _xlpm.act,   cronograma!$C55,
  _xlpm.fecha, cronograma!AG$4,
  _xlpm.ini,   INDEX(plan!$J:$J, $B55),
  _xlpm.fin,   INDEX(plan!$K:$K, $B55),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56" s="75" cm="1">
        <f t="array" ref="AH56">_xlfn.LET(
  _xlpm.act,   cronograma!$C55,
  _xlpm.fecha, cronograma!AH$4,
  _xlpm.ini,   INDEX(plan!$J:$J, $B55),
  _xlpm.fin,   INDEX(plan!$K:$K, $B55),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56" s="76" cm="1">
        <f t="array" ref="AI56">_xlfn.LET(
  _xlpm.act,   cronograma!$C55,
  _xlpm.fecha, cronograma!AI$4,
  _xlpm.ini,   INDEX(plan!$J:$J, $B55),
  _xlpm.fin,   INDEX(plan!$K:$K, $B55),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56" s="76" cm="1">
        <f t="array" ref="AJ56">_xlfn.LET(
  _xlpm.act,   cronograma!$C55,
  _xlpm.fecha, cronograma!AJ$4,
  _xlpm.ini,   INDEX(plan!$J:$J, $B55),
  _xlpm.fin,   INDEX(plan!$K:$K, $B55),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56" s="76" cm="1">
        <f t="array" ref="AK56">_xlfn.LET(
  _xlpm.act,   cronograma!$C55,
  _xlpm.fecha, cronograma!AK$4,
  _xlpm.ini,   INDEX(plan!$J:$J, $B55),
  _xlpm.fin,   INDEX(plan!$K:$K, $B55),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56" s="76" cm="1">
        <f t="array" ref="AL56">_xlfn.LET(
  _xlpm.act,   cronograma!$C55,
  _xlpm.fecha, cronograma!AL$4,
  _xlpm.ini,   INDEX(plan!$J:$J, $B55),
  _xlpm.fin,   INDEX(plan!$K:$K, $B55),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56" s="76" cm="1">
        <f t="array" ref="AM56">_xlfn.LET(
  _xlpm.act,   cronograma!$C55,
  _xlpm.fecha, cronograma!AM$4,
  _xlpm.ini,   INDEX(plan!$J:$J, $B55),
  _xlpm.fin,   INDEX(plan!$K:$K, $B55),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56" s="77" cm="1">
        <f t="array" ref="AN56">_xlfn.LET(
  _xlpm.act,   cronograma!$C55,
  _xlpm.fecha, cronograma!AN$4,
  _xlpm.ini,   INDEX(plan!$J:$J, $B55),
  _xlpm.fin,   INDEX(plan!$K:$K, $B55),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O56" s="75"/>
      <c r="AP56" s="76"/>
      <c r="AQ56" s="76"/>
      <c r="AR56" s="76"/>
      <c r="AS56" s="76"/>
      <c r="AT56" s="76"/>
      <c r="AU56" s="77"/>
    </row>
    <row r="57" spans="1:47" ht="12.95" hidden="1" customHeight="1" x14ac:dyDescent="0.3">
      <c r="A57" s="36"/>
      <c r="B57" s="301">
        <f>plan!B30</f>
        <v>30</v>
      </c>
      <c r="C57" s="274">
        <f>plan!C30</f>
        <v>0</v>
      </c>
      <c r="D57" s="278" cm="1">
        <f t="array" ref="D57">INDEX(plan!$I:$I, $B57)</f>
        <v>0</v>
      </c>
      <c r="E57" s="276" cm="1">
        <f t="array" ref="E57">INDEX(plan!$U:$U, $B57)</f>
        <v>0</v>
      </c>
      <c r="F57" s="74" cm="1">
        <f t="array" ref="F57">IF(AND(F$4&gt;=INDEX(plan!$J:$J, $B57), F$4&lt;=INDEX(plan!$K:$K, $B57)),1,0)</f>
        <v>0</v>
      </c>
      <c r="G57" s="78" cm="1">
        <f t="array" ref="G57">IF(AND(G$4&gt;=INDEX(plan!$J:$J, $B57), G$4&lt;=INDEX(plan!$K:$K, $B57)),1,0)</f>
        <v>0</v>
      </c>
      <c r="H57" s="78" cm="1">
        <f t="array" ref="H57">IF(AND(H$4&gt;=INDEX(plan!$J:$J, $B57), H$4&lt;=INDEX(plan!$K:$K, $B57)),1,0)</f>
        <v>0</v>
      </c>
      <c r="I57" s="78" cm="1">
        <f t="array" ref="I57">IF(AND(I$4&gt;=INDEX(plan!$J:$J, $B57), I$4&lt;=INDEX(plan!$K:$K, $B57)),1,0)</f>
        <v>0</v>
      </c>
      <c r="J57" s="78" cm="1">
        <f t="array" ref="J57">IF(AND(J$4&gt;=INDEX(plan!$J:$J, $B57), J$4&lt;=INDEX(plan!$K:$K, $B57)),1,0)</f>
        <v>0</v>
      </c>
      <c r="K57" s="78" cm="1">
        <f t="array" ref="K57">IF(AND(K$4&gt;=INDEX(plan!$J:$J, $B57), K$4&lt;=INDEX(plan!$K:$K, $B57)),1,0)</f>
        <v>0</v>
      </c>
      <c r="L57" s="79" cm="1">
        <f t="array" ref="L57">IF(AND(L$4&gt;=INDEX(plan!$J:$J, $B57), L$4&lt;=INDEX(plan!$K:$K, $B57)),1,0)</f>
        <v>0</v>
      </c>
      <c r="M57" s="74" cm="1">
        <f t="array" ref="M57">IF(AND(M$4&gt;=INDEX(plan!$J:$J, $B57), M$4&lt;=INDEX(plan!$K:$K, $B57)),1,0)</f>
        <v>0</v>
      </c>
      <c r="N57" s="78" cm="1">
        <f t="array" ref="N57">IF(AND(N$4&gt;=INDEX(plan!$J:$J, $B57), N$4&lt;=INDEX(plan!$K:$K, $B57)),1,0)</f>
        <v>0</v>
      </c>
      <c r="O57" s="78" cm="1">
        <f t="array" ref="O57">IF(AND(O$4&gt;=INDEX(plan!$J:$J, $B57), O$4&lt;=INDEX(plan!$K:$K, $B57)),1,0)</f>
        <v>0</v>
      </c>
      <c r="P57" s="78" cm="1">
        <f t="array" ref="P57">IF(AND(P$4&gt;=INDEX(plan!$J:$J, $B57), P$4&lt;=INDEX(plan!$K:$K, $B57)),1,0)</f>
        <v>0</v>
      </c>
      <c r="Q57" s="78" cm="1">
        <f t="array" ref="Q57">IF(AND(Q$4&gt;=INDEX(plan!$J:$J, $B57), Q$4&lt;=INDEX(plan!$K:$K, $B57)),1,0)</f>
        <v>0</v>
      </c>
      <c r="R57" s="78" cm="1">
        <f t="array" ref="R57">IF(AND(R$4&gt;=INDEX(plan!$J:$J, $B57), R$4&lt;=INDEX(plan!$K:$K, $B57)),1,0)</f>
        <v>0</v>
      </c>
      <c r="S57" s="79" cm="1">
        <f t="array" ref="S57">IF(AND(S$4&gt;=INDEX(plan!$J:$J, $B57), S$4&lt;=INDEX(plan!$K:$K, $B57)),1,0)</f>
        <v>0</v>
      </c>
      <c r="T57" s="74" cm="1">
        <f t="array" ref="T57">IF(AND(T$4&gt;=INDEX(plan!$J:$J, $B57), T$4&lt;=INDEX(plan!$K:$K, $B57)),1,0)</f>
        <v>0</v>
      </c>
      <c r="U57" s="78" cm="1">
        <f t="array" ref="U57">IF(AND(U$4&gt;=INDEX(plan!$J:$J, $B57), U$4&lt;=INDEX(plan!$K:$K, $B57)),1,0)</f>
        <v>0</v>
      </c>
      <c r="V57" s="78" cm="1">
        <f t="array" ref="V57">IF(AND(V$4&gt;=INDEX(plan!$J:$J, $B57), V$4&lt;=INDEX(plan!$K:$K, $B57)),1,0)</f>
        <v>0</v>
      </c>
      <c r="W57" s="78" cm="1">
        <f t="array" ref="W57">IF(AND(W$4&gt;=INDEX(plan!$J:$J, $B57), W$4&lt;=INDEX(plan!$K:$K, $B57)),1,0)</f>
        <v>0</v>
      </c>
      <c r="X57" s="78" cm="1">
        <f t="array" ref="X57">IF(AND(X$4&gt;=INDEX(plan!$J:$J, $B57), X$4&lt;=INDEX(plan!$K:$K, $B57)),1,0)</f>
        <v>0</v>
      </c>
      <c r="Y57" s="78" cm="1">
        <f t="array" ref="Y57">IF(AND(Y$4&gt;=INDEX(plan!$J:$J, $B57), Y$4&lt;=INDEX(plan!$K:$K, $B57)),1,0)</f>
        <v>0</v>
      </c>
      <c r="Z57" s="79" cm="1">
        <f t="array" ref="Z57">IF(AND(Z$4&gt;=INDEX(plan!$J:$J, $B57), Z$4&lt;=INDEX(plan!$K:$K, $B57)),1,0)</f>
        <v>0</v>
      </c>
      <c r="AA57" s="74" cm="1">
        <f t="array" ref="AA57">IF(AND(AA$4&gt;=INDEX(plan!$J:$J, $B57), AA$4&lt;=INDEX(plan!$K:$K, $B57)),1,0)</f>
        <v>0</v>
      </c>
      <c r="AB57" s="78" cm="1">
        <f t="array" ref="AB57">IF(AND(AB$4&gt;=INDEX(plan!$J:$J, $B57), AB$4&lt;=INDEX(plan!$K:$K, $B57)),1,0)</f>
        <v>0</v>
      </c>
      <c r="AC57" s="78" cm="1">
        <f t="array" ref="AC57">IF(AND(AC$4&gt;=INDEX(plan!$J:$J, $B57), AC$4&lt;=INDEX(plan!$K:$K, $B57)),1,0)</f>
        <v>0</v>
      </c>
      <c r="AD57" s="78" cm="1">
        <f t="array" ref="AD57">IF(AND(AD$4&gt;=INDEX(plan!$J:$J, $B57), AD$4&lt;=INDEX(plan!$K:$K, $B57)),1,0)</f>
        <v>0</v>
      </c>
      <c r="AE57" s="78" cm="1">
        <f t="array" ref="AE57">IF(AND(AE$4&gt;=INDEX(plan!$J:$J, $B57), AE$4&lt;=INDEX(plan!$K:$K, $B57)),1,0)</f>
        <v>0</v>
      </c>
      <c r="AF57" s="78" cm="1">
        <f t="array" ref="AF57">IF(AND(AF$4&gt;=INDEX(plan!$J:$J, $B57), AF$4&lt;=INDEX(plan!$K:$K, $B57)),1,0)</f>
        <v>0</v>
      </c>
      <c r="AG57" s="79" cm="1">
        <f t="array" ref="AG57">IF(AND(AG$4&gt;=INDEX(plan!$J:$J, $B57), AG$4&lt;=INDEX(plan!$K:$K, $B57)),1,0)</f>
        <v>0</v>
      </c>
      <c r="AH57" s="74" cm="1">
        <f t="array" ref="AH57">IF(AND(AH$4&gt;=INDEX(plan!$J:$J, $B57), AH$4&lt;=INDEX(plan!$K:$K, $B57)),1,0)</f>
        <v>0</v>
      </c>
      <c r="AI57" s="78" cm="1">
        <f t="array" ref="AI57">IF(AND(AI$4&gt;=INDEX(plan!$J:$J, $B57), AI$4&lt;=INDEX(plan!$K:$K, $B57)),1,0)</f>
        <v>0</v>
      </c>
      <c r="AJ57" s="78" cm="1">
        <f t="array" ref="AJ57">IF(AND(AJ$4&gt;=INDEX(plan!$J:$J, $B57), AJ$4&lt;=INDEX(plan!$K:$K, $B57)),1,0)</f>
        <v>0</v>
      </c>
      <c r="AK57" s="78" cm="1">
        <f t="array" ref="AK57">IF(AND(AK$4&gt;=INDEX(plan!$J:$J, $B57), AK$4&lt;=INDEX(plan!$K:$K, $B57)),1,0)</f>
        <v>0</v>
      </c>
      <c r="AL57" s="78" cm="1">
        <f t="array" ref="AL57">IF(AND(AL$4&gt;=INDEX(plan!$J:$J, $B57), AL$4&lt;=INDEX(plan!$K:$K, $B57)),1,0)</f>
        <v>0</v>
      </c>
      <c r="AM57" s="78" cm="1">
        <f t="array" ref="AM57">IF(AND(AM$4&gt;=INDEX(plan!$J:$J, $B57), AM$4&lt;=INDEX(plan!$K:$K, $B57)),1,0)</f>
        <v>0</v>
      </c>
      <c r="AN57" s="79" cm="1">
        <f t="array" ref="AN57">IF(AND(AN$4&gt;=INDEX(plan!$J:$J, $B57), AN$4&lt;=INDEX(plan!$K:$K, $B57)),1,0)</f>
        <v>0</v>
      </c>
      <c r="AO57" s="74"/>
      <c r="AP57" s="78"/>
      <c r="AQ57" s="78"/>
      <c r="AR57" s="78"/>
      <c r="AS57" s="78"/>
      <c r="AT57" s="78"/>
      <c r="AU57" s="79"/>
    </row>
    <row r="58" spans="1:47" ht="12.95" hidden="1" customHeight="1" x14ac:dyDescent="0.3">
      <c r="A58" s="36"/>
      <c r="B58" s="300"/>
      <c r="C58" s="275"/>
      <c r="D58" s="279"/>
      <c r="E58" s="277"/>
      <c r="F58" s="75" cm="1">
        <f t="array" ref="F58">_xlfn.LET(
  _xlpm.act,   cronograma!$C57,
  _xlpm.fecha, cronograma!F$4,
  _xlpm.ini,   INDEX(plan!$J:$J, $B57),
  _xlpm.fin,   INDEX(plan!$K:$K, $B57),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58" s="76" cm="1">
        <f t="array" ref="G58">_xlfn.LET(
  _xlpm.act,   cronograma!$C57,
  _xlpm.fecha, cronograma!G$4,
  _xlpm.ini,   INDEX(plan!$J:$J, $B57),
  _xlpm.fin,   INDEX(plan!$K:$K, $B57),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58" s="76" cm="1">
        <f t="array" ref="H58">_xlfn.LET(
  _xlpm.act,   cronograma!$C57,
  _xlpm.fecha, cronograma!H$4,
  _xlpm.ini,   INDEX(plan!$J:$J, $B57),
  _xlpm.fin,   INDEX(plan!$K:$K, $B57),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58" s="76" cm="1">
        <f t="array" ref="I58">_xlfn.LET(
  _xlpm.act,   cronograma!$C57,
  _xlpm.fecha, cronograma!I$4,
  _xlpm.ini,   INDEX(plan!$J:$J, $B57),
  _xlpm.fin,   INDEX(plan!$K:$K, $B57),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58" s="76" cm="1">
        <f t="array" ref="J58">_xlfn.LET(
  _xlpm.act,   cronograma!$C57,
  _xlpm.fecha, cronograma!J$4,
  _xlpm.ini,   INDEX(plan!$J:$J, $B57),
  _xlpm.fin,   INDEX(plan!$K:$K, $B57),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58" s="76" cm="1">
        <f t="array" ref="K58">_xlfn.LET(
  _xlpm.act,   cronograma!$C57,
  _xlpm.fecha, cronograma!K$4,
  _xlpm.ini,   INDEX(plan!$J:$J, $B57),
  _xlpm.fin,   INDEX(plan!$K:$K, $B57),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58" s="77" cm="1">
        <f t="array" ref="L58">_xlfn.LET(
  _xlpm.act,   cronograma!$C57,
  _xlpm.fecha, cronograma!L$4,
  _xlpm.ini,   INDEX(plan!$J:$J, $B57),
  _xlpm.fin,   INDEX(plan!$K:$K, $B57),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58" s="75" cm="1">
        <f t="array" ref="M58">_xlfn.LET(
  _xlpm.act,   cronograma!$C57,
  _xlpm.fecha, cronograma!M$4,
  _xlpm.ini,   INDEX(plan!$J:$J, $B57),
  _xlpm.fin,   INDEX(plan!$K:$K, $B57),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58" s="76" cm="1">
        <f t="array" ref="N58">_xlfn.LET(
  _xlpm.act,   cronograma!$C57,
  _xlpm.fecha, cronograma!N$4,
  _xlpm.ini,   INDEX(plan!$J:$J, $B57),
  _xlpm.fin,   INDEX(plan!$K:$K, $B57),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58" s="76" cm="1">
        <f t="array" ref="O58">_xlfn.LET(
  _xlpm.act,   cronograma!$C57,
  _xlpm.fecha, cronograma!O$4,
  _xlpm.ini,   INDEX(plan!$J:$J, $B57),
  _xlpm.fin,   INDEX(plan!$K:$K, $B57),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58" s="76" cm="1">
        <f t="array" ref="P58">_xlfn.LET(
  _xlpm.act,   cronograma!$C57,
  _xlpm.fecha, cronograma!P$4,
  _xlpm.ini,   INDEX(plan!$J:$J, $B57),
  _xlpm.fin,   INDEX(plan!$K:$K, $B57),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58" s="76" cm="1">
        <f t="array" ref="Q58">_xlfn.LET(
  _xlpm.act,   cronograma!$C57,
  _xlpm.fecha, cronograma!Q$4,
  _xlpm.ini,   INDEX(plan!$J:$J, $B57),
  _xlpm.fin,   INDEX(plan!$K:$K, $B57),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58" s="76" cm="1">
        <f t="array" ref="R58">_xlfn.LET(
  _xlpm.act,   cronograma!$C57,
  _xlpm.fecha, cronograma!R$4,
  _xlpm.ini,   INDEX(plan!$J:$J, $B57),
  _xlpm.fin,   INDEX(plan!$K:$K, $B57),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58" s="77" cm="1">
        <f t="array" ref="S58">_xlfn.LET(
  _xlpm.act,   cronograma!$C57,
  _xlpm.fecha, cronograma!S$4,
  _xlpm.ini,   INDEX(plan!$J:$J, $B57),
  _xlpm.fin,   INDEX(plan!$K:$K, $B57),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58" s="75" cm="1">
        <f t="array" ref="T58">_xlfn.LET(
  _xlpm.act,   cronograma!$C57,
  _xlpm.fecha, cronograma!T$4,
  _xlpm.ini,   INDEX(plan!$J:$J, $B57),
  _xlpm.fin,   INDEX(plan!$K:$K, $B57),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58" s="76" cm="1">
        <f t="array" ref="U58">_xlfn.LET(
  _xlpm.act,   cronograma!$C57,
  _xlpm.fecha, cronograma!U$4,
  _xlpm.ini,   INDEX(plan!$J:$J, $B57),
  _xlpm.fin,   INDEX(plan!$K:$K, $B57),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58" s="76" cm="1">
        <f t="array" ref="V58">_xlfn.LET(
  _xlpm.act,   cronograma!$C57,
  _xlpm.fecha, cronograma!V$4,
  _xlpm.ini,   INDEX(plan!$J:$J, $B57),
  _xlpm.fin,   INDEX(plan!$K:$K, $B57),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58" s="76" cm="1">
        <f t="array" ref="W58">_xlfn.LET(
  _xlpm.act,   cronograma!$C57,
  _xlpm.fecha, cronograma!W$4,
  _xlpm.ini,   INDEX(plan!$J:$J, $B57),
  _xlpm.fin,   INDEX(plan!$K:$K, $B57),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58" s="76" cm="1">
        <f t="array" ref="X58">_xlfn.LET(
  _xlpm.act,   cronograma!$C57,
  _xlpm.fecha, cronograma!X$4,
  _xlpm.ini,   INDEX(plan!$J:$J, $B57),
  _xlpm.fin,   INDEX(plan!$K:$K, $B57),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58" s="76" cm="1">
        <f t="array" ref="Y58">_xlfn.LET(
  _xlpm.act,   cronograma!$C57,
  _xlpm.fecha, cronograma!Y$4,
  _xlpm.ini,   INDEX(plan!$J:$J, $B57),
  _xlpm.fin,   INDEX(plan!$K:$K, $B57),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58" s="77" cm="1">
        <f t="array" ref="Z58">_xlfn.LET(
  _xlpm.act,   cronograma!$C57,
  _xlpm.fecha, cronograma!Z$4,
  _xlpm.ini,   INDEX(plan!$J:$J, $B57),
  _xlpm.fin,   INDEX(plan!$K:$K, $B57),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58" s="75" cm="1">
        <f t="array" ref="AA58">_xlfn.LET(
  _xlpm.act,   cronograma!$C57,
  _xlpm.fecha, cronograma!AA$4,
  _xlpm.ini,   INDEX(plan!$J:$J, $B57),
  _xlpm.fin,   INDEX(plan!$K:$K, $B57),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58" s="76" cm="1">
        <f t="array" ref="AB58">_xlfn.LET(
  _xlpm.act,   cronograma!$C57,
  _xlpm.fecha, cronograma!AB$4,
  _xlpm.ini,   INDEX(plan!$J:$J, $B57),
  _xlpm.fin,   INDEX(plan!$K:$K, $B57),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58" s="76" cm="1">
        <f t="array" ref="AC58">_xlfn.LET(
  _xlpm.act,   cronograma!$C57,
  _xlpm.fecha, cronograma!AC$4,
  _xlpm.ini,   INDEX(plan!$J:$J, $B57),
  _xlpm.fin,   INDEX(plan!$K:$K, $B57),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58" s="76" cm="1">
        <f t="array" ref="AD58">_xlfn.LET(
  _xlpm.act,   cronograma!$C57,
  _xlpm.fecha, cronograma!AD$4,
  _xlpm.ini,   INDEX(plan!$J:$J, $B57),
  _xlpm.fin,   INDEX(plan!$K:$K, $B57),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58" s="76" cm="1">
        <f t="array" ref="AE58">_xlfn.LET(
  _xlpm.act,   cronograma!$C57,
  _xlpm.fecha, cronograma!AE$4,
  _xlpm.ini,   INDEX(plan!$J:$J, $B57),
  _xlpm.fin,   INDEX(plan!$K:$K, $B57),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58" s="76" cm="1">
        <f t="array" ref="AF58">_xlfn.LET(
  _xlpm.act,   cronograma!$C57,
  _xlpm.fecha, cronograma!AF$4,
  _xlpm.ini,   INDEX(plan!$J:$J, $B57),
  _xlpm.fin,   INDEX(plan!$K:$K, $B57),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58" s="77" cm="1">
        <f t="array" ref="AG58">_xlfn.LET(
  _xlpm.act,   cronograma!$C57,
  _xlpm.fecha, cronograma!AG$4,
  _xlpm.ini,   INDEX(plan!$J:$J, $B57),
  _xlpm.fin,   INDEX(plan!$K:$K, $B57),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58" s="75" cm="1">
        <f t="array" ref="AH58">_xlfn.LET(
  _xlpm.act,   cronograma!$C57,
  _xlpm.fecha, cronograma!AH$4,
  _xlpm.ini,   INDEX(plan!$J:$J, $B57),
  _xlpm.fin,   INDEX(plan!$K:$K, $B57),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58" s="76" cm="1">
        <f t="array" ref="AI58">_xlfn.LET(
  _xlpm.act,   cronograma!$C57,
  _xlpm.fecha, cronograma!AI$4,
  _xlpm.ini,   INDEX(plan!$J:$J, $B57),
  _xlpm.fin,   INDEX(plan!$K:$K, $B57),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58" s="76" cm="1">
        <f t="array" ref="AJ58">_xlfn.LET(
  _xlpm.act,   cronograma!$C57,
  _xlpm.fecha, cronograma!AJ$4,
  _xlpm.ini,   INDEX(plan!$J:$J, $B57),
  _xlpm.fin,   INDEX(plan!$K:$K, $B57),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58" s="76" cm="1">
        <f t="array" ref="AK58">_xlfn.LET(
  _xlpm.act,   cronograma!$C57,
  _xlpm.fecha, cronograma!AK$4,
  _xlpm.ini,   INDEX(plan!$J:$J, $B57),
  _xlpm.fin,   INDEX(plan!$K:$K, $B57),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58" s="76" cm="1">
        <f t="array" ref="AL58">_xlfn.LET(
  _xlpm.act,   cronograma!$C57,
  _xlpm.fecha, cronograma!AL$4,
  _xlpm.ini,   INDEX(plan!$J:$J, $B57),
  _xlpm.fin,   INDEX(plan!$K:$K, $B57),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58" s="76" cm="1">
        <f t="array" ref="AM58">_xlfn.LET(
  _xlpm.act,   cronograma!$C57,
  _xlpm.fecha, cronograma!AM$4,
  _xlpm.ini,   INDEX(plan!$J:$J, $B57),
  _xlpm.fin,   INDEX(plan!$K:$K, $B57),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58" s="77" cm="1">
        <f t="array" ref="AN58">_xlfn.LET(
  _xlpm.act,   cronograma!$C57,
  _xlpm.fecha, cronograma!AN$4,
  _xlpm.ini,   INDEX(plan!$J:$J, $B57),
  _xlpm.fin,   INDEX(plan!$K:$K, $B57),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O58" s="75"/>
      <c r="AP58" s="76"/>
      <c r="AQ58" s="76"/>
      <c r="AR58" s="76"/>
      <c r="AS58" s="76"/>
      <c r="AT58" s="76"/>
      <c r="AU58" s="77"/>
    </row>
    <row r="59" spans="1:47" ht="12.95" hidden="1" customHeight="1" x14ac:dyDescent="0.3">
      <c r="A59" s="36"/>
      <c r="B59" s="301">
        <f>plan!B31</f>
        <v>31</v>
      </c>
      <c r="C59" s="274">
        <f>plan!C31</f>
        <v>0</v>
      </c>
      <c r="D59" s="278" cm="1">
        <f t="array" ref="D59">INDEX(plan!$I:$I, $B59)</f>
        <v>0</v>
      </c>
      <c r="E59" s="276" cm="1">
        <f t="array" ref="E59">INDEX(plan!$U:$U, $B59)</f>
        <v>0</v>
      </c>
      <c r="F59" s="74" cm="1">
        <f t="array" ref="F59">IF(AND(F$4&gt;=INDEX(plan!$J:$J, $B59), F$4&lt;=INDEX(plan!$K:$K, $B59)),1,0)</f>
        <v>0</v>
      </c>
      <c r="G59" s="78" cm="1">
        <f t="array" ref="G59">IF(AND(G$4&gt;=INDEX(plan!$J:$J, $B59), G$4&lt;=INDEX(plan!$K:$K, $B59)),1,0)</f>
        <v>0</v>
      </c>
      <c r="H59" s="78" cm="1">
        <f t="array" ref="H59">IF(AND(H$4&gt;=INDEX(plan!$J:$J, $B59), H$4&lt;=INDEX(plan!$K:$K, $B59)),1,0)</f>
        <v>0</v>
      </c>
      <c r="I59" s="78" cm="1">
        <f t="array" ref="I59">IF(AND(I$4&gt;=INDEX(plan!$J:$J, $B59), I$4&lt;=INDEX(plan!$K:$K, $B59)),1,0)</f>
        <v>0</v>
      </c>
      <c r="J59" s="78" cm="1">
        <f t="array" ref="J59">IF(AND(J$4&gt;=INDEX(plan!$J:$J, $B59), J$4&lt;=INDEX(plan!$K:$K, $B59)),1,0)</f>
        <v>0</v>
      </c>
      <c r="K59" s="78" cm="1">
        <f t="array" ref="K59">IF(AND(K$4&gt;=INDEX(plan!$J:$J, $B59), K$4&lt;=INDEX(plan!$K:$K, $B59)),1,0)</f>
        <v>0</v>
      </c>
      <c r="L59" s="79" cm="1">
        <f t="array" ref="L59">IF(AND(L$4&gt;=INDEX(plan!$J:$J, $B59), L$4&lt;=INDEX(plan!$K:$K, $B59)),1,0)</f>
        <v>0</v>
      </c>
      <c r="M59" s="74" cm="1">
        <f t="array" ref="M59">IF(AND(M$4&gt;=INDEX(plan!$J:$J, $B59), M$4&lt;=INDEX(plan!$K:$K, $B59)),1,0)</f>
        <v>0</v>
      </c>
      <c r="N59" s="78" cm="1">
        <f t="array" ref="N59">IF(AND(N$4&gt;=INDEX(plan!$J:$J, $B59), N$4&lt;=INDEX(plan!$K:$K, $B59)),1,0)</f>
        <v>0</v>
      </c>
      <c r="O59" s="78" cm="1">
        <f t="array" ref="O59">IF(AND(O$4&gt;=INDEX(plan!$J:$J, $B59), O$4&lt;=INDEX(plan!$K:$K, $B59)),1,0)</f>
        <v>0</v>
      </c>
      <c r="P59" s="78" cm="1">
        <f t="array" ref="P59">IF(AND(P$4&gt;=INDEX(plan!$J:$J, $B59), P$4&lt;=INDEX(plan!$K:$K, $B59)),1,0)</f>
        <v>0</v>
      </c>
      <c r="Q59" s="78" cm="1">
        <f t="array" ref="Q59">IF(AND(Q$4&gt;=INDEX(plan!$J:$J, $B59), Q$4&lt;=INDEX(plan!$K:$K, $B59)),1,0)</f>
        <v>0</v>
      </c>
      <c r="R59" s="78" cm="1">
        <f t="array" ref="R59">IF(AND(R$4&gt;=INDEX(plan!$J:$J, $B59), R$4&lt;=INDEX(plan!$K:$K, $B59)),1,0)</f>
        <v>0</v>
      </c>
      <c r="S59" s="79" cm="1">
        <f t="array" ref="S59">IF(AND(S$4&gt;=INDEX(plan!$J:$J, $B59), S$4&lt;=INDEX(plan!$K:$K, $B59)),1,0)</f>
        <v>0</v>
      </c>
      <c r="T59" s="74" cm="1">
        <f t="array" ref="T59">IF(AND(T$4&gt;=INDEX(plan!$J:$J, $B59), T$4&lt;=INDEX(plan!$K:$K, $B59)),1,0)</f>
        <v>0</v>
      </c>
      <c r="U59" s="78" cm="1">
        <f t="array" ref="U59">IF(AND(U$4&gt;=INDEX(plan!$J:$J, $B59), U$4&lt;=INDEX(plan!$K:$K, $B59)),1,0)</f>
        <v>0</v>
      </c>
      <c r="V59" s="78" cm="1">
        <f t="array" ref="V59">IF(AND(V$4&gt;=INDEX(plan!$J:$J, $B59), V$4&lt;=INDEX(plan!$K:$K, $B59)),1,0)</f>
        <v>0</v>
      </c>
      <c r="W59" s="78" cm="1">
        <f t="array" ref="W59">IF(AND(W$4&gt;=INDEX(plan!$J:$J, $B59), W$4&lt;=INDEX(plan!$K:$K, $B59)),1,0)</f>
        <v>0</v>
      </c>
      <c r="X59" s="78" cm="1">
        <f t="array" ref="X59">IF(AND(X$4&gt;=INDEX(plan!$J:$J, $B59), X$4&lt;=INDEX(plan!$K:$K, $B59)),1,0)</f>
        <v>0</v>
      </c>
      <c r="Y59" s="78" cm="1">
        <f t="array" ref="Y59">IF(AND(Y$4&gt;=INDEX(plan!$J:$J, $B59), Y$4&lt;=INDEX(plan!$K:$K, $B59)),1,0)</f>
        <v>0</v>
      </c>
      <c r="Z59" s="79" cm="1">
        <f t="array" ref="Z59">IF(AND(Z$4&gt;=INDEX(plan!$J:$J, $B59), Z$4&lt;=INDEX(plan!$K:$K, $B59)),1,0)</f>
        <v>0</v>
      </c>
      <c r="AA59" s="74" cm="1">
        <f t="array" ref="AA59">IF(AND(AA$4&gt;=INDEX(plan!$J:$J, $B59), AA$4&lt;=INDEX(plan!$K:$K, $B59)),1,0)</f>
        <v>0</v>
      </c>
      <c r="AB59" s="78" cm="1">
        <f t="array" ref="AB59">IF(AND(AB$4&gt;=INDEX(plan!$J:$J, $B59), AB$4&lt;=INDEX(plan!$K:$K, $B59)),1,0)</f>
        <v>0</v>
      </c>
      <c r="AC59" s="78" cm="1">
        <f t="array" ref="AC59">IF(AND(AC$4&gt;=INDEX(plan!$J:$J, $B59), AC$4&lt;=INDEX(plan!$K:$K, $B59)),1,0)</f>
        <v>0</v>
      </c>
      <c r="AD59" s="78" cm="1">
        <f t="array" ref="AD59">IF(AND(AD$4&gt;=INDEX(plan!$J:$J, $B59), AD$4&lt;=INDEX(plan!$K:$K, $B59)),1,0)</f>
        <v>0</v>
      </c>
      <c r="AE59" s="78" cm="1">
        <f t="array" ref="AE59">IF(AND(AE$4&gt;=INDEX(plan!$J:$J, $B59), AE$4&lt;=INDEX(plan!$K:$K, $B59)),1,0)</f>
        <v>0</v>
      </c>
      <c r="AF59" s="78" cm="1">
        <f t="array" ref="AF59">IF(AND(AF$4&gt;=INDEX(plan!$J:$J, $B59), AF$4&lt;=INDEX(plan!$K:$K, $B59)),1,0)</f>
        <v>0</v>
      </c>
      <c r="AG59" s="79" cm="1">
        <f t="array" ref="AG59">IF(AND(AG$4&gt;=INDEX(plan!$J:$J, $B59), AG$4&lt;=INDEX(plan!$K:$K, $B59)),1,0)</f>
        <v>0</v>
      </c>
      <c r="AH59" s="74" cm="1">
        <f t="array" ref="AH59">IF(AND(AH$4&gt;=INDEX(plan!$J:$J, $B59), AH$4&lt;=INDEX(plan!$K:$K, $B59)),1,0)</f>
        <v>0</v>
      </c>
      <c r="AI59" s="78" cm="1">
        <f t="array" ref="AI59">IF(AND(AI$4&gt;=INDEX(plan!$J:$J, $B59), AI$4&lt;=INDEX(plan!$K:$K, $B59)),1,0)</f>
        <v>0</v>
      </c>
      <c r="AJ59" s="78" cm="1">
        <f t="array" ref="AJ59">IF(AND(AJ$4&gt;=INDEX(plan!$J:$J, $B59), AJ$4&lt;=INDEX(plan!$K:$K, $B59)),1,0)</f>
        <v>0</v>
      </c>
      <c r="AK59" s="78" cm="1">
        <f t="array" ref="AK59">IF(AND(AK$4&gt;=INDEX(plan!$J:$J, $B59), AK$4&lt;=INDEX(plan!$K:$K, $B59)),1,0)</f>
        <v>0</v>
      </c>
      <c r="AL59" s="78" cm="1">
        <f t="array" ref="AL59">IF(AND(AL$4&gt;=INDEX(plan!$J:$J, $B59), AL$4&lt;=INDEX(plan!$K:$K, $B59)),1,0)</f>
        <v>0</v>
      </c>
      <c r="AM59" s="78" cm="1">
        <f t="array" ref="AM59">IF(AND(AM$4&gt;=INDEX(plan!$J:$J, $B59), AM$4&lt;=INDEX(plan!$K:$K, $B59)),1,0)</f>
        <v>0</v>
      </c>
      <c r="AN59" s="79" cm="1">
        <f t="array" ref="AN59">IF(AND(AN$4&gt;=INDEX(plan!$J:$J, $B59), AN$4&lt;=INDEX(plan!$K:$K, $B59)),1,0)</f>
        <v>0</v>
      </c>
      <c r="AO59" s="74"/>
      <c r="AP59" s="78"/>
      <c r="AQ59" s="78"/>
      <c r="AR59" s="78"/>
      <c r="AS59" s="78"/>
      <c r="AT59" s="78"/>
      <c r="AU59" s="79"/>
    </row>
    <row r="60" spans="1:47" ht="12.95" hidden="1" customHeight="1" x14ac:dyDescent="0.3">
      <c r="A60" s="36"/>
      <c r="B60" s="300"/>
      <c r="C60" s="275"/>
      <c r="D60" s="279"/>
      <c r="E60" s="277"/>
      <c r="F60" s="75" cm="1">
        <f t="array" ref="F60">_xlfn.LET(
  _xlpm.act,   cronograma!$C59,
  _xlpm.fecha, cronograma!F$4,
  _xlpm.ini,   INDEX(plan!$J:$J, $B59),
  _xlpm.fin,   INDEX(plan!$K:$K, $B59),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60" s="76" cm="1">
        <f t="array" ref="G60">_xlfn.LET(
  _xlpm.act,   cronograma!$C59,
  _xlpm.fecha, cronograma!G$4,
  _xlpm.ini,   INDEX(plan!$J:$J, $B59),
  _xlpm.fin,   INDEX(plan!$K:$K, $B59),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60" s="76" cm="1">
        <f t="array" ref="H60">_xlfn.LET(
  _xlpm.act,   cronograma!$C59,
  _xlpm.fecha, cronograma!H$4,
  _xlpm.ini,   INDEX(plan!$J:$J, $B59),
  _xlpm.fin,   INDEX(plan!$K:$K, $B59),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60" s="76" cm="1">
        <f t="array" ref="I60">_xlfn.LET(
  _xlpm.act,   cronograma!$C59,
  _xlpm.fecha, cronograma!I$4,
  _xlpm.ini,   INDEX(plan!$J:$J, $B59),
  _xlpm.fin,   INDEX(plan!$K:$K, $B59),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60" s="76" cm="1">
        <f t="array" ref="J60">_xlfn.LET(
  _xlpm.act,   cronograma!$C59,
  _xlpm.fecha, cronograma!J$4,
  _xlpm.ini,   INDEX(plan!$J:$J, $B59),
  _xlpm.fin,   INDEX(plan!$K:$K, $B59),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60" s="76" cm="1">
        <f t="array" ref="K60">_xlfn.LET(
  _xlpm.act,   cronograma!$C59,
  _xlpm.fecha, cronograma!K$4,
  _xlpm.ini,   INDEX(plan!$J:$J, $B59),
  _xlpm.fin,   INDEX(plan!$K:$K, $B59),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60" s="77" cm="1">
        <f t="array" ref="L60">_xlfn.LET(
  _xlpm.act,   cronograma!$C59,
  _xlpm.fecha, cronograma!L$4,
  _xlpm.ini,   INDEX(plan!$J:$J, $B59),
  _xlpm.fin,   INDEX(plan!$K:$K, $B59),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60" s="75" cm="1">
        <f t="array" ref="M60">_xlfn.LET(
  _xlpm.act,   cronograma!$C59,
  _xlpm.fecha, cronograma!M$4,
  _xlpm.ini,   INDEX(plan!$J:$J, $B59),
  _xlpm.fin,   INDEX(plan!$K:$K, $B59),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60" s="76" cm="1">
        <f t="array" ref="N60">_xlfn.LET(
  _xlpm.act,   cronograma!$C59,
  _xlpm.fecha, cronograma!N$4,
  _xlpm.ini,   INDEX(plan!$J:$J, $B59),
  _xlpm.fin,   INDEX(plan!$K:$K, $B59),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60" s="76" cm="1">
        <f t="array" ref="O60">_xlfn.LET(
  _xlpm.act,   cronograma!$C59,
  _xlpm.fecha, cronograma!O$4,
  _xlpm.ini,   INDEX(plan!$J:$J, $B59),
  _xlpm.fin,   INDEX(plan!$K:$K, $B59),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60" s="76" cm="1">
        <f t="array" ref="P60">_xlfn.LET(
  _xlpm.act,   cronograma!$C59,
  _xlpm.fecha, cronograma!P$4,
  _xlpm.ini,   INDEX(plan!$J:$J, $B59),
  _xlpm.fin,   INDEX(plan!$K:$K, $B59),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60" s="76" cm="1">
        <f t="array" ref="Q60">_xlfn.LET(
  _xlpm.act,   cronograma!$C59,
  _xlpm.fecha, cronograma!Q$4,
  _xlpm.ini,   INDEX(plan!$J:$J, $B59),
  _xlpm.fin,   INDEX(plan!$K:$K, $B59),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60" s="76" cm="1">
        <f t="array" ref="R60">_xlfn.LET(
  _xlpm.act,   cronograma!$C59,
  _xlpm.fecha, cronograma!R$4,
  _xlpm.ini,   INDEX(plan!$J:$J, $B59),
  _xlpm.fin,   INDEX(plan!$K:$K, $B59),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60" s="77" cm="1">
        <f t="array" ref="S60">_xlfn.LET(
  _xlpm.act,   cronograma!$C59,
  _xlpm.fecha, cronograma!S$4,
  _xlpm.ini,   INDEX(plan!$J:$J, $B59),
  _xlpm.fin,   INDEX(plan!$K:$K, $B59),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60" s="75" cm="1">
        <f t="array" ref="T60">_xlfn.LET(
  _xlpm.act,   cronograma!$C59,
  _xlpm.fecha, cronograma!T$4,
  _xlpm.ini,   INDEX(plan!$J:$J, $B59),
  _xlpm.fin,   INDEX(plan!$K:$K, $B59),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60" s="76" cm="1">
        <f t="array" ref="U60">_xlfn.LET(
  _xlpm.act,   cronograma!$C59,
  _xlpm.fecha, cronograma!U$4,
  _xlpm.ini,   INDEX(plan!$J:$J, $B59),
  _xlpm.fin,   INDEX(plan!$K:$K, $B59),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60" s="76" cm="1">
        <f t="array" ref="V60">_xlfn.LET(
  _xlpm.act,   cronograma!$C59,
  _xlpm.fecha, cronograma!V$4,
  _xlpm.ini,   INDEX(plan!$J:$J, $B59),
  _xlpm.fin,   INDEX(plan!$K:$K, $B59),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60" s="76" cm="1">
        <f t="array" ref="W60">_xlfn.LET(
  _xlpm.act,   cronograma!$C59,
  _xlpm.fecha, cronograma!W$4,
  _xlpm.ini,   INDEX(plan!$J:$J, $B59),
  _xlpm.fin,   INDEX(plan!$K:$K, $B59),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60" s="76" cm="1">
        <f t="array" ref="X60">_xlfn.LET(
  _xlpm.act,   cronograma!$C59,
  _xlpm.fecha, cronograma!X$4,
  _xlpm.ini,   INDEX(plan!$J:$J, $B59),
  _xlpm.fin,   INDEX(plan!$K:$K, $B59),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60" s="76" cm="1">
        <f t="array" ref="Y60">_xlfn.LET(
  _xlpm.act,   cronograma!$C59,
  _xlpm.fecha, cronograma!Y$4,
  _xlpm.ini,   INDEX(plan!$J:$J, $B59),
  _xlpm.fin,   INDEX(plan!$K:$K, $B59),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60" s="77" cm="1">
        <f t="array" ref="Z60">_xlfn.LET(
  _xlpm.act,   cronograma!$C59,
  _xlpm.fecha, cronograma!Z$4,
  _xlpm.ini,   INDEX(plan!$J:$J, $B59),
  _xlpm.fin,   INDEX(plan!$K:$K, $B59),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60" s="75" cm="1">
        <f t="array" ref="AA60">_xlfn.LET(
  _xlpm.act,   cronograma!$C59,
  _xlpm.fecha, cronograma!AA$4,
  _xlpm.ini,   INDEX(plan!$J:$J, $B59),
  _xlpm.fin,   INDEX(plan!$K:$K, $B59),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60" s="76" cm="1">
        <f t="array" ref="AB60">_xlfn.LET(
  _xlpm.act,   cronograma!$C59,
  _xlpm.fecha, cronograma!AB$4,
  _xlpm.ini,   INDEX(plan!$J:$J, $B59),
  _xlpm.fin,   INDEX(plan!$K:$K, $B59),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60" s="76" cm="1">
        <f t="array" ref="AC60">_xlfn.LET(
  _xlpm.act,   cronograma!$C59,
  _xlpm.fecha, cronograma!AC$4,
  _xlpm.ini,   INDEX(plan!$J:$J, $B59),
  _xlpm.fin,   INDEX(plan!$K:$K, $B59),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60" s="76" cm="1">
        <f t="array" ref="AD60">_xlfn.LET(
  _xlpm.act,   cronograma!$C59,
  _xlpm.fecha, cronograma!AD$4,
  _xlpm.ini,   INDEX(plan!$J:$J, $B59),
  _xlpm.fin,   INDEX(plan!$K:$K, $B59),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60" s="76" cm="1">
        <f t="array" ref="AE60">_xlfn.LET(
  _xlpm.act,   cronograma!$C59,
  _xlpm.fecha, cronograma!AE$4,
  _xlpm.ini,   INDEX(plan!$J:$J, $B59),
  _xlpm.fin,   INDEX(plan!$K:$K, $B59),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60" s="76" cm="1">
        <f t="array" ref="AF60">_xlfn.LET(
  _xlpm.act,   cronograma!$C59,
  _xlpm.fecha, cronograma!AF$4,
  _xlpm.ini,   INDEX(plan!$J:$J, $B59),
  _xlpm.fin,   INDEX(plan!$K:$K, $B59),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60" s="77" cm="1">
        <f t="array" ref="AG60">_xlfn.LET(
  _xlpm.act,   cronograma!$C59,
  _xlpm.fecha, cronograma!AG$4,
  _xlpm.ini,   INDEX(plan!$J:$J, $B59),
  _xlpm.fin,   INDEX(plan!$K:$K, $B59),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60" s="75" cm="1">
        <f t="array" ref="AH60">_xlfn.LET(
  _xlpm.act,   cronograma!$C59,
  _xlpm.fecha, cronograma!AH$4,
  _xlpm.ini,   INDEX(plan!$J:$J, $B59),
  _xlpm.fin,   INDEX(plan!$K:$K, $B59),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60" s="76" cm="1">
        <f t="array" ref="AI60">_xlfn.LET(
  _xlpm.act,   cronograma!$C59,
  _xlpm.fecha, cronograma!AI$4,
  _xlpm.ini,   INDEX(plan!$J:$J, $B59),
  _xlpm.fin,   INDEX(plan!$K:$K, $B59),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60" s="76" cm="1">
        <f t="array" ref="AJ60">_xlfn.LET(
  _xlpm.act,   cronograma!$C59,
  _xlpm.fecha, cronograma!AJ$4,
  _xlpm.ini,   INDEX(plan!$J:$J, $B59),
  _xlpm.fin,   INDEX(plan!$K:$K, $B59),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60" s="76" cm="1">
        <f t="array" ref="AK60">_xlfn.LET(
  _xlpm.act,   cronograma!$C59,
  _xlpm.fecha, cronograma!AK$4,
  _xlpm.ini,   INDEX(plan!$J:$J, $B59),
  _xlpm.fin,   INDEX(plan!$K:$K, $B59),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60" s="76" cm="1">
        <f t="array" ref="AL60">_xlfn.LET(
  _xlpm.act,   cronograma!$C59,
  _xlpm.fecha, cronograma!AL$4,
  _xlpm.ini,   INDEX(plan!$J:$J, $B59),
  _xlpm.fin,   INDEX(plan!$K:$K, $B59),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60" s="76" cm="1">
        <f t="array" ref="AM60">_xlfn.LET(
  _xlpm.act,   cronograma!$C59,
  _xlpm.fecha, cronograma!AM$4,
  _xlpm.ini,   INDEX(plan!$J:$J, $B59),
  _xlpm.fin,   INDEX(plan!$K:$K, $B59),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60" s="77" cm="1">
        <f t="array" ref="AN60">_xlfn.LET(
  _xlpm.act,   cronograma!$C59,
  _xlpm.fecha, cronograma!AN$4,
  _xlpm.ini,   INDEX(plan!$J:$J, $B59),
  _xlpm.fin,   INDEX(plan!$K:$K, $B59),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O60" s="75"/>
      <c r="AP60" s="76"/>
      <c r="AQ60" s="76"/>
      <c r="AR60" s="76"/>
      <c r="AS60" s="76"/>
      <c r="AT60" s="76"/>
      <c r="AU60" s="77"/>
    </row>
    <row r="61" spans="1:47" ht="12.95" hidden="1" customHeight="1" x14ac:dyDescent="0.3">
      <c r="A61" s="36"/>
      <c r="B61" s="301">
        <f>plan!B32</f>
        <v>32</v>
      </c>
      <c r="C61" s="274">
        <f>plan!C32</f>
        <v>0</v>
      </c>
      <c r="D61" s="278" cm="1">
        <f t="array" ref="D61">INDEX(plan!$I:$I, $B61)</f>
        <v>0</v>
      </c>
      <c r="E61" s="276" cm="1">
        <f t="array" ref="E61">INDEX(plan!$U:$U, $B61)</f>
        <v>0</v>
      </c>
      <c r="F61" s="74" cm="1">
        <f t="array" ref="F61">IF(AND(F$4&gt;=INDEX(plan!$J:$J, $B61), F$4&lt;=INDEX(plan!$K:$K, $B61)),1,0)</f>
        <v>0</v>
      </c>
      <c r="G61" s="78" cm="1">
        <f t="array" ref="G61">IF(AND(G$4&gt;=INDEX(plan!$J:$J, $B61), G$4&lt;=INDEX(plan!$K:$K, $B61)),1,0)</f>
        <v>0</v>
      </c>
      <c r="H61" s="78" cm="1">
        <f t="array" ref="H61">IF(AND(H$4&gt;=INDEX(plan!$J:$J, $B61), H$4&lt;=INDEX(plan!$K:$K, $B61)),1,0)</f>
        <v>0</v>
      </c>
      <c r="I61" s="78" cm="1">
        <f t="array" ref="I61">IF(AND(I$4&gt;=INDEX(plan!$J:$J, $B61), I$4&lt;=INDEX(plan!$K:$K, $B61)),1,0)</f>
        <v>0</v>
      </c>
      <c r="J61" s="78" cm="1">
        <f t="array" ref="J61">IF(AND(J$4&gt;=INDEX(plan!$J:$J, $B61), J$4&lt;=INDEX(plan!$K:$K, $B61)),1,0)</f>
        <v>0</v>
      </c>
      <c r="K61" s="78" cm="1">
        <f t="array" ref="K61">IF(AND(K$4&gt;=INDEX(plan!$J:$J, $B61), K$4&lt;=INDEX(plan!$K:$K, $B61)),1,0)</f>
        <v>0</v>
      </c>
      <c r="L61" s="79" cm="1">
        <f t="array" ref="L61">IF(AND(L$4&gt;=INDEX(plan!$J:$J, $B61), L$4&lt;=INDEX(plan!$K:$K, $B61)),1,0)</f>
        <v>0</v>
      </c>
      <c r="M61" s="74" cm="1">
        <f t="array" ref="M61">IF(AND(M$4&gt;=INDEX(plan!$J:$J, $B61), M$4&lt;=INDEX(plan!$K:$K, $B61)),1,0)</f>
        <v>0</v>
      </c>
      <c r="N61" s="78" cm="1">
        <f t="array" ref="N61">IF(AND(N$4&gt;=INDEX(plan!$J:$J, $B61), N$4&lt;=INDEX(plan!$K:$K, $B61)),1,0)</f>
        <v>0</v>
      </c>
      <c r="O61" s="78" cm="1">
        <f t="array" ref="O61">IF(AND(O$4&gt;=INDEX(plan!$J:$J, $B61), O$4&lt;=INDEX(plan!$K:$K, $B61)),1,0)</f>
        <v>0</v>
      </c>
      <c r="P61" s="78" cm="1">
        <f t="array" ref="P61">IF(AND(P$4&gt;=INDEX(plan!$J:$J, $B61), P$4&lt;=INDEX(plan!$K:$K, $B61)),1,0)</f>
        <v>0</v>
      </c>
      <c r="Q61" s="78" cm="1">
        <f t="array" ref="Q61">IF(AND(Q$4&gt;=INDEX(plan!$J:$J, $B61), Q$4&lt;=INDEX(plan!$K:$K, $B61)),1,0)</f>
        <v>0</v>
      </c>
      <c r="R61" s="78" cm="1">
        <f t="array" ref="R61">IF(AND(R$4&gt;=INDEX(plan!$J:$J, $B61), R$4&lt;=INDEX(plan!$K:$K, $B61)),1,0)</f>
        <v>0</v>
      </c>
      <c r="S61" s="79" cm="1">
        <f t="array" ref="S61">IF(AND(S$4&gt;=INDEX(plan!$J:$J, $B61), S$4&lt;=INDEX(plan!$K:$K, $B61)),1,0)</f>
        <v>0</v>
      </c>
      <c r="T61" s="74" cm="1">
        <f t="array" ref="T61">IF(AND(T$4&gt;=INDEX(plan!$J:$J, $B61), T$4&lt;=INDEX(plan!$K:$K, $B61)),1,0)</f>
        <v>0</v>
      </c>
      <c r="U61" s="78" cm="1">
        <f t="array" ref="U61">IF(AND(U$4&gt;=INDEX(plan!$J:$J, $B61), U$4&lt;=INDEX(plan!$K:$K, $B61)),1,0)</f>
        <v>0</v>
      </c>
      <c r="V61" s="78" cm="1">
        <f t="array" ref="V61">IF(AND(V$4&gt;=INDEX(plan!$J:$J, $B61), V$4&lt;=INDEX(plan!$K:$K, $B61)),1,0)</f>
        <v>0</v>
      </c>
      <c r="W61" s="78" cm="1">
        <f t="array" ref="W61">IF(AND(W$4&gt;=INDEX(plan!$J:$J, $B61), W$4&lt;=INDEX(plan!$K:$K, $B61)),1,0)</f>
        <v>0</v>
      </c>
      <c r="X61" s="78" cm="1">
        <f t="array" ref="X61">IF(AND(X$4&gt;=INDEX(plan!$J:$J, $B61), X$4&lt;=INDEX(plan!$K:$K, $B61)),1,0)</f>
        <v>0</v>
      </c>
      <c r="Y61" s="78" cm="1">
        <f t="array" ref="Y61">IF(AND(Y$4&gt;=INDEX(plan!$J:$J, $B61), Y$4&lt;=INDEX(plan!$K:$K, $B61)),1,0)</f>
        <v>0</v>
      </c>
      <c r="Z61" s="79" cm="1">
        <f t="array" ref="Z61">IF(AND(Z$4&gt;=INDEX(plan!$J:$J, $B61), Z$4&lt;=INDEX(plan!$K:$K, $B61)),1,0)</f>
        <v>0</v>
      </c>
      <c r="AA61" s="74" cm="1">
        <f t="array" ref="AA61">IF(AND(AA$4&gt;=INDEX(plan!$J:$J, $B61), AA$4&lt;=INDEX(plan!$K:$K, $B61)),1,0)</f>
        <v>0</v>
      </c>
      <c r="AB61" s="78" cm="1">
        <f t="array" ref="AB61">IF(AND(AB$4&gt;=INDEX(plan!$J:$J, $B61), AB$4&lt;=INDEX(plan!$K:$K, $B61)),1,0)</f>
        <v>0</v>
      </c>
      <c r="AC61" s="78" cm="1">
        <f t="array" ref="AC61">IF(AND(AC$4&gt;=INDEX(plan!$J:$J, $B61), AC$4&lt;=INDEX(plan!$K:$K, $B61)),1,0)</f>
        <v>0</v>
      </c>
      <c r="AD61" s="78" cm="1">
        <f t="array" ref="AD61">IF(AND(AD$4&gt;=INDEX(plan!$J:$J, $B61), AD$4&lt;=INDEX(plan!$K:$K, $B61)),1,0)</f>
        <v>0</v>
      </c>
      <c r="AE61" s="78" cm="1">
        <f t="array" ref="AE61">IF(AND(AE$4&gt;=INDEX(plan!$J:$J, $B61), AE$4&lt;=INDEX(plan!$K:$K, $B61)),1,0)</f>
        <v>0</v>
      </c>
      <c r="AF61" s="78" cm="1">
        <f t="array" ref="AF61">IF(AND(AF$4&gt;=INDEX(plan!$J:$J, $B61), AF$4&lt;=INDEX(plan!$K:$K, $B61)),1,0)</f>
        <v>0</v>
      </c>
      <c r="AG61" s="79" cm="1">
        <f t="array" ref="AG61">IF(AND(AG$4&gt;=INDEX(plan!$J:$J, $B61), AG$4&lt;=INDEX(plan!$K:$K, $B61)),1,0)</f>
        <v>0</v>
      </c>
      <c r="AH61" s="74" cm="1">
        <f t="array" ref="AH61">IF(AND(AH$4&gt;=INDEX(plan!$J:$J, $B61), AH$4&lt;=INDEX(plan!$K:$K, $B61)),1,0)</f>
        <v>0</v>
      </c>
      <c r="AI61" s="78" cm="1">
        <f t="array" ref="AI61">IF(AND(AI$4&gt;=INDEX(plan!$J:$J, $B61), AI$4&lt;=INDEX(plan!$K:$K, $B61)),1,0)</f>
        <v>0</v>
      </c>
      <c r="AJ61" s="78" cm="1">
        <f t="array" ref="AJ61">IF(AND(AJ$4&gt;=INDEX(plan!$J:$J, $B61), AJ$4&lt;=INDEX(plan!$K:$K, $B61)),1,0)</f>
        <v>0</v>
      </c>
      <c r="AK61" s="78" cm="1">
        <f t="array" ref="AK61">IF(AND(AK$4&gt;=INDEX(plan!$J:$J, $B61), AK$4&lt;=INDEX(plan!$K:$K, $B61)),1,0)</f>
        <v>0</v>
      </c>
      <c r="AL61" s="78" cm="1">
        <f t="array" ref="AL61">IF(AND(AL$4&gt;=INDEX(plan!$J:$J, $B61), AL$4&lt;=INDEX(plan!$K:$K, $B61)),1,0)</f>
        <v>0</v>
      </c>
      <c r="AM61" s="78" cm="1">
        <f t="array" ref="AM61">IF(AND(AM$4&gt;=INDEX(plan!$J:$J, $B61), AM$4&lt;=INDEX(plan!$K:$K, $B61)),1,0)</f>
        <v>0</v>
      </c>
      <c r="AN61" s="79" cm="1">
        <f t="array" ref="AN61">IF(AND(AN$4&gt;=INDEX(plan!$J:$J, $B61), AN$4&lt;=INDEX(plan!$K:$K, $B61)),1,0)</f>
        <v>0</v>
      </c>
      <c r="AO61" s="74"/>
      <c r="AP61" s="78"/>
      <c r="AQ61" s="78"/>
      <c r="AR61" s="78"/>
      <c r="AS61" s="78"/>
      <c r="AT61" s="78"/>
      <c r="AU61" s="79"/>
    </row>
    <row r="62" spans="1:47" ht="12.95" hidden="1" customHeight="1" x14ac:dyDescent="0.3">
      <c r="A62" s="36"/>
      <c r="B62" s="300"/>
      <c r="C62" s="275"/>
      <c r="D62" s="279"/>
      <c r="E62" s="277"/>
      <c r="F62" s="75" cm="1">
        <f t="array" ref="F62">_xlfn.LET(
  _xlpm.act,   cronograma!$C61,
  _xlpm.fecha, cronograma!F$4,
  _xlpm.ini,   INDEX(plan!$J:$J, $B61),
  _xlpm.fin,   INDEX(plan!$K:$K, $B61),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62" s="76" cm="1">
        <f t="array" ref="G62">_xlfn.LET(
  _xlpm.act,   cronograma!$C61,
  _xlpm.fecha, cronograma!G$4,
  _xlpm.ini,   INDEX(plan!$J:$J, $B61),
  _xlpm.fin,   INDEX(plan!$K:$K, $B61),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62" s="76" cm="1">
        <f t="array" ref="H62">_xlfn.LET(
  _xlpm.act,   cronograma!$C61,
  _xlpm.fecha, cronograma!H$4,
  _xlpm.ini,   INDEX(plan!$J:$J, $B61),
  _xlpm.fin,   INDEX(plan!$K:$K, $B61),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62" s="76" cm="1">
        <f t="array" ref="I62">_xlfn.LET(
  _xlpm.act,   cronograma!$C61,
  _xlpm.fecha, cronograma!I$4,
  _xlpm.ini,   INDEX(plan!$J:$J, $B61),
  _xlpm.fin,   INDEX(plan!$K:$K, $B61),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62" s="76" cm="1">
        <f t="array" ref="J62">_xlfn.LET(
  _xlpm.act,   cronograma!$C61,
  _xlpm.fecha, cronograma!J$4,
  _xlpm.ini,   INDEX(plan!$J:$J, $B61),
  _xlpm.fin,   INDEX(plan!$K:$K, $B61),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62" s="76" cm="1">
        <f t="array" ref="K62">_xlfn.LET(
  _xlpm.act,   cronograma!$C61,
  _xlpm.fecha, cronograma!K$4,
  _xlpm.ini,   INDEX(plan!$J:$J, $B61),
  _xlpm.fin,   INDEX(plan!$K:$K, $B61),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62" s="77" cm="1">
        <f t="array" ref="L62">_xlfn.LET(
  _xlpm.act,   cronograma!$C61,
  _xlpm.fecha, cronograma!L$4,
  _xlpm.ini,   INDEX(plan!$J:$J, $B61),
  _xlpm.fin,   INDEX(plan!$K:$K, $B61),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62" s="75" cm="1">
        <f t="array" ref="M62">_xlfn.LET(
  _xlpm.act,   cronograma!$C61,
  _xlpm.fecha, cronograma!M$4,
  _xlpm.ini,   INDEX(plan!$J:$J, $B61),
  _xlpm.fin,   INDEX(plan!$K:$K, $B61),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62" s="76" cm="1">
        <f t="array" ref="N62">_xlfn.LET(
  _xlpm.act,   cronograma!$C61,
  _xlpm.fecha, cronograma!N$4,
  _xlpm.ini,   INDEX(plan!$J:$J, $B61),
  _xlpm.fin,   INDEX(plan!$K:$K, $B61),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62" s="76" cm="1">
        <f t="array" ref="O62">_xlfn.LET(
  _xlpm.act,   cronograma!$C61,
  _xlpm.fecha, cronograma!O$4,
  _xlpm.ini,   INDEX(plan!$J:$J, $B61),
  _xlpm.fin,   INDEX(plan!$K:$K, $B61),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62" s="76" cm="1">
        <f t="array" ref="P62">_xlfn.LET(
  _xlpm.act,   cronograma!$C61,
  _xlpm.fecha, cronograma!P$4,
  _xlpm.ini,   INDEX(plan!$J:$J, $B61),
  _xlpm.fin,   INDEX(plan!$K:$K, $B61),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62" s="76" cm="1">
        <f t="array" ref="Q62">_xlfn.LET(
  _xlpm.act,   cronograma!$C61,
  _xlpm.fecha, cronograma!Q$4,
  _xlpm.ini,   INDEX(plan!$J:$J, $B61),
  _xlpm.fin,   INDEX(plan!$K:$K, $B61),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62" s="76" cm="1">
        <f t="array" ref="R62">_xlfn.LET(
  _xlpm.act,   cronograma!$C61,
  _xlpm.fecha, cronograma!R$4,
  _xlpm.ini,   INDEX(plan!$J:$J, $B61),
  _xlpm.fin,   INDEX(plan!$K:$K, $B61),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62" s="77" cm="1">
        <f t="array" ref="S62">_xlfn.LET(
  _xlpm.act,   cronograma!$C61,
  _xlpm.fecha, cronograma!S$4,
  _xlpm.ini,   INDEX(plan!$J:$J, $B61),
  _xlpm.fin,   INDEX(plan!$K:$K, $B61),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62" s="75" cm="1">
        <f t="array" ref="T62">_xlfn.LET(
  _xlpm.act,   cronograma!$C61,
  _xlpm.fecha, cronograma!T$4,
  _xlpm.ini,   INDEX(plan!$J:$J, $B61),
  _xlpm.fin,   INDEX(plan!$K:$K, $B61),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62" s="76" cm="1">
        <f t="array" ref="U62">_xlfn.LET(
  _xlpm.act,   cronograma!$C61,
  _xlpm.fecha, cronograma!U$4,
  _xlpm.ini,   INDEX(plan!$J:$J, $B61),
  _xlpm.fin,   INDEX(plan!$K:$K, $B61),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62" s="76" cm="1">
        <f t="array" ref="V62">_xlfn.LET(
  _xlpm.act,   cronograma!$C61,
  _xlpm.fecha, cronograma!V$4,
  _xlpm.ini,   INDEX(plan!$J:$J, $B61),
  _xlpm.fin,   INDEX(plan!$K:$K, $B61),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62" s="76" cm="1">
        <f t="array" ref="W62">_xlfn.LET(
  _xlpm.act,   cronograma!$C61,
  _xlpm.fecha, cronograma!W$4,
  _xlpm.ini,   INDEX(plan!$J:$J, $B61),
  _xlpm.fin,   INDEX(plan!$K:$K, $B61),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62" s="76" cm="1">
        <f t="array" ref="X62">_xlfn.LET(
  _xlpm.act,   cronograma!$C61,
  _xlpm.fecha, cronograma!X$4,
  _xlpm.ini,   INDEX(plan!$J:$J, $B61),
  _xlpm.fin,   INDEX(plan!$K:$K, $B61),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62" s="76" cm="1">
        <f t="array" ref="Y62">_xlfn.LET(
  _xlpm.act,   cronograma!$C61,
  _xlpm.fecha, cronograma!Y$4,
  _xlpm.ini,   INDEX(plan!$J:$J, $B61),
  _xlpm.fin,   INDEX(plan!$K:$K, $B61),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62" s="77" cm="1">
        <f t="array" ref="Z62">_xlfn.LET(
  _xlpm.act,   cronograma!$C61,
  _xlpm.fecha, cronograma!Z$4,
  _xlpm.ini,   INDEX(plan!$J:$J, $B61),
  _xlpm.fin,   INDEX(plan!$K:$K, $B61),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62" s="75" cm="1">
        <f t="array" ref="AA62">_xlfn.LET(
  _xlpm.act,   cronograma!$C61,
  _xlpm.fecha, cronograma!AA$4,
  _xlpm.ini,   INDEX(plan!$J:$J, $B61),
  _xlpm.fin,   INDEX(plan!$K:$K, $B61),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62" s="76" cm="1">
        <f t="array" ref="AB62">_xlfn.LET(
  _xlpm.act,   cronograma!$C61,
  _xlpm.fecha, cronograma!AB$4,
  _xlpm.ini,   INDEX(plan!$J:$J, $B61),
  _xlpm.fin,   INDEX(plan!$K:$K, $B61),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62" s="76" cm="1">
        <f t="array" ref="AC62">_xlfn.LET(
  _xlpm.act,   cronograma!$C61,
  _xlpm.fecha, cronograma!AC$4,
  _xlpm.ini,   INDEX(plan!$J:$J, $B61),
  _xlpm.fin,   INDEX(plan!$K:$K, $B61),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62" s="76" cm="1">
        <f t="array" ref="AD62">_xlfn.LET(
  _xlpm.act,   cronograma!$C61,
  _xlpm.fecha, cronograma!AD$4,
  _xlpm.ini,   INDEX(plan!$J:$J, $B61),
  _xlpm.fin,   INDEX(plan!$K:$K, $B61),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62" s="76" cm="1">
        <f t="array" ref="AE62">_xlfn.LET(
  _xlpm.act,   cronograma!$C61,
  _xlpm.fecha, cronograma!AE$4,
  _xlpm.ini,   INDEX(plan!$J:$J, $B61),
  _xlpm.fin,   INDEX(plan!$K:$K, $B61),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62" s="76" cm="1">
        <f t="array" ref="AF62">_xlfn.LET(
  _xlpm.act,   cronograma!$C61,
  _xlpm.fecha, cronograma!AF$4,
  _xlpm.ini,   INDEX(plan!$J:$J, $B61),
  _xlpm.fin,   INDEX(plan!$K:$K, $B61),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62" s="77" cm="1">
        <f t="array" ref="AG62">_xlfn.LET(
  _xlpm.act,   cronograma!$C61,
  _xlpm.fecha, cronograma!AG$4,
  _xlpm.ini,   INDEX(plan!$J:$J, $B61),
  _xlpm.fin,   INDEX(plan!$K:$K, $B61),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62" s="75" cm="1">
        <f t="array" ref="AH62">_xlfn.LET(
  _xlpm.act,   cronograma!$C61,
  _xlpm.fecha, cronograma!AH$4,
  _xlpm.ini,   INDEX(plan!$J:$J, $B61),
  _xlpm.fin,   INDEX(plan!$K:$K, $B61),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62" s="76" cm="1">
        <f t="array" ref="AI62">_xlfn.LET(
  _xlpm.act,   cronograma!$C61,
  _xlpm.fecha, cronograma!AI$4,
  _xlpm.ini,   INDEX(plan!$J:$J, $B61),
  _xlpm.fin,   INDEX(plan!$K:$K, $B61),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62" s="76" cm="1">
        <f t="array" ref="AJ62">_xlfn.LET(
  _xlpm.act,   cronograma!$C61,
  _xlpm.fecha, cronograma!AJ$4,
  _xlpm.ini,   INDEX(plan!$J:$J, $B61),
  _xlpm.fin,   INDEX(plan!$K:$K, $B61),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62" s="76" cm="1">
        <f t="array" ref="AK62">_xlfn.LET(
  _xlpm.act,   cronograma!$C61,
  _xlpm.fecha, cronograma!AK$4,
  _xlpm.ini,   INDEX(plan!$J:$J, $B61),
  _xlpm.fin,   INDEX(plan!$K:$K, $B61),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62" s="76" cm="1">
        <f t="array" ref="AL62">_xlfn.LET(
  _xlpm.act,   cronograma!$C61,
  _xlpm.fecha, cronograma!AL$4,
  _xlpm.ini,   INDEX(plan!$J:$J, $B61),
  _xlpm.fin,   INDEX(plan!$K:$K, $B61),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62" s="76" cm="1">
        <f t="array" ref="AM62">_xlfn.LET(
  _xlpm.act,   cronograma!$C61,
  _xlpm.fecha, cronograma!AM$4,
  _xlpm.ini,   INDEX(plan!$J:$J, $B61),
  _xlpm.fin,   INDEX(plan!$K:$K, $B61),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62" s="77" cm="1">
        <f t="array" ref="AN62">_xlfn.LET(
  _xlpm.act,   cronograma!$C61,
  _xlpm.fecha, cronograma!AN$4,
  _xlpm.ini,   INDEX(plan!$J:$J, $B61),
  _xlpm.fin,   INDEX(plan!$K:$K, $B61),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O62" s="75"/>
      <c r="AP62" s="76"/>
      <c r="AQ62" s="76"/>
      <c r="AR62" s="76"/>
      <c r="AS62" s="76"/>
      <c r="AT62" s="76"/>
      <c r="AU62" s="77"/>
    </row>
    <row r="63" spans="1:47" ht="12.95" hidden="1" customHeight="1" x14ac:dyDescent="0.3">
      <c r="A63" s="36"/>
      <c r="B63" s="301">
        <f>plan!B33</f>
        <v>33</v>
      </c>
      <c r="C63" s="274">
        <f>plan!C33</f>
        <v>0</v>
      </c>
      <c r="D63" s="278" cm="1">
        <f t="array" ref="D63">INDEX(plan!$I:$I, $B63)</f>
        <v>0</v>
      </c>
      <c r="E63" s="276" cm="1">
        <f t="array" ref="E63">INDEX(plan!$U:$U, $B63)</f>
        <v>0</v>
      </c>
      <c r="F63" s="74" cm="1">
        <f t="array" ref="F63">IF(AND(F$4&gt;=INDEX(plan!$J:$J, $B63), F$4&lt;=INDEX(plan!$K:$K, $B63)),1,0)</f>
        <v>0</v>
      </c>
      <c r="G63" s="78" cm="1">
        <f t="array" ref="G63">IF(AND(G$4&gt;=INDEX(plan!$J:$J, $B63), G$4&lt;=INDEX(plan!$K:$K, $B63)),1,0)</f>
        <v>0</v>
      </c>
      <c r="H63" s="78" cm="1">
        <f t="array" ref="H63">IF(AND(H$4&gt;=INDEX(plan!$J:$J, $B63), H$4&lt;=INDEX(plan!$K:$K, $B63)),1,0)</f>
        <v>0</v>
      </c>
      <c r="I63" s="78" cm="1">
        <f t="array" ref="I63">IF(AND(I$4&gt;=INDEX(plan!$J:$J, $B63), I$4&lt;=INDEX(plan!$K:$K, $B63)),1,0)</f>
        <v>0</v>
      </c>
      <c r="J63" s="78" cm="1">
        <f t="array" ref="J63">IF(AND(J$4&gt;=INDEX(plan!$J:$J, $B63), J$4&lt;=INDEX(plan!$K:$K, $B63)),1,0)</f>
        <v>0</v>
      </c>
      <c r="K63" s="78" cm="1">
        <f t="array" ref="K63">IF(AND(K$4&gt;=INDEX(plan!$J:$J, $B63), K$4&lt;=INDEX(plan!$K:$K, $B63)),1,0)</f>
        <v>0</v>
      </c>
      <c r="L63" s="79" cm="1">
        <f t="array" ref="L63">IF(AND(L$4&gt;=INDEX(plan!$J:$J, $B63), L$4&lt;=INDEX(plan!$K:$K, $B63)),1,0)</f>
        <v>0</v>
      </c>
      <c r="M63" s="74" cm="1">
        <f t="array" ref="M63">IF(AND(M$4&gt;=INDEX(plan!$J:$J, $B63), M$4&lt;=INDEX(plan!$K:$K, $B63)),1,0)</f>
        <v>0</v>
      </c>
      <c r="N63" s="78" cm="1">
        <f t="array" ref="N63">IF(AND(N$4&gt;=INDEX(plan!$J:$J, $B63), N$4&lt;=INDEX(plan!$K:$K, $B63)),1,0)</f>
        <v>0</v>
      </c>
      <c r="O63" s="78" cm="1">
        <f t="array" ref="O63">IF(AND(O$4&gt;=INDEX(plan!$J:$J, $B63), O$4&lt;=INDEX(plan!$K:$K, $B63)),1,0)</f>
        <v>0</v>
      </c>
      <c r="P63" s="78" cm="1">
        <f t="array" ref="P63">IF(AND(P$4&gt;=INDEX(plan!$J:$J, $B63), P$4&lt;=INDEX(plan!$K:$K, $B63)),1,0)</f>
        <v>0</v>
      </c>
      <c r="Q63" s="78" cm="1">
        <f t="array" ref="Q63">IF(AND(Q$4&gt;=INDEX(plan!$J:$J, $B63), Q$4&lt;=INDEX(plan!$K:$K, $B63)),1,0)</f>
        <v>0</v>
      </c>
      <c r="R63" s="78" cm="1">
        <f t="array" ref="R63">IF(AND(R$4&gt;=INDEX(plan!$J:$J, $B63), R$4&lt;=INDEX(plan!$K:$K, $B63)),1,0)</f>
        <v>0</v>
      </c>
      <c r="S63" s="79" cm="1">
        <f t="array" ref="S63">IF(AND(S$4&gt;=INDEX(plan!$J:$J, $B63), S$4&lt;=INDEX(plan!$K:$K, $B63)),1,0)</f>
        <v>0</v>
      </c>
      <c r="T63" s="74" cm="1">
        <f t="array" ref="T63">IF(AND(T$4&gt;=INDEX(plan!$J:$J, $B63), T$4&lt;=INDEX(plan!$K:$K, $B63)),1,0)</f>
        <v>0</v>
      </c>
      <c r="U63" s="78" cm="1">
        <f t="array" ref="U63">IF(AND(U$4&gt;=INDEX(plan!$J:$J, $B63), U$4&lt;=INDEX(plan!$K:$K, $B63)),1,0)</f>
        <v>0</v>
      </c>
      <c r="V63" s="78" cm="1">
        <f t="array" ref="V63">IF(AND(V$4&gt;=INDEX(plan!$J:$J, $B63), V$4&lt;=INDEX(plan!$K:$K, $B63)),1,0)</f>
        <v>0</v>
      </c>
      <c r="W63" s="78" cm="1">
        <f t="array" ref="W63">IF(AND(W$4&gt;=INDEX(plan!$J:$J, $B63), W$4&lt;=INDEX(plan!$K:$K, $B63)),1,0)</f>
        <v>0</v>
      </c>
      <c r="X63" s="78" cm="1">
        <f t="array" ref="X63">IF(AND(X$4&gt;=INDEX(plan!$J:$J, $B63), X$4&lt;=INDEX(plan!$K:$K, $B63)),1,0)</f>
        <v>0</v>
      </c>
      <c r="Y63" s="78" cm="1">
        <f t="array" ref="Y63">IF(AND(Y$4&gt;=INDEX(plan!$J:$J, $B63), Y$4&lt;=INDEX(plan!$K:$K, $B63)),1,0)</f>
        <v>0</v>
      </c>
      <c r="Z63" s="79" cm="1">
        <f t="array" ref="Z63">IF(AND(Z$4&gt;=INDEX(plan!$J:$J, $B63), Z$4&lt;=INDEX(plan!$K:$K, $B63)),1,0)</f>
        <v>0</v>
      </c>
      <c r="AA63" s="74" cm="1">
        <f t="array" ref="AA63">IF(AND(AA$4&gt;=INDEX(plan!$J:$J, $B63), AA$4&lt;=INDEX(plan!$K:$K, $B63)),1,0)</f>
        <v>0</v>
      </c>
      <c r="AB63" s="78" cm="1">
        <f t="array" ref="AB63">IF(AND(AB$4&gt;=INDEX(plan!$J:$J, $B63), AB$4&lt;=INDEX(plan!$K:$K, $B63)),1,0)</f>
        <v>0</v>
      </c>
      <c r="AC63" s="78" cm="1">
        <f t="array" ref="AC63">IF(AND(AC$4&gt;=INDEX(plan!$J:$J, $B63), AC$4&lt;=INDEX(plan!$K:$K, $B63)),1,0)</f>
        <v>0</v>
      </c>
      <c r="AD63" s="78" cm="1">
        <f t="array" ref="AD63">IF(AND(AD$4&gt;=INDEX(plan!$J:$J, $B63), AD$4&lt;=INDEX(plan!$K:$K, $B63)),1,0)</f>
        <v>0</v>
      </c>
      <c r="AE63" s="78" cm="1">
        <f t="array" ref="AE63">IF(AND(AE$4&gt;=INDEX(plan!$J:$J, $B63), AE$4&lt;=INDEX(plan!$K:$K, $B63)),1,0)</f>
        <v>0</v>
      </c>
      <c r="AF63" s="78" cm="1">
        <f t="array" ref="AF63">IF(AND(AF$4&gt;=INDEX(plan!$J:$J, $B63), AF$4&lt;=INDEX(plan!$K:$K, $B63)),1,0)</f>
        <v>0</v>
      </c>
      <c r="AG63" s="79" cm="1">
        <f t="array" ref="AG63">IF(AND(AG$4&gt;=INDEX(plan!$J:$J, $B63), AG$4&lt;=INDEX(plan!$K:$K, $B63)),1,0)</f>
        <v>0</v>
      </c>
      <c r="AH63" s="74" cm="1">
        <f t="array" ref="AH63">IF(AND(AH$4&gt;=INDEX(plan!$J:$J, $B63), AH$4&lt;=INDEX(plan!$K:$K, $B63)),1,0)</f>
        <v>0</v>
      </c>
      <c r="AI63" s="78" cm="1">
        <f t="array" ref="AI63">IF(AND(AI$4&gt;=INDEX(plan!$J:$J, $B63), AI$4&lt;=INDEX(plan!$K:$K, $B63)),1,0)</f>
        <v>0</v>
      </c>
      <c r="AJ63" s="78" cm="1">
        <f t="array" ref="AJ63">IF(AND(AJ$4&gt;=INDEX(plan!$J:$J, $B63), AJ$4&lt;=INDEX(plan!$K:$K, $B63)),1,0)</f>
        <v>0</v>
      </c>
      <c r="AK63" s="78" cm="1">
        <f t="array" ref="AK63">IF(AND(AK$4&gt;=INDEX(plan!$J:$J, $B63), AK$4&lt;=INDEX(plan!$K:$K, $B63)),1,0)</f>
        <v>0</v>
      </c>
      <c r="AL63" s="78" cm="1">
        <f t="array" ref="AL63">IF(AND(AL$4&gt;=INDEX(plan!$J:$J, $B63), AL$4&lt;=INDEX(plan!$K:$K, $B63)),1,0)</f>
        <v>0</v>
      </c>
      <c r="AM63" s="78" cm="1">
        <f t="array" ref="AM63">IF(AND(AM$4&gt;=INDEX(plan!$J:$J, $B63), AM$4&lt;=INDEX(plan!$K:$K, $B63)),1,0)</f>
        <v>0</v>
      </c>
      <c r="AN63" s="79" cm="1">
        <f t="array" ref="AN63">IF(AND(AN$4&gt;=INDEX(plan!$J:$J, $B63), AN$4&lt;=INDEX(plan!$K:$K, $B63)),1,0)</f>
        <v>0</v>
      </c>
      <c r="AO63" s="74"/>
      <c r="AP63" s="78"/>
      <c r="AQ63" s="78"/>
      <c r="AR63" s="78"/>
      <c r="AS63" s="78"/>
      <c r="AT63" s="78"/>
      <c r="AU63" s="79"/>
    </row>
    <row r="64" spans="1:47" ht="12.95" hidden="1" customHeight="1" x14ac:dyDescent="0.3">
      <c r="A64" s="36"/>
      <c r="B64" s="300"/>
      <c r="C64" s="275"/>
      <c r="D64" s="279"/>
      <c r="E64" s="277"/>
      <c r="F64" s="75" cm="1">
        <f t="array" ref="F64">_xlfn.LET(
  _xlpm.act,   cronograma!$C63,
  _xlpm.fecha, cronograma!F$4,
  _xlpm.ini,   INDEX(plan!$J:$J, $B63),
  _xlpm.fin,   INDEX(plan!$K:$K, $B63),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64" s="76" cm="1">
        <f t="array" ref="G64">_xlfn.LET(
  _xlpm.act,   cronograma!$C63,
  _xlpm.fecha, cronograma!G$4,
  _xlpm.ini,   INDEX(plan!$J:$J, $B63),
  _xlpm.fin,   INDEX(plan!$K:$K, $B63),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64" s="76" cm="1">
        <f t="array" ref="H64">_xlfn.LET(
  _xlpm.act,   cronograma!$C63,
  _xlpm.fecha, cronograma!H$4,
  _xlpm.ini,   INDEX(plan!$J:$J, $B63),
  _xlpm.fin,   INDEX(plan!$K:$K, $B63),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64" s="76" cm="1">
        <f t="array" ref="I64">_xlfn.LET(
  _xlpm.act,   cronograma!$C63,
  _xlpm.fecha, cronograma!I$4,
  _xlpm.ini,   INDEX(plan!$J:$J, $B63),
  _xlpm.fin,   INDEX(plan!$K:$K, $B63),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64" s="76" cm="1">
        <f t="array" ref="J64">_xlfn.LET(
  _xlpm.act,   cronograma!$C63,
  _xlpm.fecha, cronograma!J$4,
  _xlpm.ini,   INDEX(plan!$J:$J, $B63),
  _xlpm.fin,   INDEX(plan!$K:$K, $B63),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64" s="76" cm="1">
        <f t="array" ref="K64">_xlfn.LET(
  _xlpm.act,   cronograma!$C63,
  _xlpm.fecha, cronograma!K$4,
  _xlpm.ini,   INDEX(plan!$J:$J, $B63),
  _xlpm.fin,   INDEX(plan!$K:$K, $B63),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64" s="77" cm="1">
        <f t="array" ref="L64">_xlfn.LET(
  _xlpm.act,   cronograma!$C63,
  _xlpm.fecha, cronograma!L$4,
  _xlpm.ini,   INDEX(plan!$J:$J, $B63),
  _xlpm.fin,   INDEX(plan!$K:$K, $B63),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64" s="75" cm="1">
        <f t="array" ref="M64">_xlfn.LET(
  _xlpm.act,   cronograma!$C63,
  _xlpm.fecha, cronograma!M$4,
  _xlpm.ini,   INDEX(plan!$J:$J, $B63),
  _xlpm.fin,   INDEX(plan!$K:$K, $B63),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64" s="76" cm="1">
        <f t="array" ref="N64">_xlfn.LET(
  _xlpm.act,   cronograma!$C63,
  _xlpm.fecha, cronograma!N$4,
  _xlpm.ini,   INDEX(plan!$J:$J, $B63),
  _xlpm.fin,   INDEX(plan!$K:$K, $B63),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64" s="76" cm="1">
        <f t="array" ref="O64">_xlfn.LET(
  _xlpm.act,   cronograma!$C63,
  _xlpm.fecha, cronograma!O$4,
  _xlpm.ini,   INDEX(plan!$J:$J, $B63),
  _xlpm.fin,   INDEX(plan!$K:$K, $B63),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64" s="76" cm="1">
        <f t="array" ref="P64">_xlfn.LET(
  _xlpm.act,   cronograma!$C63,
  _xlpm.fecha, cronograma!P$4,
  _xlpm.ini,   INDEX(plan!$J:$J, $B63),
  _xlpm.fin,   INDEX(plan!$K:$K, $B63),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64" s="76" cm="1">
        <f t="array" ref="Q64">_xlfn.LET(
  _xlpm.act,   cronograma!$C63,
  _xlpm.fecha, cronograma!Q$4,
  _xlpm.ini,   INDEX(plan!$J:$J, $B63),
  _xlpm.fin,   INDEX(plan!$K:$K, $B63),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64" s="76" cm="1">
        <f t="array" ref="R64">_xlfn.LET(
  _xlpm.act,   cronograma!$C63,
  _xlpm.fecha, cronograma!R$4,
  _xlpm.ini,   INDEX(plan!$J:$J, $B63),
  _xlpm.fin,   INDEX(plan!$K:$K, $B63),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64" s="77" cm="1">
        <f t="array" ref="S64">_xlfn.LET(
  _xlpm.act,   cronograma!$C63,
  _xlpm.fecha, cronograma!S$4,
  _xlpm.ini,   INDEX(plan!$J:$J, $B63),
  _xlpm.fin,   INDEX(plan!$K:$K, $B63),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64" s="75" cm="1">
        <f t="array" ref="T64">_xlfn.LET(
  _xlpm.act,   cronograma!$C63,
  _xlpm.fecha, cronograma!T$4,
  _xlpm.ini,   INDEX(plan!$J:$J, $B63),
  _xlpm.fin,   INDEX(plan!$K:$K, $B63),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64" s="76" cm="1">
        <f t="array" ref="U64">_xlfn.LET(
  _xlpm.act,   cronograma!$C63,
  _xlpm.fecha, cronograma!U$4,
  _xlpm.ini,   INDEX(plan!$J:$J, $B63),
  _xlpm.fin,   INDEX(plan!$K:$K, $B63),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64" s="76" cm="1">
        <f t="array" ref="V64">_xlfn.LET(
  _xlpm.act,   cronograma!$C63,
  _xlpm.fecha, cronograma!V$4,
  _xlpm.ini,   INDEX(plan!$J:$J, $B63),
  _xlpm.fin,   INDEX(plan!$K:$K, $B63),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64" s="76" cm="1">
        <f t="array" ref="W64">_xlfn.LET(
  _xlpm.act,   cronograma!$C63,
  _xlpm.fecha, cronograma!W$4,
  _xlpm.ini,   INDEX(plan!$J:$J, $B63),
  _xlpm.fin,   INDEX(plan!$K:$K, $B63),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64" s="76" cm="1">
        <f t="array" ref="X64">_xlfn.LET(
  _xlpm.act,   cronograma!$C63,
  _xlpm.fecha, cronograma!X$4,
  _xlpm.ini,   INDEX(plan!$J:$J, $B63),
  _xlpm.fin,   INDEX(plan!$K:$K, $B63),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64" s="76" cm="1">
        <f t="array" ref="Y64">_xlfn.LET(
  _xlpm.act,   cronograma!$C63,
  _xlpm.fecha, cronograma!Y$4,
  _xlpm.ini,   INDEX(plan!$J:$J, $B63),
  _xlpm.fin,   INDEX(plan!$K:$K, $B63),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64" s="77" cm="1">
        <f t="array" ref="Z64">_xlfn.LET(
  _xlpm.act,   cronograma!$C63,
  _xlpm.fecha, cronograma!Z$4,
  _xlpm.ini,   INDEX(plan!$J:$J, $B63),
  _xlpm.fin,   INDEX(plan!$K:$K, $B63),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64" s="75" cm="1">
        <f t="array" ref="AA64">_xlfn.LET(
  _xlpm.act,   cronograma!$C63,
  _xlpm.fecha, cronograma!AA$4,
  _xlpm.ini,   INDEX(plan!$J:$J, $B63),
  _xlpm.fin,   INDEX(plan!$K:$K, $B63),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64" s="76" cm="1">
        <f t="array" ref="AB64">_xlfn.LET(
  _xlpm.act,   cronograma!$C63,
  _xlpm.fecha, cronograma!AB$4,
  _xlpm.ini,   INDEX(plan!$J:$J, $B63),
  _xlpm.fin,   INDEX(plan!$K:$K, $B63),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64" s="76" cm="1">
        <f t="array" ref="AC64">_xlfn.LET(
  _xlpm.act,   cronograma!$C63,
  _xlpm.fecha, cronograma!AC$4,
  _xlpm.ini,   INDEX(plan!$J:$J, $B63),
  _xlpm.fin,   INDEX(plan!$K:$K, $B63),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64" s="76" cm="1">
        <f t="array" ref="AD64">_xlfn.LET(
  _xlpm.act,   cronograma!$C63,
  _xlpm.fecha, cronograma!AD$4,
  _xlpm.ini,   INDEX(plan!$J:$J, $B63),
  _xlpm.fin,   INDEX(plan!$K:$K, $B63),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64" s="76" cm="1">
        <f t="array" ref="AE64">_xlfn.LET(
  _xlpm.act,   cronograma!$C63,
  _xlpm.fecha, cronograma!AE$4,
  _xlpm.ini,   INDEX(plan!$J:$J, $B63),
  _xlpm.fin,   INDEX(plan!$K:$K, $B63),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64" s="76" cm="1">
        <f t="array" ref="AF64">_xlfn.LET(
  _xlpm.act,   cronograma!$C63,
  _xlpm.fecha, cronograma!AF$4,
  _xlpm.ini,   INDEX(plan!$J:$J, $B63),
  _xlpm.fin,   INDEX(plan!$K:$K, $B63),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64" s="77" cm="1">
        <f t="array" ref="AG64">_xlfn.LET(
  _xlpm.act,   cronograma!$C63,
  _xlpm.fecha, cronograma!AG$4,
  _xlpm.ini,   INDEX(plan!$J:$J, $B63),
  _xlpm.fin,   INDEX(plan!$K:$K, $B63),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64" s="75" cm="1">
        <f t="array" ref="AH64">_xlfn.LET(
  _xlpm.act,   cronograma!$C63,
  _xlpm.fecha, cronograma!AH$4,
  _xlpm.ini,   INDEX(plan!$J:$J, $B63),
  _xlpm.fin,   INDEX(plan!$K:$K, $B63),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64" s="76" cm="1">
        <f t="array" ref="AI64">_xlfn.LET(
  _xlpm.act,   cronograma!$C63,
  _xlpm.fecha, cronograma!AI$4,
  _xlpm.ini,   INDEX(plan!$J:$J, $B63),
  _xlpm.fin,   INDEX(plan!$K:$K, $B63),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64" s="76" cm="1">
        <f t="array" ref="AJ64">_xlfn.LET(
  _xlpm.act,   cronograma!$C63,
  _xlpm.fecha, cronograma!AJ$4,
  _xlpm.ini,   INDEX(plan!$J:$J, $B63),
  _xlpm.fin,   INDEX(plan!$K:$K, $B63),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64" s="76" cm="1">
        <f t="array" ref="AK64">_xlfn.LET(
  _xlpm.act,   cronograma!$C63,
  _xlpm.fecha, cronograma!AK$4,
  _xlpm.ini,   INDEX(plan!$J:$J, $B63),
  _xlpm.fin,   INDEX(plan!$K:$K, $B63),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64" s="76" cm="1">
        <f t="array" ref="AL64">_xlfn.LET(
  _xlpm.act,   cronograma!$C63,
  _xlpm.fecha, cronograma!AL$4,
  _xlpm.ini,   INDEX(plan!$J:$J, $B63),
  _xlpm.fin,   INDEX(plan!$K:$K, $B63),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64" s="76" cm="1">
        <f t="array" ref="AM64">_xlfn.LET(
  _xlpm.act,   cronograma!$C63,
  _xlpm.fecha, cronograma!AM$4,
  _xlpm.ini,   INDEX(plan!$J:$J, $B63),
  _xlpm.fin,   INDEX(plan!$K:$K, $B63),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64" s="77" cm="1">
        <f t="array" ref="AN64">_xlfn.LET(
  _xlpm.act,   cronograma!$C63,
  _xlpm.fecha, cronograma!AN$4,
  _xlpm.ini,   INDEX(plan!$J:$J, $B63),
  _xlpm.fin,   INDEX(plan!$K:$K, $B63),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O64" s="75"/>
      <c r="AP64" s="76"/>
      <c r="AQ64" s="76"/>
      <c r="AR64" s="76"/>
      <c r="AS64" s="76"/>
      <c r="AT64" s="76"/>
      <c r="AU64" s="77"/>
    </row>
    <row r="65" spans="1:47" ht="12.95" hidden="1" customHeight="1" x14ac:dyDescent="0.3">
      <c r="A65" s="36"/>
      <c r="B65" s="301">
        <f>plan!B34</f>
        <v>34</v>
      </c>
      <c r="C65" s="274">
        <f>plan!C34</f>
        <v>0</v>
      </c>
      <c r="D65" s="278" cm="1">
        <f t="array" ref="D65">INDEX(plan!$I:$I, $B65)</f>
        <v>0</v>
      </c>
      <c r="E65" s="276" cm="1">
        <f t="array" ref="E65">INDEX(plan!$U:$U, $B65)</f>
        <v>0</v>
      </c>
      <c r="F65" s="74" cm="1">
        <f t="array" ref="F65">IF(AND(F$4&gt;=INDEX(plan!$J:$J, $B65), F$4&lt;=INDEX(plan!$K:$K, $B65)),1,0)</f>
        <v>0</v>
      </c>
      <c r="G65" s="78" cm="1">
        <f t="array" ref="G65">IF(AND(G$4&gt;=INDEX(plan!$J:$J, $B65), G$4&lt;=INDEX(plan!$K:$K, $B65)),1,0)</f>
        <v>0</v>
      </c>
      <c r="H65" s="78" cm="1">
        <f t="array" ref="H65">IF(AND(H$4&gt;=INDEX(plan!$J:$J, $B65), H$4&lt;=INDEX(plan!$K:$K, $B65)),1,0)</f>
        <v>0</v>
      </c>
      <c r="I65" s="78" cm="1">
        <f t="array" ref="I65">IF(AND(I$4&gt;=INDEX(plan!$J:$J, $B65), I$4&lt;=INDEX(plan!$K:$K, $B65)),1,0)</f>
        <v>0</v>
      </c>
      <c r="J65" s="78" cm="1">
        <f t="array" ref="J65">IF(AND(J$4&gt;=INDEX(plan!$J:$J, $B65), J$4&lt;=INDEX(plan!$K:$K, $B65)),1,0)</f>
        <v>0</v>
      </c>
      <c r="K65" s="78" cm="1">
        <f t="array" ref="K65">IF(AND(K$4&gt;=INDEX(plan!$J:$J, $B65), K$4&lt;=INDEX(plan!$K:$K, $B65)),1,0)</f>
        <v>0</v>
      </c>
      <c r="L65" s="79" cm="1">
        <f t="array" ref="L65">IF(AND(L$4&gt;=INDEX(plan!$J:$J, $B65), L$4&lt;=INDEX(plan!$K:$K, $B65)),1,0)</f>
        <v>0</v>
      </c>
      <c r="M65" s="74" cm="1">
        <f t="array" ref="M65">IF(AND(M$4&gt;=INDEX(plan!$J:$J, $B65), M$4&lt;=INDEX(plan!$K:$K, $B65)),1,0)</f>
        <v>0</v>
      </c>
      <c r="N65" s="78" cm="1">
        <f t="array" ref="N65">IF(AND(N$4&gt;=INDEX(plan!$J:$J, $B65), N$4&lt;=INDEX(plan!$K:$K, $B65)),1,0)</f>
        <v>0</v>
      </c>
      <c r="O65" s="78" cm="1">
        <f t="array" ref="O65">IF(AND(O$4&gt;=INDEX(plan!$J:$J, $B65), O$4&lt;=INDEX(plan!$K:$K, $B65)),1,0)</f>
        <v>0</v>
      </c>
      <c r="P65" s="78" cm="1">
        <f t="array" ref="P65">IF(AND(P$4&gt;=INDEX(plan!$J:$J, $B65), P$4&lt;=INDEX(plan!$K:$K, $B65)),1,0)</f>
        <v>0</v>
      </c>
      <c r="Q65" s="78" cm="1">
        <f t="array" ref="Q65">IF(AND(Q$4&gt;=INDEX(plan!$J:$J, $B65), Q$4&lt;=INDEX(plan!$K:$K, $B65)),1,0)</f>
        <v>0</v>
      </c>
      <c r="R65" s="78" cm="1">
        <f t="array" ref="R65">IF(AND(R$4&gt;=INDEX(plan!$J:$J, $B65), R$4&lt;=INDEX(plan!$K:$K, $B65)),1,0)</f>
        <v>0</v>
      </c>
      <c r="S65" s="79" cm="1">
        <f t="array" ref="S65">IF(AND(S$4&gt;=INDEX(plan!$J:$J, $B65), S$4&lt;=INDEX(plan!$K:$K, $B65)),1,0)</f>
        <v>0</v>
      </c>
      <c r="T65" s="74" cm="1">
        <f t="array" ref="T65">IF(AND(T$4&gt;=INDEX(plan!$J:$J, $B65), T$4&lt;=INDEX(plan!$K:$K, $B65)),1,0)</f>
        <v>0</v>
      </c>
      <c r="U65" s="78" cm="1">
        <f t="array" ref="U65">IF(AND(U$4&gt;=INDEX(plan!$J:$J, $B65), U$4&lt;=INDEX(plan!$K:$K, $B65)),1,0)</f>
        <v>0</v>
      </c>
      <c r="V65" s="78" cm="1">
        <f t="array" ref="V65">IF(AND(V$4&gt;=INDEX(plan!$J:$J, $B65), V$4&lt;=INDEX(plan!$K:$K, $B65)),1,0)</f>
        <v>0</v>
      </c>
      <c r="W65" s="78" cm="1">
        <f t="array" ref="W65">IF(AND(W$4&gt;=INDEX(plan!$J:$J, $B65), W$4&lt;=INDEX(plan!$K:$K, $B65)),1,0)</f>
        <v>0</v>
      </c>
      <c r="X65" s="78" cm="1">
        <f t="array" ref="X65">IF(AND(X$4&gt;=INDEX(plan!$J:$J, $B65), X$4&lt;=INDEX(plan!$K:$K, $B65)),1,0)</f>
        <v>0</v>
      </c>
      <c r="Y65" s="78" cm="1">
        <f t="array" ref="Y65">IF(AND(Y$4&gt;=INDEX(plan!$J:$J, $B65), Y$4&lt;=INDEX(plan!$K:$K, $B65)),1,0)</f>
        <v>0</v>
      </c>
      <c r="Z65" s="79" cm="1">
        <f t="array" ref="Z65">IF(AND(Z$4&gt;=INDEX(plan!$J:$J, $B65), Z$4&lt;=INDEX(plan!$K:$K, $B65)),1,0)</f>
        <v>0</v>
      </c>
      <c r="AA65" s="74" cm="1">
        <f t="array" ref="AA65">IF(AND(AA$4&gt;=INDEX(plan!$J:$J, $B65), AA$4&lt;=INDEX(plan!$K:$K, $B65)),1,0)</f>
        <v>0</v>
      </c>
      <c r="AB65" s="78" cm="1">
        <f t="array" ref="AB65">IF(AND(AB$4&gt;=INDEX(plan!$J:$J, $B65), AB$4&lt;=INDEX(plan!$K:$K, $B65)),1,0)</f>
        <v>0</v>
      </c>
      <c r="AC65" s="78" cm="1">
        <f t="array" ref="AC65">IF(AND(AC$4&gt;=INDEX(plan!$J:$J, $B65), AC$4&lt;=INDEX(plan!$K:$K, $B65)),1,0)</f>
        <v>0</v>
      </c>
      <c r="AD65" s="78" cm="1">
        <f t="array" ref="AD65">IF(AND(AD$4&gt;=INDEX(plan!$J:$J, $B65), AD$4&lt;=INDEX(plan!$K:$K, $B65)),1,0)</f>
        <v>0</v>
      </c>
      <c r="AE65" s="78" cm="1">
        <f t="array" ref="AE65">IF(AND(AE$4&gt;=INDEX(plan!$J:$J, $B65), AE$4&lt;=INDEX(plan!$K:$K, $B65)),1,0)</f>
        <v>0</v>
      </c>
      <c r="AF65" s="78" cm="1">
        <f t="array" ref="AF65">IF(AND(AF$4&gt;=INDEX(plan!$J:$J, $B65), AF$4&lt;=INDEX(plan!$K:$K, $B65)),1,0)</f>
        <v>0</v>
      </c>
      <c r="AG65" s="79" cm="1">
        <f t="array" ref="AG65">IF(AND(AG$4&gt;=INDEX(plan!$J:$J, $B65), AG$4&lt;=INDEX(plan!$K:$K, $B65)),1,0)</f>
        <v>0</v>
      </c>
      <c r="AH65" s="74" cm="1">
        <f t="array" ref="AH65">IF(AND(AH$4&gt;=INDEX(plan!$J:$J, $B65), AH$4&lt;=INDEX(plan!$K:$K, $B65)),1,0)</f>
        <v>0</v>
      </c>
      <c r="AI65" s="78" cm="1">
        <f t="array" ref="AI65">IF(AND(AI$4&gt;=INDEX(plan!$J:$J, $B65), AI$4&lt;=INDEX(plan!$K:$K, $B65)),1,0)</f>
        <v>0</v>
      </c>
      <c r="AJ65" s="78" cm="1">
        <f t="array" ref="AJ65">IF(AND(AJ$4&gt;=INDEX(plan!$J:$J, $B65), AJ$4&lt;=INDEX(plan!$K:$K, $B65)),1,0)</f>
        <v>0</v>
      </c>
      <c r="AK65" s="78" cm="1">
        <f t="array" ref="AK65">IF(AND(AK$4&gt;=INDEX(plan!$J:$J, $B65), AK$4&lt;=INDEX(plan!$K:$K, $B65)),1,0)</f>
        <v>0</v>
      </c>
      <c r="AL65" s="78" cm="1">
        <f t="array" ref="AL65">IF(AND(AL$4&gt;=INDEX(plan!$J:$J, $B65), AL$4&lt;=INDEX(plan!$K:$K, $B65)),1,0)</f>
        <v>0</v>
      </c>
      <c r="AM65" s="78" cm="1">
        <f t="array" ref="AM65">IF(AND(AM$4&gt;=INDEX(plan!$J:$J, $B65), AM$4&lt;=INDEX(plan!$K:$K, $B65)),1,0)</f>
        <v>0</v>
      </c>
      <c r="AN65" s="79" cm="1">
        <f t="array" ref="AN65">IF(AND(AN$4&gt;=INDEX(plan!$J:$J, $B65), AN$4&lt;=INDEX(plan!$K:$K, $B65)),1,0)</f>
        <v>0</v>
      </c>
      <c r="AO65" s="74"/>
      <c r="AP65" s="78"/>
      <c r="AQ65" s="78"/>
      <c r="AR65" s="78"/>
      <c r="AS65" s="78"/>
      <c r="AT65" s="78"/>
      <c r="AU65" s="79"/>
    </row>
    <row r="66" spans="1:47" ht="12.95" hidden="1" customHeight="1" x14ac:dyDescent="0.3">
      <c r="A66" s="36"/>
      <c r="B66" s="300"/>
      <c r="C66" s="275"/>
      <c r="D66" s="279"/>
      <c r="E66" s="277"/>
      <c r="F66" s="75" cm="1">
        <f t="array" ref="F66">_xlfn.LET(
  _xlpm.act,   cronograma!$C65,
  _xlpm.fecha, cronograma!F$4,
  _xlpm.ini,   INDEX(plan!$J:$J, $B65),
  _xlpm.fin,   INDEX(plan!$K:$K, $B65),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66" s="76" cm="1">
        <f t="array" ref="G66">_xlfn.LET(
  _xlpm.act,   cronograma!$C65,
  _xlpm.fecha, cronograma!G$4,
  _xlpm.ini,   INDEX(plan!$J:$J, $B65),
  _xlpm.fin,   INDEX(plan!$K:$K, $B65),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66" s="76" cm="1">
        <f t="array" ref="H66">_xlfn.LET(
  _xlpm.act,   cronograma!$C65,
  _xlpm.fecha, cronograma!H$4,
  _xlpm.ini,   INDEX(plan!$J:$J, $B65),
  _xlpm.fin,   INDEX(plan!$K:$K, $B65),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66" s="76" cm="1">
        <f t="array" ref="I66">_xlfn.LET(
  _xlpm.act,   cronograma!$C65,
  _xlpm.fecha, cronograma!I$4,
  _xlpm.ini,   INDEX(plan!$J:$J, $B65),
  _xlpm.fin,   INDEX(plan!$K:$K, $B65),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66" s="76" cm="1">
        <f t="array" ref="J66">_xlfn.LET(
  _xlpm.act,   cronograma!$C65,
  _xlpm.fecha, cronograma!J$4,
  _xlpm.ini,   INDEX(plan!$J:$J, $B65),
  _xlpm.fin,   INDEX(plan!$K:$K, $B65),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66" s="76" cm="1">
        <f t="array" ref="K66">_xlfn.LET(
  _xlpm.act,   cronograma!$C65,
  _xlpm.fecha, cronograma!K$4,
  _xlpm.ini,   INDEX(plan!$J:$J, $B65),
  _xlpm.fin,   INDEX(plan!$K:$K, $B65),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66" s="77" cm="1">
        <f t="array" ref="L66">_xlfn.LET(
  _xlpm.act,   cronograma!$C65,
  _xlpm.fecha, cronograma!L$4,
  _xlpm.ini,   INDEX(plan!$J:$J, $B65),
  _xlpm.fin,   INDEX(plan!$K:$K, $B65),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66" s="75" cm="1">
        <f t="array" ref="M66">_xlfn.LET(
  _xlpm.act,   cronograma!$C65,
  _xlpm.fecha, cronograma!M$4,
  _xlpm.ini,   INDEX(plan!$J:$J, $B65),
  _xlpm.fin,   INDEX(plan!$K:$K, $B65),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66" s="76" cm="1">
        <f t="array" ref="N66">_xlfn.LET(
  _xlpm.act,   cronograma!$C65,
  _xlpm.fecha, cronograma!N$4,
  _xlpm.ini,   INDEX(plan!$J:$J, $B65),
  _xlpm.fin,   INDEX(plan!$K:$K, $B65),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66" s="76" cm="1">
        <f t="array" ref="O66">_xlfn.LET(
  _xlpm.act,   cronograma!$C65,
  _xlpm.fecha, cronograma!O$4,
  _xlpm.ini,   INDEX(plan!$J:$J, $B65),
  _xlpm.fin,   INDEX(plan!$K:$K, $B65),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66" s="76" cm="1">
        <f t="array" ref="P66">_xlfn.LET(
  _xlpm.act,   cronograma!$C65,
  _xlpm.fecha, cronograma!P$4,
  _xlpm.ini,   INDEX(plan!$J:$J, $B65),
  _xlpm.fin,   INDEX(plan!$K:$K, $B65),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66" s="76" cm="1">
        <f t="array" ref="Q66">_xlfn.LET(
  _xlpm.act,   cronograma!$C65,
  _xlpm.fecha, cronograma!Q$4,
  _xlpm.ini,   INDEX(plan!$J:$J, $B65),
  _xlpm.fin,   INDEX(plan!$K:$K, $B65),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66" s="76" cm="1">
        <f t="array" ref="R66">_xlfn.LET(
  _xlpm.act,   cronograma!$C65,
  _xlpm.fecha, cronograma!R$4,
  _xlpm.ini,   INDEX(plan!$J:$J, $B65),
  _xlpm.fin,   INDEX(plan!$K:$K, $B65),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66" s="77" cm="1">
        <f t="array" ref="S66">_xlfn.LET(
  _xlpm.act,   cronograma!$C65,
  _xlpm.fecha, cronograma!S$4,
  _xlpm.ini,   INDEX(plan!$J:$J, $B65),
  _xlpm.fin,   INDEX(plan!$K:$K, $B65),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66" s="75" cm="1">
        <f t="array" ref="T66">_xlfn.LET(
  _xlpm.act,   cronograma!$C65,
  _xlpm.fecha, cronograma!T$4,
  _xlpm.ini,   INDEX(plan!$J:$J, $B65),
  _xlpm.fin,   INDEX(plan!$K:$K, $B65),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66" s="76" cm="1">
        <f t="array" ref="U66">_xlfn.LET(
  _xlpm.act,   cronograma!$C65,
  _xlpm.fecha, cronograma!U$4,
  _xlpm.ini,   INDEX(plan!$J:$J, $B65),
  _xlpm.fin,   INDEX(plan!$K:$K, $B65),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66" s="76" cm="1">
        <f t="array" ref="V66">_xlfn.LET(
  _xlpm.act,   cronograma!$C65,
  _xlpm.fecha, cronograma!V$4,
  _xlpm.ini,   INDEX(plan!$J:$J, $B65),
  _xlpm.fin,   INDEX(plan!$K:$K, $B65),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66" s="76" cm="1">
        <f t="array" ref="W66">_xlfn.LET(
  _xlpm.act,   cronograma!$C65,
  _xlpm.fecha, cronograma!W$4,
  _xlpm.ini,   INDEX(plan!$J:$J, $B65),
  _xlpm.fin,   INDEX(plan!$K:$K, $B65),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66" s="76" cm="1">
        <f t="array" ref="X66">_xlfn.LET(
  _xlpm.act,   cronograma!$C65,
  _xlpm.fecha, cronograma!X$4,
  _xlpm.ini,   INDEX(plan!$J:$J, $B65),
  _xlpm.fin,   INDEX(plan!$K:$K, $B65),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66" s="76" cm="1">
        <f t="array" ref="Y66">_xlfn.LET(
  _xlpm.act,   cronograma!$C65,
  _xlpm.fecha, cronograma!Y$4,
  _xlpm.ini,   INDEX(plan!$J:$J, $B65),
  _xlpm.fin,   INDEX(plan!$K:$K, $B65),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66" s="77" cm="1">
        <f t="array" ref="Z66">_xlfn.LET(
  _xlpm.act,   cronograma!$C65,
  _xlpm.fecha, cronograma!Z$4,
  _xlpm.ini,   INDEX(plan!$J:$J, $B65),
  _xlpm.fin,   INDEX(plan!$K:$K, $B65),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66" s="75" cm="1">
        <f t="array" ref="AA66">_xlfn.LET(
  _xlpm.act,   cronograma!$C65,
  _xlpm.fecha, cronograma!AA$4,
  _xlpm.ini,   INDEX(plan!$J:$J, $B65),
  _xlpm.fin,   INDEX(plan!$K:$K, $B65),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66" s="76" cm="1">
        <f t="array" ref="AB66">_xlfn.LET(
  _xlpm.act,   cronograma!$C65,
  _xlpm.fecha, cronograma!AB$4,
  _xlpm.ini,   INDEX(plan!$J:$J, $B65),
  _xlpm.fin,   INDEX(plan!$K:$K, $B65),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66" s="76" cm="1">
        <f t="array" ref="AC66">_xlfn.LET(
  _xlpm.act,   cronograma!$C65,
  _xlpm.fecha, cronograma!AC$4,
  _xlpm.ini,   INDEX(plan!$J:$J, $B65),
  _xlpm.fin,   INDEX(plan!$K:$K, $B65),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66" s="76" cm="1">
        <f t="array" ref="AD66">_xlfn.LET(
  _xlpm.act,   cronograma!$C65,
  _xlpm.fecha, cronograma!AD$4,
  _xlpm.ini,   INDEX(plan!$J:$J, $B65),
  _xlpm.fin,   INDEX(plan!$K:$K, $B65),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66" s="76" cm="1">
        <f t="array" ref="AE66">_xlfn.LET(
  _xlpm.act,   cronograma!$C65,
  _xlpm.fecha, cronograma!AE$4,
  _xlpm.ini,   INDEX(plan!$J:$J, $B65),
  _xlpm.fin,   INDEX(plan!$K:$K, $B65),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66" s="76" cm="1">
        <f t="array" ref="AF66">_xlfn.LET(
  _xlpm.act,   cronograma!$C65,
  _xlpm.fecha, cronograma!AF$4,
  _xlpm.ini,   INDEX(plan!$J:$J, $B65),
  _xlpm.fin,   INDEX(plan!$K:$K, $B65),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66" s="77" cm="1">
        <f t="array" ref="AG66">_xlfn.LET(
  _xlpm.act,   cronograma!$C65,
  _xlpm.fecha, cronograma!AG$4,
  _xlpm.ini,   INDEX(plan!$J:$J, $B65),
  _xlpm.fin,   INDEX(plan!$K:$K, $B65),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66" s="75" cm="1">
        <f t="array" ref="AH66">_xlfn.LET(
  _xlpm.act,   cronograma!$C65,
  _xlpm.fecha, cronograma!AH$4,
  _xlpm.ini,   INDEX(plan!$J:$J, $B65),
  _xlpm.fin,   INDEX(plan!$K:$K, $B65),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66" s="76" cm="1">
        <f t="array" ref="AI66">_xlfn.LET(
  _xlpm.act,   cronograma!$C65,
  _xlpm.fecha, cronograma!AI$4,
  _xlpm.ini,   INDEX(plan!$J:$J, $B65),
  _xlpm.fin,   INDEX(plan!$K:$K, $B65),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66" s="76" cm="1">
        <f t="array" ref="AJ66">_xlfn.LET(
  _xlpm.act,   cronograma!$C65,
  _xlpm.fecha, cronograma!AJ$4,
  _xlpm.ini,   INDEX(plan!$J:$J, $B65),
  _xlpm.fin,   INDEX(plan!$K:$K, $B65),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66" s="76" cm="1">
        <f t="array" ref="AK66">_xlfn.LET(
  _xlpm.act,   cronograma!$C65,
  _xlpm.fecha, cronograma!AK$4,
  _xlpm.ini,   INDEX(plan!$J:$J, $B65),
  _xlpm.fin,   INDEX(plan!$K:$K, $B65),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66" s="76" cm="1">
        <f t="array" ref="AL66">_xlfn.LET(
  _xlpm.act,   cronograma!$C65,
  _xlpm.fecha, cronograma!AL$4,
  _xlpm.ini,   INDEX(plan!$J:$J, $B65),
  _xlpm.fin,   INDEX(plan!$K:$K, $B65),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66" s="76" cm="1">
        <f t="array" ref="AM66">_xlfn.LET(
  _xlpm.act,   cronograma!$C65,
  _xlpm.fecha, cronograma!AM$4,
  _xlpm.ini,   INDEX(plan!$J:$J, $B65),
  _xlpm.fin,   INDEX(plan!$K:$K, $B65),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66" s="77" cm="1">
        <f t="array" ref="AN66">_xlfn.LET(
  _xlpm.act,   cronograma!$C65,
  _xlpm.fecha, cronograma!AN$4,
  _xlpm.ini,   INDEX(plan!$J:$J, $B65),
  _xlpm.fin,   INDEX(plan!$K:$K, $B65),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O66" s="75"/>
      <c r="AP66" s="76"/>
      <c r="AQ66" s="76"/>
      <c r="AR66" s="76"/>
      <c r="AS66" s="76"/>
      <c r="AT66" s="76"/>
      <c r="AU66" s="77"/>
    </row>
    <row r="67" spans="1:47" ht="12.95" hidden="1" customHeight="1" x14ac:dyDescent="0.3">
      <c r="A67" s="36"/>
      <c r="B67" s="301">
        <f>plan!B35</f>
        <v>35</v>
      </c>
      <c r="C67" s="274">
        <f>plan!C35</f>
        <v>0</v>
      </c>
      <c r="D67" s="278" cm="1">
        <f t="array" ref="D67">INDEX(plan!$I:$I, $B67)</f>
        <v>0</v>
      </c>
      <c r="E67" s="276" cm="1">
        <f t="array" ref="E67">INDEX(plan!$U:$U, $B67)</f>
        <v>0</v>
      </c>
      <c r="F67" s="74" cm="1">
        <f t="array" ref="F67">IF(AND(F$4&gt;=INDEX(plan!$J:$J, $B67), F$4&lt;=INDEX(plan!$K:$K, $B67)),1,0)</f>
        <v>0</v>
      </c>
      <c r="G67" s="78" cm="1">
        <f t="array" ref="G67">IF(AND(G$4&gt;=INDEX(plan!$J:$J, $B67), G$4&lt;=INDEX(plan!$K:$K, $B67)),1,0)</f>
        <v>0</v>
      </c>
      <c r="H67" s="78" cm="1">
        <f t="array" ref="H67">IF(AND(H$4&gt;=INDEX(plan!$J:$J, $B67), H$4&lt;=INDEX(plan!$K:$K, $B67)),1,0)</f>
        <v>0</v>
      </c>
      <c r="I67" s="78" cm="1">
        <f t="array" ref="I67">IF(AND(I$4&gt;=INDEX(plan!$J:$J, $B67), I$4&lt;=INDEX(plan!$K:$K, $B67)),1,0)</f>
        <v>0</v>
      </c>
      <c r="J67" s="78" cm="1">
        <f t="array" ref="J67">IF(AND(J$4&gt;=INDEX(plan!$J:$J, $B67), J$4&lt;=INDEX(plan!$K:$K, $B67)),1,0)</f>
        <v>0</v>
      </c>
      <c r="K67" s="78" cm="1">
        <f t="array" ref="K67">IF(AND(K$4&gt;=INDEX(plan!$J:$J, $B67), K$4&lt;=INDEX(plan!$K:$K, $B67)),1,0)</f>
        <v>0</v>
      </c>
      <c r="L67" s="79" cm="1">
        <f t="array" ref="L67">IF(AND(L$4&gt;=INDEX(plan!$J:$J, $B67), L$4&lt;=INDEX(plan!$K:$K, $B67)),1,0)</f>
        <v>0</v>
      </c>
      <c r="M67" s="74" cm="1">
        <f t="array" ref="M67">IF(AND(M$4&gt;=INDEX(plan!$J:$J, $B67), M$4&lt;=INDEX(plan!$K:$K, $B67)),1,0)</f>
        <v>0</v>
      </c>
      <c r="N67" s="78" cm="1">
        <f t="array" ref="N67">IF(AND(N$4&gt;=INDEX(plan!$J:$J, $B67), N$4&lt;=INDEX(plan!$K:$K, $B67)),1,0)</f>
        <v>0</v>
      </c>
      <c r="O67" s="78" cm="1">
        <f t="array" ref="O67">IF(AND(O$4&gt;=INDEX(plan!$J:$J, $B67), O$4&lt;=INDEX(plan!$K:$K, $B67)),1,0)</f>
        <v>0</v>
      </c>
      <c r="P67" s="78" cm="1">
        <f t="array" ref="P67">IF(AND(P$4&gt;=INDEX(plan!$J:$J, $B67), P$4&lt;=INDEX(plan!$K:$K, $B67)),1,0)</f>
        <v>0</v>
      </c>
      <c r="Q67" s="78" cm="1">
        <f t="array" ref="Q67">IF(AND(Q$4&gt;=INDEX(plan!$J:$J, $B67), Q$4&lt;=INDEX(plan!$K:$K, $B67)),1,0)</f>
        <v>0</v>
      </c>
      <c r="R67" s="78" cm="1">
        <f t="array" ref="R67">IF(AND(R$4&gt;=INDEX(plan!$J:$J, $B67), R$4&lt;=INDEX(plan!$K:$K, $B67)),1,0)</f>
        <v>0</v>
      </c>
      <c r="S67" s="79" cm="1">
        <f t="array" ref="S67">IF(AND(S$4&gt;=INDEX(plan!$J:$J, $B67), S$4&lt;=INDEX(plan!$K:$K, $B67)),1,0)</f>
        <v>0</v>
      </c>
      <c r="T67" s="74" cm="1">
        <f t="array" ref="T67">IF(AND(T$4&gt;=INDEX(plan!$J:$J, $B67), T$4&lt;=INDEX(plan!$K:$K, $B67)),1,0)</f>
        <v>0</v>
      </c>
      <c r="U67" s="78" cm="1">
        <f t="array" ref="U67">IF(AND(U$4&gt;=INDEX(plan!$J:$J, $B67), U$4&lt;=INDEX(plan!$K:$K, $B67)),1,0)</f>
        <v>0</v>
      </c>
      <c r="V67" s="78" cm="1">
        <f t="array" ref="V67">IF(AND(V$4&gt;=INDEX(plan!$J:$J, $B67), V$4&lt;=INDEX(plan!$K:$K, $B67)),1,0)</f>
        <v>0</v>
      </c>
      <c r="W67" s="78" cm="1">
        <f t="array" ref="W67">IF(AND(W$4&gt;=INDEX(plan!$J:$J, $B67), W$4&lt;=INDEX(plan!$K:$K, $B67)),1,0)</f>
        <v>0</v>
      </c>
      <c r="X67" s="78" cm="1">
        <f t="array" ref="X67">IF(AND(X$4&gt;=INDEX(plan!$J:$J, $B67), X$4&lt;=INDEX(plan!$K:$K, $B67)),1,0)</f>
        <v>0</v>
      </c>
      <c r="Y67" s="78" cm="1">
        <f t="array" ref="Y67">IF(AND(Y$4&gt;=INDEX(plan!$J:$J, $B67), Y$4&lt;=INDEX(plan!$K:$K, $B67)),1,0)</f>
        <v>0</v>
      </c>
      <c r="Z67" s="79" cm="1">
        <f t="array" ref="Z67">IF(AND(Z$4&gt;=INDEX(plan!$J:$J, $B67), Z$4&lt;=INDEX(plan!$K:$K, $B67)),1,0)</f>
        <v>0</v>
      </c>
      <c r="AA67" s="74" cm="1">
        <f t="array" ref="AA67">IF(AND(AA$4&gt;=INDEX(plan!$J:$J, $B67), AA$4&lt;=INDEX(plan!$K:$K, $B67)),1,0)</f>
        <v>0</v>
      </c>
      <c r="AB67" s="78" cm="1">
        <f t="array" ref="AB67">IF(AND(AB$4&gt;=INDEX(plan!$J:$J, $B67), AB$4&lt;=INDEX(plan!$K:$K, $B67)),1,0)</f>
        <v>0</v>
      </c>
      <c r="AC67" s="78" cm="1">
        <f t="array" ref="AC67">IF(AND(AC$4&gt;=INDEX(plan!$J:$J, $B67), AC$4&lt;=INDEX(plan!$K:$K, $B67)),1,0)</f>
        <v>0</v>
      </c>
      <c r="AD67" s="78" cm="1">
        <f t="array" ref="AD67">IF(AND(AD$4&gt;=INDEX(plan!$J:$J, $B67), AD$4&lt;=INDEX(plan!$K:$K, $B67)),1,0)</f>
        <v>0</v>
      </c>
      <c r="AE67" s="78" cm="1">
        <f t="array" ref="AE67">IF(AND(AE$4&gt;=INDEX(plan!$J:$J, $B67), AE$4&lt;=INDEX(plan!$K:$K, $B67)),1,0)</f>
        <v>0</v>
      </c>
      <c r="AF67" s="78" cm="1">
        <f t="array" ref="AF67">IF(AND(AF$4&gt;=INDEX(plan!$J:$J, $B67), AF$4&lt;=INDEX(plan!$K:$K, $B67)),1,0)</f>
        <v>0</v>
      </c>
      <c r="AG67" s="79" cm="1">
        <f t="array" ref="AG67">IF(AND(AG$4&gt;=INDEX(plan!$J:$J, $B67), AG$4&lt;=INDEX(plan!$K:$K, $B67)),1,0)</f>
        <v>0</v>
      </c>
      <c r="AH67" s="74" cm="1">
        <f t="array" ref="AH67">IF(AND(AH$4&gt;=INDEX(plan!$J:$J, $B67), AH$4&lt;=INDEX(plan!$K:$K, $B67)),1,0)</f>
        <v>0</v>
      </c>
      <c r="AI67" s="78" cm="1">
        <f t="array" ref="AI67">IF(AND(AI$4&gt;=INDEX(plan!$J:$J, $B67), AI$4&lt;=INDEX(plan!$K:$K, $B67)),1,0)</f>
        <v>0</v>
      </c>
      <c r="AJ67" s="78" cm="1">
        <f t="array" ref="AJ67">IF(AND(AJ$4&gt;=INDEX(plan!$J:$J, $B67), AJ$4&lt;=INDEX(plan!$K:$K, $B67)),1,0)</f>
        <v>0</v>
      </c>
      <c r="AK67" s="78" cm="1">
        <f t="array" ref="AK67">IF(AND(AK$4&gt;=INDEX(plan!$J:$J, $B67), AK$4&lt;=INDEX(plan!$K:$K, $B67)),1,0)</f>
        <v>0</v>
      </c>
      <c r="AL67" s="78" cm="1">
        <f t="array" ref="AL67">IF(AND(AL$4&gt;=INDEX(plan!$J:$J, $B67), AL$4&lt;=INDEX(plan!$K:$K, $B67)),1,0)</f>
        <v>0</v>
      </c>
      <c r="AM67" s="78" cm="1">
        <f t="array" ref="AM67">IF(AND(AM$4&gt;=INDEX(plan!$J:$J, $B67), AM$4&lt;=INDEX(plan!$K:$K, $B67)),1,0)</f>
        <v>0</v>
      </c>
      <c r="AN67" s="79" cm="1">
        <f t="array" ref="AN67">IF(AND(AN$4&gt;=INDEX(plan!$J:$J, $B67), AN$4&lt;=INDEX(plan!$K:$K, $B67)),1,0)</f>
        <v>0</v>
      </c>
      <c r="AO67" s="74"/>
      <c r="AP67" s="78"/>
      <c r="AQ67" s="78"/>
      <c r="AR67" s="78"/>
      <c r="AS67" s="78"/>
      <c r="AT67" s="78"/>
      <c r="AU67" s="79"/>
    </row>
    <row r="68" spans="1:47" ht="12.95" hidden="1" customHeight="1" x14ac:dyDescent="0.3">
      <c r="A68" s="36"/>
      <c r="B68" s="300"/>
      <c r="C68" s="275"/>
      <c r="D68" s="279"/>
      <c r="E68" s="277"/>
      <c r="F68" s="75" cm="1">
        <f t="array" ref="F68">_xlfn.LET(
  _xlpm.act,   cronograma!$C67,
  _xlpm.fecha, cronograma!F$4,
  _xlpm.ini,   INDEX(plan!$J:$J, $B67),
  _xlpm.fin,   INDEX(plan!$K:$K, $B67),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68" s="76" cm="1">
        <f t="array" ref="G68">_xlfn.LET(
  _xlpm.act,   cronograma!$C67,
  _xlpm.fecha, cronograma!G$4,
  _xlpm.ini,   INDEX(plan!$J:$J, $B67),
  _xlpm.fin,   INDEX(plan!$K:$K, $B67),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68" s="76" cm="1">
        <f t="array" ref="H68">_xlfn.LET(
  _xlpm.act,   cronograma!$C67,
  _xlpm.fecha, cronograma!H$4,
  _xlpm.ini,   INDEX(plan!$J:$J, $B67),
  _xlpm.fin,   INDEX(plan!$K:$K, $B67),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68" s="76" cm="1">
        <f t="array" ref="I68">_xlfn.LET(
  _xlpm.act,   cronograma!$C67,
  _xlpm.fecha, cronograma!I$4,
  _xlpm.ini,   INDEX(plan!$J:$J, $B67),
  _xlpm.fin,   INDEX(plan!$K:$K, $B67),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68" s="76" cm="1">
        <f t="array" ref="J68">_xlfn.LET(
  _xlpm.act,   cronograma!$C67,
  _xlpm.fecha, cronograma!J$4,
  _xlpm.ini,   INDEX(plan!$J:$J, $B67),
  _xlpm.fin,   INDEX(plan!$K:$K, $B67),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68" s="76" cm="1">
        <f t="array" ref="K68">_xlfn.LET(
  _xlpm.act,   cronograma!$C67,
  _xlpm.fecha, cronograma!K$4,
  _xlpm.ini,   INDEX(plan!$J:$J, $B67),
  _xlpm.fin,   INDEX(plan!$K:$K, $B67),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68" s="77" cm="1">
        <f t="array" ref="L68">_xlfn.LET(
  _xlpm.act,   cronograma!$C67,
  _xlpm.fecha, cronograma!L$4,
  _xlpm.ini,   INDEX(plan!$J:$J, $B67),
  _xlpm.fin,   INDEX(plan!$K:$K, $B67),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68" s="75" cm="1">
        <f t="array" ref="M68">_xlfn.LET(
  _xlpm.act,   cronograma!$C67,
  _xlpm.fecha, cronograma!M$4,
  _xlpm.ini,   INDEX(plan!$J:$J, $B67),
  _xlpm.fin,   INDEX(plan!$K:$K, $B67),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68" s="76" cm="1">
        <f t="array" ref="N68">_xlfn.LET(
  _xlpm.act,   cronograma!$C67,
  _xlpm.fecha, cronograma!N$4,
  _xlpm.ini,   INDEX(plan!$J:$J, $B67),
  _xlpm.fin,   INDEX(plan!$K:$K, $B67),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68" s="76" cm="1">
        <f t="array" ref="O68">_xlfn.LET(
  _xlpm.act,   cronograma!$C67,
  _xlpm.fecha, cronograma!O$4,
  _xlpm.ini,   INDEX(plan!$J:$J, $B67),
  _xlpm.fin,   INDEX(plan!$K:$K, $B67),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68" s="76" cm="1">
        <f t="array" ref="P68">_xlfn.LET(
  _xlpm.act,   cronograma!$C67,
  _xlpm.fecha, cronograma!P$4,
  _xlpm.ini,   INDEX(plan!$J:$J, $B67),
  _xlpm.fin,   INDEX(plan!$K:$K, $B67),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68" s="76" cm="1">
        <f t="array" ref="Q68">_xlfn.LET(
  _xlpm.act,   cronograma!$C67,
  _xlpm.fecha, cronograma!Q$4,
  _xlpm.ini,   INDEX(plan!$J:$J, $B67),
  _xlpm.fin,   INDEX(plan!$K:$K, $B67),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68" s="76" cm="1">
        <f t="array" ref="R68">_xlfn.LET(
  _xlpm.act,   cronograma!$C67,
  _xlpm.fecha, cronograma!R$4,
  _xlpm.ini,   INDEX(plan!$J:$J, $B67),
  _xlpm.fin,   INDEX(plan!$K:$K, $B67),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68" s="77" cm="1">
        <f t="array" ref="S68">_xlfn.LET(
  _xlpm.act,   cronograma!$C67,
  _xlpm.fecha, cronograma!S$4,
  _xlpm.ini,   INDEX(plan!$J:$J, $B67),
  _xlpm.fin,   INDEX(plan!$K:$K, $B67),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68" s="75" cm="1">
        <f t="array" ref="T68">_xlfn.LET(
  _xlpm.act,   cronograma!$C67,
  _xlpm.fecha, cronograma!T$4,
  _xlpm.ini,   INDEX(plan!$J:$J, $B67),
  _xlpm.fin,   INDEX(plan!$K:$K, $B67),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68" s="76" cm="1">
        <f t="array" ref="U68">_xlfn.LET(
  _xlpm.act,   cronograma!$C67,
  _xlpm.fecha, cronograma!U$4,
  _xlpm.ini,   INDEX(plan!$J:$J, $B67),
  _xlpm.fin,   INDEX(plan!$K:$K, $B67),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68" s="76" cm="1">
        <f t="array" ref="V68">_xlfn.LET(
  _xlpm.act,   cronograma!$C67,
  _xlpm.fecha, cronograma!V$4,
  _xlpm.ini,   INDEX(plan!$J:$J, $B67),
  _xlpm.fin,   INDEX(plan!$K:$K, $B67),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68" s="76" cm="1">
        <f t="array" ref="W68">_xlfn.LET(
  _xlpm.act,   cronograma!$C67,
  _xlpm.fecha, cronograma!W$4,
  _xlpm.ini,   INDEX(plan!$J:$J, $B67),
  _xlpm.fin,   INDEX(plan!$K:$K, $B67),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68" s="76" cm="1">
        <f t="array" ref="X68">_xlfn.LET(
  _xlpm.act,   cronograma!$C67,
  _xlpm.fecha, cronograma!X$4,
  _xlpm.ini,   INDEX(plan!$J:$J, $B67),
  _xlpm.fin,   INDEX(plan!$K:$K, $B67),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68" s="76" cm="1">
        <f t="array" ref="Y68">_xlfn.LET(
  _xlpm.act,   cronograma!$C67,
  _xlpm.fecha, cronograma!Y$4,
  _xlpm.ini,   INDEX(plan!$J:$J, $B67),
  _xlpm.fin,   INDEX(plan!$K:$K, $B67),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68" s="77" cm="1">
        <f t="array" ref="Z68">_xlfn.LET(
  _xlpm.act,   cronograma!$C67,
  _xlpm.fecha, cronograma!Z$4,
  _xlpm.ini,   INDEX(plan!$J:$J, $B67),
  _xlpm.fin,   INDEX(plan!$K:$K, $B67),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68" s="75" cm="1">
        <f t="array" ref="AA68">_xlfn.LET(
  _xlpm.act,   cronograma!$C67,
  _xlpm.fecha, cronograma!AA$4,
  _xlpm.ini,   INDEX(plan!$J:$J, $B67),
  _xlpm.fin,   INDEX(plan!$K:$K, $B67),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68" s="76" cm="1">
        <f t="array" ref="AB68">_xlfn.LET(
  _xlpm.act,   cronograma!$C67,
  _xlpm.fecha, cronograma!AB$4,
  _xlpm.ini,   INDEX(plan!$J:$J, $B67),
  _xlpm.fin,   INDEX(plan!$K:$K, $B67),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68" s="76" cm="1">
        <f t="array" ref="AC68">_xlfn.LET(
  _xlpm.act,   cronograma!$C67,
  _xlpm.fecha, cronograma!AC$4,
  _xlpm.ini,   INDEX(plan!$J:$J, $B67),
  _xlpm.fin,   INDEX(plan!$K:$K, $B67),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68" s="76" cm="1">
        <f t="array" ref="AD68">_xlfn.LET(
  _xlpm.act,   cronograma!$C67,
  _xlpm.fecha, cronograma!AD$4,
  _xlpm.ini,   INDEX(plan!$J:$J, $B67),
  _xlpm.fin,   INDEX(plan!$K:$K, $B67),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68" s="76" cm="1">
        <f t="array" ref="AE68">_xlfn.LET(
  _xlpm.act,   cronograma!$C67,
  _xlpm.fecha, cronograma!AE$4,
  _xlpm.ini,   INDEX(plan!$J:$J, $B67),
  _xlpm.fin,   INDEX(plan!$K:$K, $B67),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68" s="76" cm="1">
        <f t="array" ref="AF68">_xlfn.LET(
  _xlpm.act,   cronograma!$C67,
  _xlpm.fecha, cronograma!AF$4,
  _xlpm.ini,   INDEX(plan!$J:$J, $B67),
  _xlpm.fin,   INDEX(plan!$K:$K, $B67),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68" s="77" cm="1">
        <f t="array" ref="AG68">_xlfn.LET(
  _xlpm.act,   cronograma!$C67,
  _xlpm.fecha, cronograma!AG$4,
  _xlpm.ini,   INDEX(plan!$J:$J, $B67),
  _xlpm.fin,   INDEX(plan!$K:$K, $B67),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68" s="75" cm="1">
        <f t="array" ref="AH68">_xlfn.LET(
  _xlpm.act,   cronograma!$C67,
  _xlpm.fecha, cronograma!AH$4,
  _xlpm.ini,   INDEX(plan!$J:$J, $B67),
  _xlpm.fin,   INDEX(plan!$K:$K, $B67),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68" s="76" cm="1">
        <f t="array" ref="AI68">_xlfn.LET(
  _xlpm.act,   cronograma!$C67,
  _xlpm.fecha, cronograma!AI$4,
  _xlpm.ini,   INDEX(plan!$J:$J, $B67),
  _xlpm.fin,   INDEX(plan!$K:$K, $B67),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68" s="76" cm="1">
        <f t="array" ref="AJ68">_xlfn.LET(
  _xlpm.act,   cronograma!$C67,
  _xlpm.fecha, cronograma!AJ$4,
  _xlpm.ini,   INDEX(plan!$J:$J, $B67),
  _xlpm.fin,   INDEX(plan!$K:$K, $B67),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68" s="76" cm="1">
        <f t="array" ref="AK68">_xlfn.LET(
  _xlpm.act,   cronograma!$C67,
  _xlpm.fecha, cronograma!AK$4,
  _xlpm.ini,   INDEX(plan!$J:$J, $B67),
  _xlpm.fin,   INDEX(plan!$K:$K, $B67),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68" s="76" cm="1">
        <f t="array" ref="AL68">_xlfn.LET(
  _xlpm.act,   cronograma!$C67,
  _xlpm.fecha, cronograma!AL$4,
  _xlpm.ini,   INDEX(plan!$J:$J, $B67),
  _xlpm.fin,   INDEX(plan!$K:$K, $B67),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68" s="76" cm="1">
        <f t="array" ref="AM68">_xlfn.LET(
  _xlpm.act,   cronograma!$C67,
  _xlpm.fecha, cronograma!AM$4,
  _xlpm.ini,   INDEX(plan!$J:$J, $B67),
  _xlpm.fin,   INDEX(plan!$K:$K, $B67),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68" s="77" cm="1">
        <f t="array" ref="AN68">_xlfn.LET(
  _xlpm.act,   cronograma!$C67,
  _xlpm.fecha, cronograma!AN$4,
  _xlpm.ini,   INDEX(plan!$J:$J, $B67),
  _xlpm.fin,   INDEX(plan!$K:$K, $B67),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O68" s="75"/>
      <c r="AP68" s="76"/>
      <c r="AQ68" s="76"/>
      <c r="AR68" s="76"/>
      <c r="AS68" s="76"/>
      <c r="AT68" s="76"/>
      <c r="AU68" s="77"/>
    </row>
    <row r="69" spans="1:47" ht="12.95" hidden="1" customHeight="1" x14ac:dyDescent="0.3">
      <c r="A69" s="36"/>
      <c r="B69" s="301">
        <f>plan!B36</f>
        <v>36</v>
      </c>
      <c r="C69" s="274">
        <f>plan!C36</f>
        <v>0</v>
      </c>
      <c r="D69" s="278" cm="1">
        <f t="array" ref="D69">INDEX(plan!$I:$I, $B69)</f>
        <v>0</v>
      </c>
      <c r="E69" s="276" cm="1">
        <f t="array" ref="E69">INDEX(plan!$U:$U, $B69)</f>
        <v>0</v>
      </c>
      <c r="F69" s="74" cm="1">
        <f t="array" ref="F69">IF(AND(F$4&gt;=INDEX(plan!$J:$J, $B69), F$4&lt;=INDEX(plan!$K:$K, $B69)),1,0)</f>
        <v>0</v>
      </c>
      <c r="G69" s="78" cm="1">
        <f t="array" ref="G69">IF(AND(G$4&gt;=INDEX(plan!$J:$J, $B69), G$4&lt;=INDEX(plan!$K:$K, $B69)),1,0)</f>
        <v>0</v>
      </c>
      <c r="H69" s="78" cm="1">
        <f t="array" ref="H69">IF(AND(H$4&gt;=INDEX(plan!$J:$J, $B69), H$4&lt;=INDEX(plan!$K:$K, $B69)),1,0)</f>
        <v>0</v>
      </c>
      <c r="I69" s="78" cm="1">
        <f t="array" ref="I69">IF(AND(I$4&gt;=INDEX(plan!$J:$J, $B69), I$4&lt;=INDEX(plan!$K:$K, $B69)),1,0)</f>
        <v>0</v>
      </c>
      <c r="J69" s="78" cm="1">
        <f t="array" ref="J69">IF(AND(J$4&gt;=INDEX(plan!$J:$J, $B69), J$4&lt;=INDEX(plan!$K:$K, $B69)),1,0)</f>
        <v>0</v>
      </c>
      <c r="K69" s="78" cm="1">
        <f t="array" ref="K69">IF(AND(K$4&gt;=INDEX(plan!$J:$J, $B69), K$4&lt;=INDEX(plan!$K:$K, $B69)),1,0)</f>
        <v>0</v>
      </c>
      <c r="L69" s="79" cm="1">
        <f t="array" ref="L69">IF(AND(L$4&gt;=INDEX(plan!$J:$J, $B69), L$4&lt;=INDEX(plan!$K:$K, $B69)),1,0)</f>
        <v>0</v>
      </c>
      <c r="M69" s="74" cm="1">
        <f t="array" ref="M69">IF(AND(M$4&gt;=INDEX(plan!$J:$J, $B69), M$4&lt;=INDEX(plan!$K:$K, $B69)),1,0)</f>
        <v>0</v>
      </c>
      <c r="N69" s="78" cm="1">
        <f t="array" ref="N69">IF(AND(N$4&gt;=INDEX(plan!$J:$J, $B69), N$4&lt;=INDEX(plan!$K:$K, $B69)),1,0)</f>
        <v>0</v>
      </c>
      <c r="O69" s="78" cm="1">
        <f t="array" ref="O69">IF(AND(O$4&gt;=INDEX(plan!$J:$J, $B69), O$4&lt;=INDEX(plan!$K:$K, $B69)),1,0)</f>
        <v>0</v>
      </c>
      <c r="P69" s="78" cm="1">
        <f t="array" ref="P69">IF(AND(P$4&gt;=INDEX(plan!$J:$J, $B69), P$4&lt;=INDEX(plan!$K:$K, $B69)),1,0)</f>
        <v>0</v>
      </c>
      <c r="Q69" s="78" cm="1">
        <f t="array" ref="Q69">IF(AND(Q$4&gt;=INDEX(plan!$J:$J, $B69), Q$4&lt;=INDEX(plan!$K:$K, $B69)),1,0)</f>
        <v>0</v>
      </c>
      <c r="R69" s="78" cm="1">
        <f t="array" ref="R69">IF(AND(R$4&gt;=INDEX(plan!$J:$J, $B69), R$4&lt;=INDEX(plan!$K:$K, $B69)),1,0)</f>
        <v>0</v>
      </c>
      <c r="S69" s="79" cm="1">
        <f t="array" ref="S69">IF(AND(S$4&gt;=INDEX(plan!$J:$J, $B69), S$4&lt;=INDEX(plan!$K:$K, $B69)),1,0)</f>
        <v>0</v>
      </c>
      <c r="T69" s="74" cm="1">
        <f t="array" ref="T69">IF(AND(T$4&gt;=INDEX(plan!$J:$J, $B69), T$4&lt;=INDEX(plan!$K:$K, $B69)),1,0)</f>
        <v>0</v>
      </c>
      <c r="U69" s="78" cm="1">
        <f t="array" ref="U69">IF(AND(U$4&gt;=INDEX(plan!$J:$J, $B69), U$4&lt;=INDEX(plan!$K:$K, $B69)),1,0)</f>
        <v>0</v>
      </c>
      <c r="V69" s="78" cm="1">
        <f t="array" ref="V69">IF(AND(V$4&gt;=INDEX(plan!$J:$J, $B69), V$4&lt;=INDEX(plan!$K:$K, $B69)),1,0)</f>
        <v>0</v>
      </c>
      <c r="W69" s="78" cm="1">
        <f t="array" ref="W69">IF(AND(W$4&gt;=INDEX(plan!$J:$J, $B69), W$4&lt;=INDEX(plan!$K:$K, $B69)),1,0)</f>
        <v>0</v>
      </c>
      <c r="X69" s="78" cm="1">
        <f t="array" ref="X69">IF(AND(X$4&gt;=INDEX(plan!$J:$J, $B69), X$4&lt;=INDEX(plan!$K:$K, $B69)),1,0)</f>
        <v>0</v>
      </c>
      <c r="Y69" s="78" cm="1">
        <f t="array" ref="Y69">IF(AND(Y$4&gt;=INDEX(plan!$J:$J, $B69), Y$4&lt;=INDEX(plan!$K:$K, $B69)),1,0)</f>
        <v>0</v>
      </c>
      <c r="Z69" s="79" cm="1">
        <f t="array" ref="Z69">IF(AND(Z$4&gt;=INDEX(plan!$J:$J, $B69), Z$4&lt;=INDEX(plan!$K:$K, $B69)),1,0)</f>
        <v>0</v>
      </c>
      <c r="AA69" s="74" cm="1">
        <f t="array" ref="AA69">IF(AND(AA$4&gt;=INDEX(plan!$J:$J, $B69), AA$4&lt;=INDEX(plan!$K:$K, $B69)),1,0)</f>
        <v>0</v>
      </c>
      <c r="AB69" s="78" cm="1">
        <f t="array" ref="AB69">IF(AND(AB$4&gt;=INDEX(plan!$J:$J, $B69), AB$4&lt;=INDEX(plan!$K:$K, $B69)),1,0)</f>
        <v>0</v>
      </c>
      <c r="AC69" s="78" cm="1">
        <f t="array" ref="AC69">IF(AND(AC$4&gt;=INDEX(plan!$J:$J, $B69), AC$4&lt;=INDEX(plan!$K:$K, $B69)),1,0)</f>
        <v>0</v>
      </c>
      <c r="AD69" s="78" cm="1">
        <f t="array" ref="AD69">IF(AND(AD$4&gt;=INDEX(plan!$J:$J, $B69), AD$4&lt;=INDEX(plan!$K:$K, $B69)),1,0)</f>
        <v>0</v>
      </c>
      <c r="AE69" s="78" cm="1">
        <f t="array" ref="AE69">IF(AND(AE$4&gt;=INDEX(plan!$J:$J, $B69), AE$4&lt;=INDEX(plan!$K:$K, $B69)),1,0)</f>
        <v>0</v>
      </c>
      <c r="AF69" s="78" cm="1">
        <f t="array" ref="AF69">IF(AND(AF$4&gt;=INDEX(plan!$J:$J, $B69), AF$4&lt;=INDEX(plan!$K:$K, $B69)),1,0)</f>
        <v>0</v>
      </c>
      <c r="AG69" s="79" cm="1">
        <f t="array" ref="AG69">IF(AND(AG$4&gt;=INDEX(plan!$J:$J, $B69), AG$4&lt;=INDEX(plan!$K:$K, $B69)),1,0)</f>
        <v>0</v>
      </c>
      <c r="AH69" s="74" cm="1">
        <f t="array" ref="AH69">IF(AND(AH$4&gt;=INDEX(plan!$J:$J, $B69), AH$4&lt;=INDEX(plan!$K:$K, $B69)),1,0)</f>
        <v>0</v>
      </c>
      <c r="AI69" s="78" cm="1">
        <f t="array" ref="AI69">IF(AND(AI$4&gt;=INDEX(plan!$J:$J, $B69), AI$4&lt;=INDEX(plan!$K:$K, $B69)),1,0)</f>
        <v>0</v>
      </c>
      <c r="AJ69" s="78" cm="1">
        <f t="array" ref="AJ69">IF(AND(AJ$4&gt;=INDEX(plan!$J:$J, $B69), AJ$4&lt;=INDEX(plan!$K:$K, $B69)),1,0)</f>
        <v>0</v>
      </c>
      <c r="AK69" s="78" cm="1">
        <f t="array" ref="AK69">IF(AND(AK$4&gt;=INDEX(plan!$J:$J, $B69), AK$4&lt;=INDEX(plan!$K:$K, $B69)),1,0)</f>
        <v>0</v>
      </c>
      <c r="AL69" s="78" cm="1">
        <f t="array" ref="AL69">IF(AND(AL$4&gt;=INDEX(plan!$J:$J, $B69), AL$4&lt;=INDEX(plan!$K:$K, $B69)),1,0)</f>
        <v>0</v>
      </c>
      <c r="AM69" s="78" cm="1">
        <f t="array" ref="AM69">IF(AND(AM$4&gt;=INDEX(plan!$J:$J, $B69), AM$4&lt;=INDEX(plan!$K:$K, $B69)),1,0)</f>
        <v>0</v>
      </c>
      <c r="AN69" s="79" cm="1">
        <f t="array" ref="AN69">IF(AND(AN$4&gt;=INDEX(plan!$J:$J, $B69), AN$4&lt;=INDEX(plan!$K:$K, $B69)),1,0)</f>
        <v>0</v>
      </c>
      <c r="AO69" s="74"/>
      <c r="AP69" s="78"/>
      <c r="AQ69" s="78"/>
      <c r="AR69" s="78"/>
      <c r="AS69" s="78"/>
      <c r="AT69" s="78"/>
      <c r="AU69" s="79"/>
    </row>
    <row r="70" spans="1:47" ht="12.95" hidden="1" customHeight="1" x14ac:dyDescent="0.3">
      <c r="A70" s="36"/>
      <c r="B70" s="300"/>
      <c r="C70" s="275"/>
      <c r="D70" s="279"/>
      <c r="E70" s="277"/>
      <c r="F70" s="75" cm="1">
        <f t="array" ref="F70">_xlfn.LET(
  _xlpm.act,   cronograma!$C69,
  _xlpm.fecha, cronograma!F$4,
  _xlpm.ini,   INDEX(plan!$J:$J, $B69),
  _xlpm.fin,   INDEX(plan!$K:$K, $B69),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70" s="76" cm="1">
        <f t="array" ref="G70">_xlfn.LET(
  _xlpm.act,   cronograma!$C69,
  _xlpm.fecha, cronograma!G$4,
  _xlpm.ini,   INDEX(plan!$J:$J, $B69),
  _xlpm.fin,   INDEX(plan!$K:$K, $B69),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70" s="76" cm="1">
        <f t="array" ref="H70">_xlfn.LET(
  _xlpm.act,   cronograma!$C69,
  _xlpm.fecha, cronograma!H$4,
  _xlpm.ini,   INDEX(plan!$J:$J, $B69),
  _xlpm.fin,   INDEX(plan!$K:$K, $B69),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70" s="76" cm="1">
        <f t="array" ref="I70">_xlfn.LET(
  _xlpm.act,   cronograma!$C69,
  _xlpm.fecha, cronograma!I$4,
  _xlpm.ini,   INDEX(plan!$J:$J, $B69),
  _xlpm.fin,   INDEX(plan!$K:$K, $B69),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70" s="76" cm="1">
        <f t="array" ref="J70">_xlfn.LET(
  _xlpm.act,   cronograma!$C69,
  _xlpm.fecha, cronograma!J$4,
  _xlpm.ini,   INDEX(plan!$J:$J, $B69),
  _xlpm.fin,   INDEX(plan!$K:$K, $B69),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70" s="76" cm="1">
        <f t="array" ref="K70">_xlfn.LET(
  _xlpm.act,   cronograma!$C69,
  _xlpm.fecha, cronograma!K$4,
  _xlpm.ini,   INDEX(plan!$J:$J, $B69),
  _xlpm.fin,   INDEX(plan!$K:$K, $B69),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70" s="77" cm="1">
        <f t="array" ref="L70">_xlfn.LET(
  _xlpm.act,   cronograma!$C69,
  _xlpm.fecha, cronograma!L$4,
  _xlpm.ini,   INDEX(plan!$J:$J, $B69),
  _xlpm.fin,   INDEX(plan!$K:$K, $B69),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70" s="75" cm="1">
        <f t="array" ref="M70">_xlfn.LET(
  _xlpm.act,   cronograma!$C69,
  _xlpm.fecha, cronograma!M$4,
  _xlpm.ini,   INDEX(plan!$J:$J, $B69),
  _xlpm.fin,   INDEX(plan!$K:$K, $B69),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70" s="76" cm="1">
        <f t="array" ref="N70">_xlfn.LET(
  _xlpm.act,   cronograma!$C69,
  _xlpm.fecha, cronograma!N$4,
  _xlpm.ini,   INDEX(plan!$J:$J, $B69),
  _xlpm.fin,   INDEX(plan!$K:$K, $B69),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70" s="76" cm="1">
        <f t="array" ref="O70">_xlfn.LET(
  _xlpm.act,   cronograma!$C69,
  _xlpm.fecha, cronograma!O$4,
  _xlpm.ini,   INDEX(plan!$J:$J, $B69),
  _xlpm.fin,   INDEX(plan!$K:$K, $B69),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70" s="76" cm="1">
        <f t="array" ref="P70">_xlfn.LET(
  _xlpm.act,   cronograma!$C69,
  _xlpm.fecha, cronograma!P$4,
  _xlpm.ini,   INDEX(plan!$J:$J, $B69),
  _xlpm.fin,   INDEX(plan!$K:$K, $B69),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70" s="76" cm="1">
        <f t="array" ref="Q70">_xlfn.LET(
  _xlpm.act,   cronograma!$C69,
  _xlpm.fecha, cronograma!Q$4,
  _xlpm.ini,   INDEX(plan!$J:$J, $B69),
  _xlpm.fin,   INDEX(plan!$K:$K, $B69),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70" s="76" cm="1">
        <f t="array" ref="R70">_xlfn.LET(
  _xlpm.act,   cronograma!$C69,
  _xlpm.fecha, cronograma!R$4,
  _xlpm.ini,   INDEX(plan!$J:$J, $B69),
  _xlpm.fin,   INDEX(plan!$K:$K, $B69),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70" s="77" cm="1">
        <f t="array" ref="S70">_xlfn.LET(
  _xlpm.act,   cronograma!$C69,
  _xlpm.fecha, cronograma!S$4,
  _xlpm.ini,   INDEX(plan!$J:$J, $B69),
  _xlpm.fin,   INDEX(plan!$K:$K, $B69),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70" s="75" cm="1">
        <f t="array" ref="T70">_xlfn.LET(
  _xlpm.act,   cronograma!$C69,
  _xlpm.fecha, cronograma!T$4,
  _xlpm.ini,   INDEX(plan!$J:$J, $B69),
  _xlpm.fin,   INDEX(plan!$K:$K, $B69),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70" s="76" cm="1">
        <f t="array" ref="U70">_xlfn.LET(
  _xlpm.act,   cronograma!$C69,
  _xlpm.fecha, cronograma!U$4,
  _xlpm.ini,   INDEX(plan!$J:$J, $B69),
  _xlpm.fin,   INDEX(plan!$K:$K, $B69),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70" s="76" cm="1">
        <f t="array" ref="V70">_xlfn.LET(
  _xlpm.act,   cronograma!$C69,
  _xlpm.fecha, cronograma!V$4,
  _xlpm.ini,   INDEX(plan!$J:$J, $B69),
  _xlpm.fin,   INDEX(plan!$K:$K, $B69),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70" s="76" cm="1">
        <f t="array" ref="W70">_xlfn.LET(
  _xlpm.act,   cronograma!$C69,
  _xlpm.fecha, cronograma!W$4,
  _xlpm.ini,   INDEX(plan!$J:$J, $B69),
  _xlpm.fin,   INDEX(plan!$K:$K, $B69),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70" s="76" cm="1">
        <f t="array" ref="X70">_xlfn.LET(
  _xlpm.act,   cronograma!$C69,
  _xlpm.fecha, cronograma!X$4,
  _xlpm.ini,   INDEX(plan!$J:$J, $B69),
  _xlpm.fin,   INDEX(plan!$K:$K, $B69),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70" s="76" cm="1">
        <f t="array" ref="Y70">_xlfn.LET(
  _xlpm.act,   cronograma!$C69,
  _xlpm.fecha, cronograma!Y$4,
  _xlpm.ini,   INDEX(plan!$J:$J, $B69),
  _xlpm.fin,   INDEX(plan!$K:$K, $B69),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70" s="77" cm="1">
        <f t="array" ref="Z70">_xlfn.LET(
  _xlpm.act,   cronograma!$C69,
  _xlpm.fecha, cronograma!Z$4,
  _xlpm.ini,   INDEX(plan!$J:$J, $B69),
  _xlpm.fin,   INDEX(plan!$K:$K, $B69),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70" s="75" cm="1">
        <f t="array" ref="AA70">_xlfn.LET(
  _xlpm.act,   cronograma!$C69,
  _xlpm.fecha, cronograma!AA$4,
  _xlpm.ini,   INDEX(plan!$J:$J, $B69),
  _xlpm.fin,   INDEX(plan!$K:$K, $B69),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70" s="76" cm="1">
        <f t="array" ref="AB70">_xlfn.LET(
  _xlpm.act,   cronograma!$C69,
  _xlpm.fecha, cronograma!AB$4,
  _xlpm.ini,   INDEX(plan!$J:$J, $B69),
  _xlpm.fin,   INDEX(plan!$K:$K, $B69),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70" s="76" cm="1">
        <f t="array" ref="AC70">_xlfn.LET(
  _xlpm.act,   cronograma!$C69,
  _xlpm.fecha, cronograma!AC$4,
  _xlpm.ini,   INDEX(plan!$J:$J, $B69),
  _xlpm.fin,   INDEX(plan!$K:$K, $B69),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70" s="76" cm="1">
        <f t="array" ref="AD70">_xlfn.LET(
  _xlpm.act,   cronograma!$C69,
  _xlpm.fecha, cronograma!AD$4,
  _xlpm.ini,   INDEX(plan!$J:$J, $B69),
  _xlpm.fin,   INDEX(plan!$K:$K, $B69),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70" s="76" cm="1">
        <f t="array" ref="AE70">_xlfn.LET(
  _xlpm.act,   cronograma!$C69,
  _xlpm.fecha, cronograma!AE$4,
  _xlpm.ini,   INDEX(plan!$J:$J, $B69),
  _xlpm.fin,   INDEX(plan!$K:$K, $B69),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70" s="76" cm="1">
        <f t="array" ref="AF70">_xlfn.LET(
  _xlpm.act,   cronograma!$C69,
  _xlpm.fecha, cronograma!AF$4,
  _xlpm.ini,   INDEX(plan!$J:$J, $B69),
  _xlpm.fin,   INDEX(plan!$K:$K, $B69),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70" s="77" cm="1">
        <f t="array" ref="AG70">_xlfn.LET(
  _xlpm.act,   cronograma!$C69,
  _xlpm.fecha, cronograma!AG$4,
  _xlpm.ini,   INDEX(plan!$J:$J, $B69),
  _xlpm.fin,   INDEX(plan!$K:$K, $B69),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70" s="75" cm="1">
        <f t="array" ref="AH70">_xlfn.LET(
  _xlpm.act,   cronograma!$C69,
  _xlpm.fecha, cronograma!AH$4,
  _xlpm.ini,   INDEX(plan!$J:$J, $B69),
  _xlpm.fin,   INDEX(plan!$K:$K, $B69),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70" s="76" cm="1">
        <f t="array" ref="AI70">_xlfn.LET(
  _xlpm.act,   cronograma!$C69,
  _xlpm.fecha, cronograma!AI$4,
  _xlpm.ini,   INDEX(plan!$J:$J, $B69),
  _xlpm.fin,   INDEX(plan!$K:$K, $B69),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70" s="76" cm="1">
        <f t="array" ref="AJ70">_xlfn.LET(
  _xlpm.act,   cronograma!$C69,
  _xlpm.fecha, cronograma!AJ$4,
  _xlpm.ini,   INDEX(plan!$J:$J, $B69),
  _xlpm.fin,   INDEX(plan!$K:$K, $B69),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70" s="76" cm="1">
        <f t="array" ref="AK70">_xlfn.LET(
  _xlpm.act,   cronograma!$C69,
  _xlpm.fecha, cronograma!AK$4,
  _xlpm.ini,   INDEX(plan!$J:$J, $B69),
  _xlpm.fin,   INDEX(plan!$K:$K, $B69),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70" s="76" cm="1">
        <f t="array" ref="AL70">_xlfn.LET(
  _xlpm.act,   cronograma!$C69,
  _xlpm.fecha, cronograma!AL$4,
  _xlpm.ini,   INDEX(plan!$J:$J, $B69),
  _xlpm.fin,   INDEX(plan!$K:$K, $B69),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70" s="76" cm="1">
        <f t="array" ref="AM70">_xlfn.LET(
  _xlpm.act,   cronograma!$C69,
  _xlpm.fecha, cronograma!AM$4,
  _xlpm.ini,   INDEX(plan!$J:$J, $B69),
  _xlpm.fin,   INDEX(plan!$K:$K, $B69),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70" s="77" cm="1">
        <f t="array" ref="AN70">_xlfn.LET(
  _xlpm.act,   cronograma!$C69,
  _xlpm.fecha, cronograma!AN$4,
  _xlpm.ini,   INDEX(plan!$J:$J, $B69),
  _xlpm.fin,   INDEX(plan!$K:$K, $B69),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O70" s="75"/>
      <c r="AP70" s="76"/>
      <c r="AQ70" s="76"/>
      <c r="AR70" s="76"/>
      <c r="AS70" s="76"/>
      <c r="AT70" s="76"/>
      <c r="AU70" s="77"/>
    </row>
    <row r="71" spans="1:47" ht="12.95" hidden="1" customHeight="1" x14ac:dyDescent="0.3">
      <c r="A71" s="36"/>
      <c r="B71" s="301">
        <f>plan!B37</f>
        <v>37</v>
      </c>
      <c r="C71" s="274">
        <f>plan!C37</f>
        <v>0</v>
      </c>
      <c r="D71" s="278" cm="1">
        <f t="array" ref="D71">INDEX(plan!$I:$I, $B71)</f>
        <v>0</v>
      </c>
      <c r="E71" s="276" cm="1">
        <f t="array" ref="E71">INDEX(plan!$U:$U, $B71)</f>
        <v>0</v>
      </c>
      <c r="F71" s="74" cm="1">
        <f t="array" ref="F71">IF(AND(F$4&gt;=INDEX(plan!$J:$J, $B71), F$4&lt;=INDEX(plan!$K:$K, $B71)),1,0)</f>
        <v>0</v>
      </c>
      <c r="G71" s="78" cm="1">
        <f t="array" ref="G71">IF(AND(G$4&gt;=INDEX(plan!$J:$J, $B71), G$4&lt;=INDEX(plan!$K:$K, $B71)),1,0)</f>
        <v>0</v>
      </c>
      <c r="H71" s="78" cm="1">
        <f t="array" ref="H71">IF(AND(H$4&gt;=INDEX(plan!$J:$J, $B71), H$4&lt;=INDEX(plan!$K:$K, $B71)),1,0)</f>
        <v>0</v>
      </c>
      <c r="I71" s="78" cm="1">
        <f t="array" ref="I71">IF(AND(I$4&gt;=INDEX(plan!$J:$J, $B71), I$4&lt;=INDEX(plan!$K:$K, $B71)),1,0)</f>
        <v>0</v>
      </c>
      <c r="J71" s="78" cm="1">
        <f t="array" ref="J71">IF(AND(J$4&gt;=INDEX(plan!$J:$J, $B71), J$4&lt;=INDEX(plan!$K:$K, $B71)),1,0)</f>
        <v>0</v>
      </c>
      <c r="K71" s="78" cm="1">
        <f t="array" ref="K71">IF(AND(K$4&gt;=INDEX(plan!$J:$J, $B71), K$4&lt;=INDEX(plan!$K:$K, $B71)),1,0)</f>
        <v>0</v>
      </c>
      <c r="L71" s="79" cm="1">
        <f t="array" ref="L71">IF(AND(L$4&gt;=INDEX(plan!$J:$J, $B71), L$4&lt;=INDEX(plan!$K:$K, $B71)),1,0)</f>
        <v>0</v>
      </c>
      <c r="M71" s="74" cm="1">
        <f t="array" ref="M71">IF(AND(M$4&gt;=INDEX(plan!$J:$J, $B71), M$4&lt;=INDEX(plan!$K:$K, $B71)),1,0)</f>
        <v>0</v>
      </c>
      <c r="N71" s="78" cm="1">
        <f t="array" ref="N71">IF(AND(N$4&gt;=INDEX(plan!$J:$J, $B71), N$4&lt;=INDEX(plan!$K:$K, $B71)),1,0)</f>
        <v>0</v>
      </c>
      <c r="O71" s="78" cm="1">
        <f t="array" ref="O71">IF(AND(O$4&gt;=INDEX(plan!$J:$J, $B71), O$4&lt;=INDEX(plan!$K:$K, $B71)),1,0)</f>
        <v>0</v>
      </c>
      <c r="P71" s="78" cm="1">
        <f t="array" ref="P71">IF(AND(P$4&gt;=INDEX(plan!$J:$J, $B71), P$4&lt;=INDEX(plan!$K:$K, $B71)),1,0)</f>
        <v>0</v>
      </c>
      <c r="Q71" s="78" cm="1">
        <f t="array" ref="Q71">IF(AND(Q$4&gt;=INDEX(plan!$J:$J, $B71), Q$4&lt;=INDEX(plan!$K:$K, $B71)),1,0)</f>
        <v>0</v>
      </c>
      <c r="R71" s="78" cm="1">
        <f t="array" ref="R71">IF(AND(R$4&gt;=INDEX(plan!$J:$J, $B71), R$4&lt;=INDEX(plan!$K:$K, $B71)),1,0)</f>
        <v>0</v>
      </c>
      <c r="S71" s="79" cm="1">
        <f t="array" ref="S71">IF(AND(S$4&gt;=INDEX(plan!$J:$J, $B71), S$4&lt;=INDEX(plan!$K:$K, $B71)),1,0)</f>
        <v>0</v>
      </c>
      <c r="T71" s="74" cm="1">
        <f t="array" ref="T71">IF(AND(T$4&gt;=INDEX(plan!$J:$J, $B71), T$4&lt;=INDEX(plan!$K:$K, $B71)),1,0)</f>
        <v>0</v>
      </c>
      <c r="U71" s="78" cm="1">
        <f t="array" ref="U71">IF(AND(U$4&gt;=INDEX(plan!$J:$J, $B71), U$4&lt;=INDEX(plan!$K:$K, $B71)),1,0)</f>
        <v>0</v>
      </c>
      <c r="V71" s="78" cm="1">
        <f t="array" ref="V71">IF(AND(V$4&gt;=INDEX(plan!$J:$J, $B71), V$4&lt;=INDEX(plan!$K:$K, $B71)),1,0)</f>
        <v>0</v>
      </c>
      <c r="W71" s="78" cm="1">
        <f t="array" ref="W71">IF(AND(W$4&gt;=INDEX(plan!$J:$J, $B71), W$4&lt;=INDEX(plan!$K:$K, $B71)),1,0)</f>
        <v>0</v>
      </c>
      <c r="X71" s="78" cm="1">
        <f t="array" ref="X71">IF(AND(X$4&gt;=INDEX(plan!$J:$J, $B71), X$4&lt;=INDEX(plan!$K:$K, $B71)),1,0)</f>
        <v>0</v>
      </c>
      <c r="Y71" s="78" cm="1">
        <f t="array" ref="Y71">IF(AND(Y$4&gt;=INDEX(plan!$J:$J, $B71), Y$4&lt;=INDEX(plan!$K:$K, $B71)),1,0)</f>
        <v>0</v>
      </c>
      <c r="Z71" s="79" cm="1">
        <f t="array" ref="Z71">IF(AND(Z$4&gt;=INDEX(plan!$J:$J, $B71), Z$4&lt;=INDEX(plan!$K:$K, $B71)),1,0)</f>
        <v>0</v>
      </c>
      <c r="AA71" s="74" cm="1">
        <f t="array" ref="AA71">IF(AND(AA$4&gt;=INDEX(plan!$J:$J, $B71), AA$4&lt;=INDEX(plan!$K:$K, $B71)),1,0)</f>
        <v>0</v>
      </c>
      <c r="AB71" s="78" cm="1">
        <f t="array" ref="AB71">IF(AND(AB$4&gt;=INDEX(plan!$J:$J, $B71), AB$4&lt;=INDEX(plan!$K:$K, $B71)),1,0)</f>
        <v>0</v>
      </c>
      <c r="AC71" s="78" cm="1">
        <f t="array" ref="AC71">IF(AND(AC$4&gt;=INDEX(plan!$J:$J, $B71), AC$4&lt;=INDEX(plan!$K:$K, $B71)),1,0)</f>
        <v>0</v>
      </c>
      <c r="AD71" s="78" cm="1">
        <f t="array" ref="AD71">IF(AND(AD$4&gt;=INDEX(plan!$J:$J, $B71), AD$4&lt;=INDEX(plan!$K:$K, $B71)),1,0)</f>
        <v>0</v>
      </c>
      <c r="AE71" s="78" cm="1">
        <f t="array" ref="AE71">IF(AND(AE$4&gt;=INDEX(plan!$J:$J, $B71), AE$4&lt;=INDEX(plan!$K:$K, $B71)),1,0)</f>
        <v>0</v>
      </c>
      <c r="AF71" s="78" cm="1">
        <f t="array" ref="AF71">IF(AND(AF$4&gt;=INDEX(plan!$J:$J, $B71), AF$4&lt;=INDEX(plan!$K:$K, $B71)),1,0)</f>
        <v>0</v>
      </c>
      <c r="AG71" s="79" cm="1">
        <f t="array" ref="AG71">IF(AND(AG$4&gt;=INDEX(plan!$J:$J, $B71), AG$4&lt;=INDEX(plan!$K:$K, $B71)),1,0)</f>
        <v>0</v>
      </c>
      <c r="AH71" s="74" cm="1">
        <f t="array" ref="AH71">IF(AND(AH$4&gt;=INDEX(plan!$J:$J, $B71), AH$4&lt;=INDEX(plan!$K:$K, $B71)),1,0)</f>
        <v>0</v>
      </c>
      <c r="AI71" s="78" cm="1">
        <f t="array" ref="AI71">IF(AND(AI$4&gt;=INDEX(plan!$J:$J, $B71), AI$4&lt;=INDEX(plan!$K:$K, $B71)),1,0)</f>
        <v>0</v>
      </c>
      <c r="AJ71" s="78" cm="1">
        <f t="array" ref="AJ71">IF(AND(AJ$4&gt;=INDEX(plan!$J:$J, $B71), AJ$4&lt;=INDEX(plan!$K:$K, $B71)),1,0)</f>
        <v>0</v>
      </c>
      <c r="AK71" s="78" cm="1">
        <f t="array" ref="AK71">IF(AND(AK$4&gt;=INDEX(plan!$J:$J, $B71), AK$4&lt;=INDEX(plan!$K:$K, $B71)),1,0)</f>
        <v>0</v>
      </c>
      <c r="AL71" s="78" cm="1">
        <f t="array" ref="AL71">IF(AND(AL$4&gt;=INDEX(plan!$J:$J, $B71), AL$4&lt;=INDEX(plan!$K:$K, $B71)),1,0)</f>
        <v>0</v>
      </c>
      <c r="AM71" s="78" cm="1">
        <f t="array" ref="AM71">IF(AND(AM$4&gt;=INDEX(plan!$J:$J, $B71), AM$4&lt;=INDEX(plan!$K:$K, $B71)),1,0)</f>
        <v>0</v>
      </c>
      <c r="AN71" s="79" cm="1">
        <f t="array" ref="AN71">IF(AND(AN$4&gt;=INDEX(plan!$J:$J, $B71), AN$4&lt;=INDEX(plan!$K:$K, $B71)),1,0)</f>
        <v>0</v>
      </c>
      <c r="AO71" s="74"/>
      <c r="AP71" s="78"/>
      <c r="AQ71" s="78"/>
      <c r="AR71" s="78"/>
      <c r="AS71" s="78"/>
      <c r="AT71" s="78"/>
      <c r="AU71" s="79"/>
    </row>
    <row r="72" spans="1:47" ht="12.95" hidden="1" customHeight="1" x14ac:dyDescent="0.3">
      <c r="A72" s="36"/>
      <c r="B72" s="300"/>
      <c r="C72" s="275"/>
      <c r="D72" s="279"/>
      <c r="E72" s="277"/>
      <c r="F72" s="75" cm="1">
        <f t="array" ref="F72">_xlfn.LET(
  _xlpm.act,   cronograma!$C71,
  _xlpm.fecha, cronograma!F$4,
  _xlpm.ini,   INDEX(plan!$J:$J, $B71),
  _xlpm.fin,   INDEX(plan!$K:$K, $B71),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72" s="76" cm="1">
        <f t="array" ref="G72">_xlfn.LET(
  _xlpm.act,   cronograma!$C71,
  _xlpm.fecha, cronograma!G$4,
  _xlpm.ini,   INDEX(plan!$J:$J, $B71),
  _xlpm.fin,   INDEX(plan!$K:$K, $B71),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72" s="76" cm="1">
        <f t="array" ref="H72">_xlfn.LET(
  _xlpm.act,   cronograma!$C71,
  _xlpm.fecha, cronograma!H$4,
  _xlpm.ini,   INDEX(plan!$J:$J, $B71),
  _xlpm.fin,   INDEX(plan!$K:$K, $B71),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72" s="76" cm="1">
        <f t="array" ref="I72">_xlfn.LET(
  _xlpm.act,   cronograma!$C71,
  _xlpm.fecha, cronograma!I$4,
  _xlpm.ini,   INDEX(plan!$J:$J, $B71),
  _xlpm.fin,   INDEX(plan!$K:$K, $B71),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72" s="76" cm="1">
        <f t="array" ref="J72">_xlfn.LET(
  _xlpm.act,   cronograma!$C71,
  _xlpm.fecha, cronograma!J$4,
  _xlpm.ini,   INDEX(plan!$J:$J, $B71),
  _xlpm.fin,   INDEX(plan!$K:$K, $B71),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72" s="76" cm="1">
        <f t="array" ref="K72">_xlfn.LET(
  _xlpm.act,   cronograma!$C71,
  _xlpm.fecha, cronograma!K$4,
  _xlpm.ini,   INDEX(plan!$J:$J, $B71),
  _xlpm.fin,   INDEX(plan!$K:$K, $B71),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72" s="77" cm="1">
        <f t="array" ref="L72">_xlfn.LET(
  _xlpm.act,   cronograma!$C71,
  _xlpm.fecha, cronograma!L$4,
  _xlpm.ini,   INDEX(plan!$J:$J, $B71),
  _xlpm.fin,   INDEX(plan!$K:$K, $B71),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72" s="75" cm="1">
        <f t="array" ref="M72">_xlfn.LET(
  _xlpm.act,   cronograma!$C71,
  _xlpm.fecha, cronograma!M$4,
  _xlpm.ini,   INDEX(plan!$J:$J, $B71),
  _xlpm.fin,   INDEX(plan!$K:$K, $B71),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72" s="76" cm="1">
        <f t="array" ref="N72">_xlfn.LET(
  _xlpm.act,   cronograma!$C71,
  _xlpm.fecha, cronograma!N$4,
  _xlpm.ini,   INDEX(plan!$J:$J, $B71),
  _xlpm.fin,   INDEX(plan!$K:$K, $B71),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72" s="76" cm="1">
        <f t="array" ref="O72">_xlfn.LET(
  _xlpm.act,   cronograma!$C71,
  _xlpm.fecha, cronograma!O$4,
  _xlpm.ini,   INDEX(plan!$J:$J, $B71),
  _xlpm.fin,   INDEX(plan!$K:$K, $B71),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72" s="76" cm="1">
        <f t="array" ref="P72">_xlfn.LET(
  _xlpm.act,   cronograma!$C71,
  _xlpm.fecha, cronograma!P$4,
  _xlpm.ini,   INDEX(plan!$J:$J, $B71),
  _xlpm.fin,   INDEX(plan!$K:$K, $B71),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72" s="76" cm="1">
        <f t="array" ref="Q72">_xlfn.LET(
  _xlpm.act,   cronograma!$C71,
  _xlpm.fecha, cronograma!Q$4,
  _xlpm.ini,   INDEX(plan!$J:$J, $B71),
  _xlpm.fin,   INDEX(plan!$K:$K, $B71),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72" s="76" cm="1">
        <f t="array" ref="R72">_xlfn.LET(
  _xlpm.act,   cronograma!$C71,
  _xlpm.fecha, cronograma!R$4,
  _xlpm.ini,   INDEX(plan!$J:$J, $B71),
  _xlpm.fin,   INDEX(plan!$K:$K, $B71),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72" s="77" cm="1">
        <f t="array" ref="S72">_xlfn.LET(
  _xlpm.act,   cronograma!$C71,
  _xlpm.fecha, cronograma!S$4,
  _xlpm.ini,   INDEX(plan!$J:$J, $B71),
  _xlpm.fin,   INDEX(plan!$K:$K, $B71),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72" s="75" cm="1">
        <f t="array" ref="T72">_xlfn.LET(
  _xlpm.act,   cronograma!$C71,
  _xlpm.fecha, cronograma!T$4,
  _xlpm.ini,   INDEX(plan!$J:$J, $B71),
  _xlpm.fin,   INDEX(plan!$K:$K, $B71),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72" s="76" cm="1">
        <f t="array" ref="U72">_xlfn.LET(
  _xlpm.act,   cronograma!$C71,
  _xlpm.fecha, cronograma!U$4,
  _xlpm.ini,   INDEX(plan!$J:$J, $B71),
  _xlpm.fin,   INDEX(plan!$K:$K, $B71),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72" s="76" cm="1">
        <f t="array" ref="V72">_xlfn.LET(
  _xlpm.act,   cronograma!$C71,
  _xlpm.fecha, cronograma!V$4,
  _xlpm.ini,   INDEX(plan!$J:$J, $B71),
  _xlpm.fin,   INDEX(plan!$K:$K, $B71),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72" s="76" cm="1">
        <f t="array" ref="W72">_xlfn.LET(
  _xlpm.act,   cronograma!$C71,
  _xlpm.fecha, cronograma!W$4,
  _xlpm.ini,   INDEX(plan!$J:$J, $B71),
  _xlpm.fin,   INDEX(plan!$K:$K, $B71),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72" s="76" cm="1">
        <f t="array" ref="X72">_xlfn.LET(
  _xlpm.act,   cronograma!$C71,
  _xlpm.fecha, cronograma!X$4,
  _xlpm.ini,   INDEX(plan!$J:$J, $B71),
  _xlpm.fin,   INDEX(plan!$K:$K, $B71),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72" s="76" cm="1">
        <f t="array" ref="Y72">_xlfn.LET(
  _xlpm.act,   cronograma!$C71,
  _xlpm.fecha, cronograma!Y$4,
  _xlpm.ini,   INDEX(plan!$J:$J, $B71),
  _xlpm.fin,   INDEX(plan!$K:$K, $B71),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72" s="77" cm="1">
        <f t="array" ref="Z72">_xlfn.LET(
  _xlpm.act,   cronograma!$C71,
  _xlpm.fecha, cronograma!Z$4,
  _xlpm.ini,   INDEX(plan!$J:$J, $B71),
  _xlpm.fin,   INDEX(plan!$K:$K, $B71),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72" s="75" cm="1">
        <f t="array" ref="AA72">_xlfn.LET(
  _xlpm.act,   cronograma!$C71,
  _xlpm.fecha, cronograma!AA$4,
  _xlpm.ini,   INDEX(plan!$J:$J, $B71),
  _xlpm.fin,   INDEX(plan!$K:$K, $B71),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72" s="76" cm="1">
        <f t="array" ref="AB72">_xlfn.LET(
  _xlpm.act,   cronograma!$C71,
  _xlpm.fecha, cronograma!AB$4,
  _xlpm.ini,   INDEX(plan!$J:$J, $B71),
  _xlpm.fin,   INDEX(plan!$K:$K, $B71),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72" s="76" cm="1">
        <f t="array" ref="AC72">_xlfn.LET(
  _xlpm.act,   cronograma!$C71,
  _xlpm.fecha, cronograma!AC$4,
  _xlpm.ini,   INDEX(plan!$J:$J, $B71),
  _xlpm.fin,   INDEX(plan!$K:$K, $B71),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72" s="76" cm="1">
        <f t="array" ref="AD72">_xlfn.LET(
  _xlpm.act,   cronograma!$C71,
  _xlpm.fecha, cronograma!AD$4,
  _xlpm.ini,   INDEX(plan!$J:$J, $B71),
  _xlpm.fin,   INDEX(plan!$K:$K, $B71),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72" s="76" cm="1">
        <f t="array" ref="AE72">_xlfn.LET(
  _xlpm.act,   cronograma!$C71,
  _xlpm.fecha, cronograma!AE$4,
  _xlpm.ini,   INDEX(plan!$J:$J, $B71),
  _xlpm.fin,   INDEX(plan!$K:$K, $B71),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72" s="76" cm="1">
        <f t="array" ref="AF72">_xlfn.LET(
  _xlpm.act,   cronograma!$C71,
  _xlpm.fecha, cronograma!AF$4,
  _xlpm.ini,   INDEX(plan!$J:$J, $B71),
  _xlpm.fin,   INDEX(plan!$K:$K, $B71),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72" s="77" cm="1">
        <f t="array" ref="AG72">_xlfn.LET(
  _xlpm.act,   cronograma!$C71,
  _xlpm.fecha, cronograma!AG$4,
  _xlpm.ini,   INDEX(plan!$J:$J, $B71),
  _xlpm.fin,   INDEX(plan!$K:$K, $B71),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72" s="75" cm="1">
        <f t="array" ref="AH72">_xlfn.LET(
  _xlpm.act,   cronograma!$C71,
  _xlpm.fecha, cronograma!AH$4,
  _xlpm.ini,   INDEX(plan!$J:$J, $B71),
  _xlpm.fin,   INDEX(plan!$K:$K, $B71),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72" s="76" cm="1">
        <f t="array" ref="AI72">_xlfn.LET(
  _xlpm.act,   cronograma!$C71,
  _xlpm.fecha, cronograma!AI$4,
  _xlpm.ini,   INDEX(plan!$J:$J, $B71),
  _xlpm.fin,   INDEX(plan!$K:$K, $B71),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72" s="76" cm="1">
        <f t="array" ref="AJ72">_xlfn.LET(
  _xlpm.act,   cronograma!$C71,
  _xlpm.fecha, cronograma!AJ$4,
  _xlpm.ini,   INDEX(plan!$J:$J, $B71),
  _xlpm.fin,   INDEX(plan!$K:$K, $B71),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72" s="76" cm="1">
        <f t="array" ref="AK72">_xlfn.LET(
  _xlpm.act,   cronograma!$C71,
  _xlpm.fecha, cronograma!AK$4,
  _xlpm.ini,   INDEX(plan!$J:$J, $B71),
  _xlpm.fin,   INDEX(plan!$K:$K, $B71),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72" s="76" cm="1">
        <f t="array" ref="AL72">_xlfn.LET(
  _xlpm.act,   cronograma!$C71,
  _xlpm.fecha, cronograma!AL$4,
  _xlpm.ini,   INDEX(plan!$J:$J, $B71),
  _xlpm.fin,   INDEX(plan!$K:$K, $B71),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72" s="76" cm="1">
        <f t="array" ref="AM72">_xlfn.LET(
  _xlpm.act,   cronograma!$C71,
  _xlpm.fecha, cronograma!AM$4,
  _xlpm.ini,   INDEX(plan!$J:$J, $B71),
  _xlpm.fin,   INDEX(plan!$K:$K, $B71),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72" s="77" cm="1">
        <f t="array" ref="AN72">_xlfn.LET(
  _xlpm.act,   cronograma!$C71,
  _xlpm.fecha, cronograma!AN$4,
  _xlpm.ini,   INDEX(plan!$J:$J, $B71),
  _xlpm.fin,   INDEX(plan!$K:$K, $B71),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O72" s="75"/>
      <c r="AP72" s="76"/>
      <c r="AQ72" s="76"/>
      <c r="AR72" s="76"/>
      <c r="AS72" s="76"/>
      <c r="AT72" s="76"/>
      <c r="AU72" s="77"/>
    </row>
    <row r="73" spans="1:47" ht="12.95" hidden="1" customHeight="1" x14ac:dyDescent="0.3">
      <c r="A73" s="36"/>
      <c r="B73" s="301">
        <f>plan!B38</f>
        <v>38</v>
      </c>
      <c r="C73" s="274">
        <f>plan!C38</f>
        <v>0</v>
      </c>
      <c r="D73" s="278" cm="1">
        <f t="array" ref="D73">INDEX(plan!$I:$I, $B73)</f>
        <v>0</v>
      </c>
      <c r="E73" s="276" cm="1">
        <f t="array" ref="E73">INDEX(plan!$U:$U, $B73)</f>
        <v>0</v>
      </c>
      <c r="F73" s="74" cm="1">
        <f t="array" ref="F73">IF(AND(F$4&gt;=INDEX(plan!$J:$J, $B73), F$4&lt;=INDEX(plan!$K:$K, $B73)),1,0)</f>
        <v>0</v>
      </c>
      <c r="G73" s="78" cm="1">
        <f t="array" ref="G73">IF(AND(G$4&gt;=INDEX(plan!$J:$J, $B73), G$4&lt;=INDEX(plan!$K:$K, $B73)),1,0)</f>
        <v>0</v>
      </c>
      <c r="H73" s="78" cm="1">
        <f t="array" ref="H73">IF(AND(H$4&gt;=INDEX(plan!$J:$J, $B73), H$4&lt;=INDEX(plan!$K:$K, $B73)),1,0)</f>
        <v>0</v>
      </c>
      <c r="I73" s="78" cm="1">
        <f t="array" ref="I73">IF(AND(I$4&gt;=INDEX(plan!$J:$J, $B73), I$4&lt;=INDEX(plan!$K:$K, $B73)),1,0)</f>
        <v>0</v>
      </c>
      <c r="J73" s="78" cm="1">
        <f t="array" ref="J73">IF(AND(J$4&gt;=INDEX(plan!$J:$J, $B73), J$4&lt;=INDEX(plan!$K:$K, $B73)),1,0)</f>
        <v>0</v>
      </c>
      <c r="K73" s="78" cm="1">
        <f t="array" ref="K73">IF(AND(K$4&gt;=INDEX(plan!$J:$J, $B73), K$4&lt;=INDEX(plan!$K:$K, $B73)),1,0)</f>
        <v>0</v>
      </c>
      <c r="L73" s="79" cm="1">
        <f t="array" ref="L73">IF(AND(L$4&gt;=INDEX(plan!$J:$J, $B73), L$4&lt;=INDEX(plan!$K:$K, $B73)),1,0)</f>
        <v>0</v>
      </c>
      <c r="M73" s="74" cm="1">
        <f t="array" ref="M73">IF(AND(M$4&gt;=INDEX(plan!$J:$J, $B73), M$4&lt;=INDEX(plan!$K:$K, $B73)),1,0)</f>
        <v>0</v>
      </c>
      <c r="N73" s="78" cm="1">
        <f t="array" ref="N73">IF(AND(N$4&gt;=INDEX(plan!$J:$J, $B73), N$4&lt;=INDEX(plan!$K:$K, $B73)),1,0)</f>
        <v>0</v>
      </c>
      <c r="O73" s="78" cm="1">
        <f t="array" ref="O73">IF(AND(O$4&gt;=INDEX(plan!$J:$J, $B73), O$4&lt;=INDEX(plan!$K:$K, $B73)),1,0)</f>
        <v>0</v>
      </c>
      <c r="P73" s="78" cm="1">
        <f t="array" ref="P73">IF(AND(P$4&gt;=INDEX(plan!$J:$J, $B73), P$4&lt;=INDEX(plan!$K:$K, $B73)),1,0)</f>
        <v>0</v>
      </c>
      <c r="Q73" s="78" cm="1">
        <f t="array" ref="Q73">IF(AND(Q$4&gt;=INDEX(plan!$J:$J, $B73), Q$4&lt;=INDEX(plan!$K:$K, $B73)),1,0)</f>
        <v>0</v>
      </c>
      <c r="R73" s="78" cm="1">
        <f t="array" ref="R73">IF(AND(R$4&gt;=INDEX(plan!$J:$J, $B73), R$4&lt;=INDEX(plan!$K:$K, $B73)),1,0)</f>
        <v>0</v>
      </c>
      <c r="S73" s="79" cm="1">
        <f t="array" ref="S73">IF(AND(S$4&gt;=INDEX(plan!$J:$J, $B73), S$4&lt;=INDEX(plan!$K:$K, $B73)),1,0)</f>
        <v>0</v>
      </c>
      <c r="T73" s="74" cm="1">
        <f t="array" ref="T73">IF(AND(T$4&gt;=INDEX(plan!$J:$J, $B73), T$4&lt;=INDEX(plan!$K:$K, $B73)),1,0)</f>
        <v>0</v>
      </c>
      <c r="U73" s="78" cm="1">
        <f t="array" ref="U73">IF(AND(U$4&gt;=INDEX(plan!$J:$J, $B73), U$4&lt;=INDEX(plan!$K:$K, $B73)),1,0)</f>
        <v>0</v>
      </c>
      <c r="V73" s="78" cm="1">
        <f t="array" ref="V73">IF(AND(V$4&gt;=INDEX(plan!$J:$J, $B73), V$4&lt;=INDEX(plan!$K:$K, $B73)),1,0)</f>
        <v>0</v>
      </c>
      <c r="W73" s="78" cm="1">
        <f t="array" ref="W73">IF(AND(W$4&gt;=INDEX(plan!$J:$J, $B73), W$4&lt;=INDEX(plan!$K:$K, $B73)),1,0)</f>
        <v>0</v>
      </c>
      <c r="X73" s="78" cm="1">
        <f t="array" ref="X73">IF(AND(X$4&gt;=INDEX(plan!$J:$J, $B73), X$4&lt;=INDEX(plan!$K:$K, $B73)),1,0)</f>
        <v>0</v>
      </c>
      <c r="Y73" s="78" cm="1">
        <f t="array" ref="Y73">IF(AND(Y$4&gt;=INDEX(plan!$J:$J, $B73), Y$4&lt;=INDEX(plan!$K:$K, $B73)),1,0)</f>
        <v>0</v>
      </c>
      <c r="Z73" s="79" cm="1">
        <f t="array" ref="Z73">IF(AND(Z$4&gt;=INDEX(plan!$J:$J, $B73), Z$4&lt;=INDEX(plan!$K:$K, $B73)),1,0)</f>
        <v>0</v>
      </c>
      <c r="AA73" s="74" cm="1">
        <f t="array" ref="AA73">IF(AND(AA$4&gt;=INDEX(plan!$J:$J, $B73), AA$4&lt;=INDEX(plan!$K:$K, $B73)),1,0)</f>
        <v>0</v>
      </c>
      <c r="AB73" s="78" cm="1">
        <f t="array" ref="AB73">IF(AND(AB$4&gt;=INDEX(plan!$J:$J, $B73), AB$4&lt;=INDEX(plan!$K:$K, $B73)),1,0)</f>
        <v>0</v>
      </c>
      <c r="AC73" s="78" cm="1">
        <f t="array" ref="AC73">IF(AND(AC$4&gt;=INDEX(plan!$J:$J, $B73), AC$4&lt;=INDEX(plan!$K:$K, $B73)),1,0)</f>
        <v>0</v>
      </c>
      <c r="AD73" s="78" cm="1">
        <f t="array" ref="AD73">IF(AND(AD$4&gt;=INDEX(plan!$J:$J, $B73), AD$4&lt;=INDEX(plan!$K:$K, $B73)),1,0)</f>
        <v>0</v>
      </c>
      <c r="AE73" s="78" cm="1">
        <f t="array" ref="AE73">IF(AND(AE$4&gt;=INDEX(plan!$J:$J, $B73), AE$4&lt;=INDEX(plan!$K:$K, $B73)),1,0)</f>
        <v>0</v>
      </c>
      <c r="AF73" s="78" cm="1">
        <f t="array" ref="AF73">IF(AND(AF$4&gt;=INDEX(plan!$J:$J, $B73), AF$4&lt;=INDEX(plan!$K:$K, $B73)),1,0)</f>
        <v>0</v>
      </c>
      <c r="AG73" s="79" cm="1">
        <f t="array" ref="AG73">IF(AND(AG$4&gt;=INDEX(plan!$J:$J, $B73), AG$4&lt;=INDEX(plan!$K:$K, $B73)),1,0)</f>
        <v>0</v>
      </c>
      <c r="AH73" s="74" cm="1">
        <f t="array" ref="AH73">IF(AND(AH$4&gt;=INDEX(plan!$J:$J, $B73), AH$4&lt;=INDEX(plan!$K:$K, $B73)),1,0)</f>
        <v>0</v>
      </c>
      <c r="AI73" s="78" cm="1">
        <f t="array" ref="AI73">IF(AND(AI$4&gt;=INDEX(plan!$J:$J, $B73), AI$4&lt;=INDEX(plan!$K:$K, $B73)),1,0)</f>
        <v>0</v>
      </c>
      <c r="AJ73" s="78" cm="1">
        <f t="array" ref="AJ73">IF(AND(AJ$4&gt;=INDEX(plan!$J:$J, $B73), AJ$4&lt;=INDEX(plan!$K:$K, $B73)),1,0)</f>
        <v>0</v>
      </c>
      <c r="AK73" s="78" cm="1">
        <f t="array" ref="AK73">IF(AND(AK$4&gt;=INDEX(plan!$J:$J, $B73), AK$4&lt;=INDEX(plan!$K:$K, $B73)),1,0)</f>
        <v>0</v>
      </c>
      <c r="AL73" s="78" cm="1">
        <f t="array" ref="AL73">IF(AND(AL$4&gt;=INDEX(plan!$J:$J, $B73), AL$4&lt;=INDEX(plan!$K:$K, $B73)),1,0)</f>
        <v>0</v>
      </c>
      <c r="AM73" s="78" cm="1">
        <f t="array" ref="AM73">IF(AND(AM$4&gt;=INDEX(plan!$J:$J, $B73), AM$4&lt;=INDEX(plan!$K:$K, $B73)),1,0)</f>
        <v>0</v>
      </c>
      <c r="AN73" s="79" cm="1">
        <f t="array" ref="AN73">IF(AND(AN$4&gt;=INDEX(plan!$J:$J, $B73), AN$4&lt;=INDEX(plan!$K:$K, $B73)),1,0)</f>
        <v>0</v>
      </c>
      <c r="AO73" s="74"/>
      <c r="AP73" s="78"/>
      <c r="AQ73" s="78"/>
      <c r="AR73" s="78"/>
      <c r="AS73" s="78"/>
      <c r="AT73" s="78"/>
      <c r="AU73" s="79"/>
    </row>
    <row r="74" spans="1:47" ht="12.95" hidden="1" customHeight="1" x14ac:dyDescent="0.3">
      <c r="A74" s="36"/>
      <c r="B74" s="300"/>
      <c r="C74" s="275"/>
      <c r="D74" s="279"/>
      <c r="E74" s="277"/>
      <c r="F74" s="75" cm="1">
        <f t="array" ref="F74">_xlfn.LET(
  _xlpm.act,   cronograma!$C73,
  _xlpm.fecha, cronograma!F$4,
  _xlpm.ini,   INDEX(plan!$J:$J, $B73),
  _xlpm.fin,   INDEX(plan!$K:$K, $B73),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74" s="76" cm="1">
        <f t="array" ref="G74">_xlfn.LET(
  _xlpm.act,   cronograma!$C73,
  _xlpm.fecha, cronograma!G$4,
  _xlpm.ini,   INDEX(plan!$J:$J, $B73),
  _xlpm.fin,   INDEX(plan!$K:$K, $B73),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74" s="76" cm="1">
        <f t="array" ref="H74">_xlfn.LET(
  _xlpm.act,   cronograma!$C73,
  _xlpm.fecha, cronograma!H$4,
  _xlpm.ini,   INDEX(plan!$J:$J, $B73),
  _xlpm.fin,   INDEX(plan!$K:$K, $B73),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74" s="76" cm="1">
        <f t="array" ref="I74">_xlfn.LET(
  _xlpm.act,   cronograma!$C73,
  _xlpm.fecha, cronograma!I$4,
  _xlpm.ini,   INDEX(plan!$J:$J, $B73),
  _xlpm.fin,   INDEX(plan!$K:$K, $B73),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74" s="76" cm="1">
        <f t="array" ref="J74">_xlfn.LET(
  _xlpm.act,   cronograma!$C73,
  _xlpm.fecha, cronograma!J$4,
  _xlpm.ini,   INDEX(plan!$J:$J, $B73),
  _xlpm.fin,   INDEX(plan!$K:$K, $B73),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74" s="76" cm="1">
        <f t="array" ref="K74">_xlfn.LET(
  _xlpm.act,   cronograma!$C73,
  _xlpm.fecha, cronograma!K$4,
  _xlpm.ini,   INDEX(plan!$J:$J, $B73),
  _xlpm.fin,   INDEX(plan!$K:$K, $B73),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74" s="77" cm="1">
        <f t="array" ref="L74">_xlfn.LET(
  _xlpm.act,   cronograma!$C73,
  _xlpm.fecha, cronograma!L$4,
  _xlpm.ini,   INDEX(plan!$J:$J, $B73),
  _xlpm.fin,   INDEX(plan!$K:$K, $B73),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74" s="75" cm="1">
        <f t="array" ref="M74">_xlfn.LET(
  _xlpm.act,   cronograma!$C73,
  _xlpm.fecha, cronograma!M$4,
  _xlpm.ini,   INDEX(plan!$J:$J, $B73),
  _xlpm.fin,   INDEX(plan!$K:$K, $B73),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74" s="76" cm="1">
        <f t="array" ref="N74">_xlfn.LET(
  _xlpm.act,   cronograma!$C73,
  _xlpm.fecha, cronograma!N$4,
  _xlpm.ini,   INDEX(plan!$J:$J, $B73),
  _xlpm.fin,   INDEX(plan!$K:$K, $B73),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74" s="76" cm="1">
        <f t="array" ref="O74">_xlfn.LET(
  _xlpm.act,   cronograma!$C73,
  _xlpm.fecha, cronograma!O$4,
  _xlpm.ini,   INDEX(plan!$J:$J, $B73),
  _xlpm.fin,   INDEX(plan!$K:$K, $B73),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74" s="76" cm="1">
        <f t="array" ref="P74">_xlfn.LET(
  _xlpm.act,   cronograma!$C73,
  _xlpm.fecha, cronograma!P$4,
  _xlpm.ini,   INDEX(plan!$J:$J, $B73),
  _xlpm.fin,   INDEX(plan!$K:$K, $B73),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74" s="76" cm="1">
        <f t="array" ref="Q74">_xlfn.LET(
  _xlpm.act,   cronograma!$C73,
  _xlpm.fecha, cronograma!Q$4,
  _xlpm.ini,   INDEX(plan!$J:$J, $B73),
  _xlpm.fin,   INDEX(plan!$K:$K, $B73),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74" s="76" cm="1">
        <f t="array" ref="R74">_xlfn.LET(
  _xlpm.act,   cronograma!$C73,
  _xlpm.fecha, cronograma!R$4,
  _xlpm.ini,   INDEX(plan!$J:$J, $B73),
  _xlpm.fin,   INDEX(plan!$K:$K, $B73),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74" s="77" cm="1">
        <f t="array" ref="S74">_xlfn.LET(
  _xlpm.act,   cronograma!$C73,
  _xlpm.fecha, cronograma!S$4,
  _xlpm.ini,   INDEX(plan!$J:$J, $B73),
  _xlpm.fin,   INDEX(plan!$K:$K, $B73),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74" s="75" cm="1">
        <f t="array" ref="T74">_xlfn.LET(
  _xlpm.act,   cronograma!$C73,
  _xlpm.fecha, cronograma!T$4,
  _xlpm.ini,   INDEX(plan!$J:$J, $B73),
  _xlpm.fin,   INDEX(plan!$K:$K, $B73),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74" s="76" cm="1">
        <f t="array" ref="U74">_xlfn.LET(
  _xlpm.act,   cronograma!$C73,
  _xlpm.fecha, cronograma!U$4,
  _xlpm.ini,   INDEX(plan!$J:$J, $B73),
  _xlpm.fin,   INDEX(plan!$K:$K, $B73),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74" s="76" cm="1">
        <f t="array" ref="V74">_xlfn.LET(
  _xlpm.act,   cronograma!$C73,
  _xlpm.fecha, cronograma!V$4,
  _xlpm.ini,   INDEX(plan!$J:$J, $B73),
  _xlpm.fin,   INDEX(plan!$K:$K, $B73),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74" s="76" cm="1">
        <f t="array" ref="W74">_xlfn.LET(
  _xlpm.act,   cronograma!$C73,
  _xlpm.fecha, cronograma!W$4,
  _xlpm.ini,   INDEX(plan!$J:$J, $B73),
  _xlpm.fin,   INDEX(plan!$K:$K, $B73),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74" s="76" cm="1">
        <f t="array" ref="X74">_xlfn.LET(
  _xlpm.act,   cronograma!$C73,
  _xlpm.fecha, cronograma!X$4,
  _xlpm.ini,   INDEX(plan!$J:$J, $B73),
  _xlpm.fin,   INDEX(plan!$K:$K, $B73),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74" s="76" cm="1">
        <f t="array" ref="Y74">_xlfn.LET(
  _xlpm.act,   cronograma!$C73,
  _xlpm.fecha, cronograma!Y$4,
  _xlpm.ini,   INDEX(plan!$J:$J, $B73),
  _xlpm.fin,   INDEX(plan!$K:$K, $B73),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74" s="77" cm="1">
        <f t="array" ref="Z74">_xlfn.LET(
  _xlpm.act,   cronograma!$C73,
  _xlpm.fecha, cronograma!Z$4,
  _xlpm.ini,   INDEX(plan!$J:$J, $B73),
  _xlpm.fin,   INDEX(plan!$K:$K, $B73),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74" s="75" cm="1">
        <f t="array" ref="AA74">_xlfn.LET(
  _xlpm.act,   cronograma!$C73,
  _xlpm.fecha, cronograma!AA$4,
  _xlpm.ini,   INDEX(plan!$J:$J, $B73),
  _xlpm.fin,   INDEX(plan!$K:$K, $B73),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74" s="76" cm="1">
        <f t="array" ref="AB74">_xlfn.LET(
  _xlpm.act,   cronograma!$C73,
  _xlpm.fecha, cronograma!AB$4,
  _xlpm.ini,   INDEX(plan!$J:$J, $B73),
  _xlpm.fin,   INDEX(plan!$K:$K, $B73),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74" s="76" cm="1">
        <f t="array" ref="AC74">_xlfn.LET(
  _xlpm.act,   cronograma!$C73,
  _xlpm.fecha, cronograma!AC$4,
  _xlpm.ini,   INDEX(plan!$J:$J, $B73),
  _xlpm.fin,   INDEX(plan!$K:$K, $B73),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74" s="76" cm="1">
        <f t="array" ref="AD74">_xlfn.LET(
  _xlpm.act,   cronograma!$C73,
  _xlpm.fecha, cronograma!AD$4,
  _xlpm.ini,   INDEX(plan!$J:$J, $B73),
  _xlpm.fin,   INDEX(plan!$K:$K, $B73),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74" s="76" cm="1">
        <f t="array" ref="AE74">_xlfn.LET(
  _xlpm.act,   cronograma!$C73,
  _xlpm.fecha, cronograma!AE$4,
  _xlpm.ini,   INDEX(plan!$J:$J, $B73),
  _xlpm.fin,   INDEX(plan!$K:$K, $B73),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74" s="76" cm="1">
        <f t="array" ref="AF74">_xlfn.LET(
  _xlpm.act,   cronograma!$C73,
  _xlpm.fecha, cronograma!AF$4,
  _xlpm.ini,   INDEX(plan!$J:$J, $B73),
  _xlpm.fin,   INDEX(plan!$K:$K, $B73),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74" s="77" cm="1">
        <f t="array" ref="AG74">_xlfn.LET(
  _xlpm.act,   cronograma!$C73,
  _xlpm.fecha, cronograma!AG$4,
  _xlpm.ini,   INDEX(plan!$J:$J, $B73),
  _xlpm.fin,   INDEX(plan!$K:$K, $B73),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74" s="75" cm="1">
        <f t="array" ref="AH74">_xlfn.LET(
  _xlpm.act,   cronograma!$C73,
  _xlpm.fecha, cronograma!AH$4,
  _xlpm.ini,   INDEX(plan!$J:$J, $B73),
  _xlpm.fin,   INDEX(plan!$K:$K, $B73),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74" s="76" cm="1">
        <f t="array" ref="AI74">_xlfn.LET(
  _xlpm.act,   cronograma!$C73,
  _xlpm.fecha, cronograma!AI$4,
  _xlpm.ini,   INDEX(plan!$J:$J, $B73),
  _xlpm.fin,   INDEX(plan!$K:$K, $B73),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74" s="76" cm="1">
        <f t="array" ref="AJ74">_xlfn.LET(
  _xlpm.act,   cronograma!$C73,
  _xlpm.fecha, cronograma!AJ$4,
  _xlpm.ini,   INDEX(plan!$J:$J, $B73),
  _xlpm.fin,   INDEX(plan!$K:$K, $B73),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74" s="76" cm="1">
        <f t="array" ref="AK74">_xlfn.LET(
  _xlpm.act,   cronograma!$C73,
  _xlpm.fecha, cronograma!AK$4,
  _xlpm.ini,   INDEX(plan!$J:$J, $B73),
  _xlpm.fin,   INDEX(plan!$K:$K, $B73),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74" s="76" cm="1">
        <f t="array" ref="AL74">_xlfn.LET(
  _xlpm.act,   cronograma!$C73,
  _xlpm.fecha, cronograma!AL$4,
  _xlpm.ini,   INDEX(plan!$J:$J, $B73),
  _xlpm.fin,   INDEX(plan!$K:$K, $B73),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74" s="76" cm="1">
        <f t="array" ref="AM74">_xlfn.LET(
  _xlpm.act,   cronograma!$C73,
  _xlpm.fecha, cronograma!AM$4,
  _xlpm.ini,   INDEX(plan!$J:$J, $B73),
  _xlpm.fin,   INDEX(plan!$K:$K, $B73),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74" s="77" cm="1">
        <f t="array" ref="AN74">_xlfn.LET(
  _xlpm.act,   cronograma!$C73,
  _xlpm.fecha, cronograma!AN$4,
  _xlpm.ini,   INDEX(plan!$J:$J, $B73),
  _xlpm.fin,   INDEX(plan!$K:$K, $B73),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O74" s="75"/>
      <c r="AP74" s="76"/>
      <c r="AQ74" s="76"/>
      <c r="AR74" s="76"/>
      <c r="AS74" s="76"/>
      <c r="AT74" s="76"/>
      <c r="AU74" s="77"/>
    </row>
    <row r="75" spans="1:47" ht="12.95" hidden="1" customHeight="1" x14ac:dyDescent="0.3">
      <c r="A75" s="36"/>
      <c r="B75" s="301">
        <f>plan!B39</f>
        <v>39</v>
      </c>
      <c r="C75" s="274">
        <f>plan!C39</f>
        <v>0</v>
      </c>
      <c r="D75" s="278" cm="1">
        <f t="array" ref="D75">INDEX(plan!$I:$I, $B75)</f>
        <v>0</v>
      </c>
      <c r="E75" s="276" cm="1">
        <f t="array" ref="E75">INDEX(plan!$U:$U, $B75)</f>
        <v>0</v>
      </c>
      <c r="F75" s="74" cm="1">
        <f t="array" ref="F75">IF(AND(F$4&gt;=INDEX(plan!$J:$J, $B75), F$4&lt;=INDEX(plan!$K:$K, $B75)),1,0)</f>
        <v>0</v>
      </c>
      <c r="G75" s="78" cm="1">
        <f t="array" ref="G75">IF(AND(G$4&gt;=INDEX(plan!$J:$J, $B75), G$4&lt;=INDEX(plan!$K:$K, $B75)),1,0)</f>
        <v>0</v>
      </c>
      <c r="H75" s="78" cm="1">
        <f t="array" ref="H75">IF(AND(H$4&gt;=INDEX(plan!$J:$J, $B75), H$4&lt;=INDEX(plan!$K:$K, $B75)),1,0)</f>
        <v>0</v>
      </c>
      <c r="I75" s="78" cm="1">
        <f t="array" ref="I75">IF(AND(I$4&gt;=INDEX(plan!$J:$J, $B75), I$4&lt;=INDEX(plan!$K:$K, $B75)),1,0)</f>
        <v>0</v>
      </c>
      <c r="J75" s="78" cm="1">
        <f t="array" ref="J75">IF(AND(J$4&gt;=INDEX(plan!$J:$J, $B75), J$4&lt;=INDEX(plan!$K:$K, $B75)),1,0)</f>
        <v>0</v>
      </c>
      <c r="K75" s="78" cm="1">
        <f t="array" ref="K75">IF(AND(K$4&gt;=INDEX(plan!$J:$J, $B75), K$4&lt;=INDEX(plan!$K:$K, $B75)),1,0)</f>
        <v>0</v>
      </c>
      <c r="L75" s="79" cm="1">
        <f t="array" ref="L75">IF(AND(L$4&gt;=INDEX(plan!$J:$J, $B75), L$4&lt;=INDEX(plan!$K:$K, $B75)),1,0)</f>
        <v>0</v>
      </c>
      <c r="M75" s="74" cm="1">
        <f t="array" ref="M75">IF(AND(M$4&gt;=INDEX(plan!$J:$J, $B75), M$4&lt;=INDEX(plan!$K:$K, $B75)),1,0)</f>
        <v>0</v>
      </c>
      <c r="N75" s="78" cm="1">
        <f t="array" ref="N75">IF(AND(N$4&gt;=INDEX(plan!$J:$J, $B75), N$4&lt;=INDEX(plan!$K:$K, $B75)),1,0)</f>
        <v>0</v>
      </c>
      <c r="O75" s="78" cm="1">
        <f t="array" ref="O75">IF(AND(O$4&gt;=INDEX(plan!$J:$J, $B75), O$4&lt;=INDEX(plan!$K:$K, $B75)),1,0)</f>
        <v>0</v>
      </c>
      <c r="P75" s="78" cm="1">
        <f t="array" ref="P75">IF(AND(P$4&gt;=INDEX(plan!$J:$J, $B75), P$4&lt;=INDEX(plan!$K:$K, $B75)),1,0)</f>
        <v>0</v>
      </c>
      <c r="Q75" s="78" cm="1">
        <f t="array" ref="Q75">IF(AND(Q$4&gt;=INDEX(plan!$J:$J, $B75), Q$4&lt;=INDEX(plan!$K:$K, $B75)),1,0)</f>
        <v>0</v>
      </c>
      <c r="R75" s="78" cm="1">
        <f t="array" ref="R75">IF(AND(R$4&gt;=INDEX(plan!$J:$J, $B75), R$4&lt;=INDEX(plan!$K:$K, $B75)),1,0)</f>
        <v>0</v>
      </c>
      <c r="S75" s="79" cm="1">
        <f t="array" ref="S75">IF(AND(S$4&gt;=INDEX(plan!$J:$J, $B75), S$4&lt;=INDEX(plan!$K:$K, $B75)),1,0)</f>
        <v>0</v>
      </c>
      <c r="T75" s="74" cm="1">
        <f t="array" ref="T75">IF(AND(T$4&gt;=INDEX(plan!$J:$J, $B75), T$4&lt;=INDEX(plan!$K:$K, $B75)),1,0)</f>
        <v>0</v>
      </c>
      <c r="U75" s="78" cm="1">
        <f t="array" ref="U75">IF(AND(U$4&gt;=INDEX(plan!$J:$J, $B75), U$4&lt;=INDEX(plan!$K:$K, $B75)),1,0)</f>
        <v>0</v>
      </c>
      <c r="V75" s="78" cm="1">
        <f t="array" ref="V75">IF(AND(V$4&gt;=INDEX(plan!$J:$J, $B75), V$4&lt;=INDEX(plan!$K:$K, $B75)),1,0)</f>
        <v>0</v>
      </c>
      <c r="W75" s="78" cm="1">
        <f t="array" ref="W75">IF(AND(W$4&gt;=INDEX(plan!$J:$J, $B75), W$4&lt;=INDEX(plan!$K:$K, $B75)),1,0)</f>
        <v>0</v>
      </c>
      <c r="X75" s="78" cm="1">
        <f t="array" ref="X75">IF(AND(X$4&gt;=INDEX(plan!$J:$J, $B75), X$4&lt;=INDEX(plan!$K:$K, $B75)),1,0)</f>
        <v>0</v>
      </c>
      <c r="Y75" s="78" cm="1">
        <f t="array" ref="Y75">IF(AND(Y$4&gt;=INDEX(plan!$J:$J, $B75), Y$4&lt;=INDEX(plan!$K:$K, $B75)),1,0)</f>
        <v>0</v>
      </c>
      <c r="Z75" s="79" cm="1">
        <f t="array" ref="Z75">IF(AND(Z$4&gt;=INDEX(plan!$J:$J, $B75), Z$4&lt;=INDEX(plan!$K:$K, $B75)),1,0)</f>
        <v>0</v>
      </c>
      <c r="AA75" s="74" cm="1">
        <f t="array" ref="AA75">IF(AND(AA$4&gt;=INDEX(plan!$J:$J, $B75), AA$4&lt;=INDEX(plan!$K:$K, $B75)),1,0)</f>
        <v>0</v>
      </c>
      <c r="AB75" s="78" cm="1">
        <f t="array" ref="AB75">IF(AND(AB$4&gt;=INDEX(plan!$J:$J, $B75), AB$4&lt;=INDEX(plan!$K:$K, $B75)),1,0)</f>
        <v>0</v>
      </c>
      <c r="AC75" s="78" cm="1">
        <f t="array" ref="AC75">IF(AND(AC$4&gt;=INDEX(plan!$J:$J, $B75), AC$4&lt;=INDEX(plan!$K:$K, $B75)),1,0)</f>
        <v>0</v>
      </c>
      <c r="AD75" s="78" cm="1">
        <f t="array" ref="AD75">IF(AND(AD$4&gt;=INDEX(plan!$J:$J, $B75), AD$4&lt;=INDEX(plan!$K:$K, $B75)),1,0)</f>
        <v>0</v>
      </c>
      <c r="AE75" s="78" cm="1">
        <f t="array" ref="AE75">IF(AND(AE$4&gt;=INDEX(plan!$J:$J, $B75), AE$4&lt;=INDEX(plan!$K:$K, $B75)),1,0)</f>
        <v>0</v>
      </c>
      <c r="AF75" s="78" cm="1">
        <f t="array" ref="AF75">IF(AND(AF$4&gt;=INDEX(plan!$J:$J, $B75), AF$4&lt;=INDEX(plan!$K:$K, $B75)),1,0)</f>
        <v>0</v>
      </c>
      <c r="AG75" s="79" cm="1">
        <f t="array" ref="AG75">IF(AND(AG$4&gt;=INDEX(plan!$J:$J, $B75), AG$4&lt;=INDEX(plan!$K:$K, $B75)),1,0)</f>
        <v>0</v>
      </c>
      <c r="AH75" s="74" cm="1">
        <f t="array" ref="AH75">IF(AND(AH$4&gt;=INDEX(plan!$J:$J, $B75), AH$4&lt;=INDEX(plan!$K:$K, $B75)),1,0)</f>
        <v>0</v>
      </c>
      <c r="AI75" s="78" cm="1">
        <f t="array" ref="AI75">IF(AND(AI$4&gt;=INDEX(plan!$J:$J, $B75), AI$4&lt;=INDEX(plan!$K:$K, $B75)),1,0)</f>
        <v>0</v>
      </c>
      <c r="AJ75" s="78" cm="1">
        <f t="array" ref="AJ75">IF(AND(AJ$4&gt;=INDEX(plan!$J:$J, $B75), AJ$4&lt;=INDEX(plan!$K:$K, $B75)),1,0)</f>
        <v>0</v>
      </c>
      <c r="AK75" s="78" cm="1">
        <f t="array" ref="AK75">IF(AND(AK$4&gt;=INDEX(plan!$J:$J, $B75), AK$4&lt;=INDEX(plan!$K:$K, $B75)),1,0)</f>
        <v>0</v>
      </c>
      <c r="AL75" s="78" cm="1">
        <f t="array" ref="AL75">IF(AND(AL$4&gt;=INDEX(plan!$J:$J, $B75), AL$4&lt;=INDEX(plan!$K:$K, $B75)),1,0)</f>
        <v>0</v>
      </c>
      <c r="AM75" s="78" cm="1">
        <f t="array" ref="AM75">IF(AND(AM$4&gt;=INDEX(plan!$J:$J, $B75), AM$4&lt;=INDEX(plan!$K:$K, $B75)),1,0)</f>
        <v>0</v>
      </c>
      <c r="AN75" s="79" cm="1">
        <f t="array" ref="AN75">IF(AND(AN$4&gt;=INDEX(plan!$J:$J, $B75), AN$4&lt;=INDEX(plan!$K:$K, $B75)),1,0)</f>
        <v>0</v>
      </c>
      <c r="AO75" s="74"/>
      <c r="AP75" s="78"/>
      <c r="AQ75" s="78"/>
      <c r="AR75" s="78"/>
      <c r="AS75" s="78"/>
      <c r="AT75" s="78"/>
      <c r="AU75" s="79"/>
    </row>
    <row r="76" spans="1:47" ht="12.95" hidden="1" customHeight="1" x14ac:dyDescent="0.3">
      <c r="A76" s="36"/>
      <c r="B76" s="300"/>
      <c r="C76" s="275"/>
      <c r="D76" s="279"/>
      <c r="E76" s="277"/>
      <c r="F76" s="75" cm="1">
        <f t="array" ref="F76">_xlfn.LET(
  _xlpm.act,   cronograma!$C75,
  _xlpm.fecha, cronograma!F$4,
  _xlpm.ini,   INDEX(plan!$J:$J, $B75),
  _xlpm.fin,   INDEX(plan!$K:$K, $B75),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76" s="76" cm="1">
        <f t="array" ref="G76">_xlfn.LET(
  _xlpm.act,   cronograma!$C75,
  _xlpm.fecha, cronograma!G$4,
  _xlpm.ini,   INDEX(plan!$J:$J, $B75),
  _xlpm.fin,   INDEX(plan!$K:$K, $B75),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76" s="76" cm="1">
        <f t="array" ref="H76">_xlfn.LET(
  _xlpm.act,   cronograma!$C75,
  _xlpm.fecha, cronograma!H$4,
  _xlpm.ini,   INDEX(plan!$J:$J, $B75),
  _xlpm.fin,   INDEX(plan!$K:$K, $B75),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76" s="76" cm="1">
        <f t="array" ref="I76">_xlfn.LET(
  _xlpm.act,   cronograma!$C75,
  _xlpm.fecha, cronograma!I$4,
  _xlpm.ini,   INDEX(plan!$J:$J, $B75),
  _xlpm.fin,   INDEX(plan!$K:$K, $B75),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76" s="76" cm="1">
        <f t="array" ref="J76">_xlfn.LET(
  _xlpm.act,   cronograma!$C75,
  _xlpm.fecha, cronograma!J$4,
  _xlpm.ini,   INDEX(plan!$J:$J, $B75),
  _xlpm.fin,   INDEX(plan!$K:$K, $B75),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76" s="76" cm="1">
        <f t="array" ref="K76">_xlfn.LET(
  _xlpm.act,   cronograma!$C75,
  _xlpm.fecha, cronograma!K$4,
  _xlpm.ini,   INDEX(plan!$J:$J, $B75),
  _xlpm.fin,   INDEX(plan!$K:$K, $B75),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76" s="77" cm="1">
        <f t="array" ref="L76">_xlfn.LET(
  _xlpm.act,   cronograma!$C75,
  _xlpm.fecha, cronograma!L$4,
  _xlpm.ini,   INDEX(plan!$J:$J, $B75),
  _xlpm.fin,   INDEX(plan!$K:$K, $B75),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76" s="75" cm="1">
        <f t="array" ref="M76">_xlfn.LET(
  _xlpm.act,   cronograma!$C75,
  _xlpm.fecha, cronograma!M$4,
  _xlpm.ini,   INDEX(plan!$J:$J, $B75),
  _xlpm.fin,   INDEX(plan!$K:$K, $B75),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76" s="76" cm="1">
        <f t="array" ref="N76">_xlfn.LET(
  _xlpm.act,   cronograma!$C75,
  _xlpm.fecha, cronograma!N$4,
  _xlpm.ini,   INDEX(plan!$J:$J, $B75),
  _xlpm.fin,   INDEX(plan!$K:$K, $B75),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76" s="76" cm="1">
        <f t="array" ref="O76">_xlfn.LET(
  _xlpm.act,   cronograma!$C75,
  _xlpm.fecha, cronograma!O$4,
  _xlpm.ini,   INDEX(plan!$J:$J, $B75),
  _xlpm.fin,   INDEX(plan!$K:$K, $B75),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76" s="76" cm="1">
        <f t="array" ref="P76">_xlfn.LET(
  _xlpm.act,   cronograma!$C75,
  _xlpm.fecha, cronograma!P$4,
  _xlpm.ini,   INDEX(plan!$J:$J, $B75),
  _xlpm.fin,   INDEX(plan!$K:$K, $B75),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76" s="76" cm="1">
        <f t="array" ref="Q76">_xlfn.LET(
  _xlpm.act,   cronograma!$C75,
  _xlpm.fecha, cronograma!Q$4,
  _xlpm.ini,   INDEX(plan!$J:$J, $B75),
  _xlpm.fin,   INDEX(plan!$K:$K, $B75),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76" s="76" cm="1">
        <f t="array" ref="R76">_xlfn.LET(
  _xlpm.act,   cronograma!$C75,
  _xlpm.fecha, cronograma!R$4,
  _xlpm.ini,   INDEX(plan!$J:$J, $B75),
  _xlpm.fin,   INDEX(plan!$K:$K, $B75),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76" s="77" cm="1">
        <f t="array" ref="S76">_xlfn.LET(
  _xlpm.act,   cronograma!$C75,
  _xlpm.fecha, cronograma!S$4,
  _xlpm.ini,   INDEX(plan!$J:$J, $B75),
  _xlpm.fin,   INDEX(plan!$K:$K, $B75),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76" s="75" cm="1">
        <f t="array" ref="T76">_xlfn.LET(
  _xlpm.act,   cronograma!$C75,
  _xlpm.fecha, cronograma!T$4,
  _xlpm.ini,   INDEX(plan!$J:$J, $B75),
  _xlpm.fin,   INDEX(plan!$K:$K, $B75),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76" s="76" cm="1">
        <f t="array" ref="U76">_xlfn.LET(
  _xlpm.act,   cronograma!$C75,
  _xlpm.fecha, cronograma!U$4,
  _xlpm.ini,   INDEX(plan!$J:$J, $B75),
  _xlpm.fin,   INDEX(plan!$K:$K, $B75),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76" s="76" cm="1">
        <f t="array" ref="V76">_xlfn.LET(
  _xlpm.act,   cronograma!$C75,
  _xlpm.fecha, cronograma!V$4,
  _xlpm.ini,   INDEX(plan!$J:$J, $B75),
  _xlpm.fin,   INDEX(plan!$K:$K, $B75),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76" s="76" cm="1">
        <f t="array" ref="W76">_xlfn.LET(
  _xlpm.act,   cronograma!$C75,
  _xlpm.fecha, cronograma!W$4,
  _xlpm.ini,   INDEX(plan!$J:$J, $B75),
  _xlpm.fin,   INDEX(plan!$K:$K, $B75),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76" s="76" cm="1">
        <f t="array" ref="X76">_xlfn.LET(
  _xlpm.act,   cronograma!$C75,
  _xlpm.fecha, cronograma!X$4,
  _xlpm.ini,   INDEX(plan!$J:$J, $B75),
  _xlpm.fin,   INDEX(plan!$K:$K, $B75),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76" s="76" cm="1">
        <f t="array" ref="Y76">_xlfn.LET(
  _xlpm.act,   cronograma!$C75,
  _xlpm.fecha, cronograma!Y$4,
  _xlpm.ini,   INDEX(plan!$J:$J, $B75),
  _xlpm.fin,   INDEX(plan!$K:$K, $B75),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76" s="77" cm="1">
        <f t="array" ref="Z76">_xlfn.LET(
  _xlpm.act,   cronograma!$C75,
  _xlpm.fecha, cronograma!Z$4,
  _xlpm.ini,   INDEX(plan!$J:$J, $B75),
  _xlpm.fin,   INDEX(plan!$K:$K, $B75),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76" s="75" cm="1">
        <f t="array" ref="AA76">_xlfn.LET(
  _xlpm.act,   cronograma!$C75,
  _xlpm.fecha, cronograma!AA$4,
  _xlpm.ini,   INDEX(plan!$J:$J, $B75),
  _xlpm.fin,   INDEX(plan!$K:$K, $B75),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76" s="76" cm="1">
        <f t="array" ref="AB76">_xlfn.LET(
  _xlpm.act,   cronograma!$C75,
  _xlpm.fecha, cronograma!AB$4,
  _xlpm.ini,   INDEX(plan!$J:$J, $B75),
  _xlpm.fin,   INDEX(plan!$K:$K, $B75),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76" s="76" cm="1">
        <f t="array" ref="AC76">_xlfn.LET(
  _xlpm.act,   cronograma!$C75,
  _xlpm.fecha, cronograma!AC$4,
  _xlpm.ini,   INDEX(plan!$J:$J, $B75),
  _xlpm.fin,   INDEX(plan!$K:$K, $B75),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76" s="76" cm="1">
        <f t="array" ref="AD76">_xlfn.LET(
  _xlpm.act,   cronograma!$C75,
  _xlpm.fecha, cronograma!AD$4,
  _xlpm.ini,   INDEX(plan!$J:$J, $B75),
  _xlpm.fin,   INDEX(plan!$K:$K, $B75),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76" s="76" cm="1">
        <f t="array" ref="AE76">_xlfn.LET(
  _xlpm.act,   cronograma!$C75,
  _xlpm.fecha, cronograma!AE$4,
  _xlpm.ini,   INDEX(plan!$J:$J, $B75),
  _xlpm.fin,   INDEX(plan!$K:$K, $B75),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76" s="76" cm="1">
        <f t="array" ref="AF76">_xlfn.LET(
  _xlpm.act,   cronograma!$C75,
  _xlpm.fecha, cronograma!AF$4,
  _xlpm.ini,   INDEX(plan!$J:$J, $B75),
  _xlpm.fin,   INDEX(plan!$K:$K, $B75),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76" s="77" cm="1">
        <f t="array" ref="AG76">_xlfn.LET(
  _xlpm.act,   cronograma!$C75,
  _xlpm.fecha, cronograma!AG$4,
  _xlpm.ini,   INDEX(plan!$J:$J, $B75),
  _xlpm.fin,   INDEX(plan!$K:$K, $B75),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76" s="75" cm="1">
        <f t="array" ref="AH76">_xlfn.LET(
  _xlpm.act,   cronograma!$C75,
  _xlpm.fecha, cronograma!AH$4,
  _xlpm.ini,   INDEX(plan!$J:$J, $B75),
  _xlpm.fin,   INDEX(plan!$K:$K, $B75),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76" s="76" cm="1">
        <f t="array" ref="AI76">_xlfn.LET(
  _xlpm.act,   cronograma!$C75,
  _xlpm.fecha, cronograma!AI$4,
  _xlpm.ini,   INDEX(plan!$J:$J, $B75),
  _xlpm.fin,   INDEX(plan!$K:$K, $B75),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76" s="76" cm="1">
        <f t="array" ref="AJ76">_xlfn.LET(
  _xlpm.act,   cronograma!$C75,
  _xlpm.fecha, cronograma!AJ$4,
  _xlpm.ini,   INDEX(plan!$J:$J, $B75),
  _xlpm.fin,   INDEX(plan!$K:$K, $B75),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76" s="76" cm="1">
        <f t="array" ref="AK76">_xlfn.LET(
  _xlpm.act,   cronograma!$C75,
  _xlpm.fecha, cronograma!AK$4,
  _xlpm.ini,   INDEX(plan!$J:$J, $B75),
  _xlpm.fin,   INDEX(plan!$K:$K, $B75),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76" s="76" cm="1">
        <f t="array" ref="AL76">_xlfn.LET(
  _xlpm.act,   cronograma!$C75,
  _xlpm.fecha, cronograma!AL$4,
  _xlpm.ini,   INDEX(plan!$J:$J, $B75),
  _xlpm.fin,   INDEX(plan!$K:$K, $B75),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76" s="76" cm="1">
        <f t="array" ref="AM76">_xlfn.LET(
  _xlpm.act,   cronograma!$C75,
  _xlpm.fecha, cronograma!AM$4,
  _xlpm.ini,   INDEX(plan!$J:$J, $B75),
  _xlpm.fin,   INDEX(plan!$K:$K, $B75),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76" s="77" cm="1">
        <f t="array" ref="AN76">_xlfn.LET(
  _xlpm.act,   cronograma!$C75,
  _xlpm.fecha, cronograma!AN$4,
  _xlpm.ini,   INDEX(plan!$J:$J, $B75),
  _xlpm.fin,   INDEX(plan!$K:$K, $B75),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O76" s="75"/>
      <c r="AP76" s="76"/>
      <c r="AQ76" s="76"/>
      <c r="AR76" s="76"/>
      <c r="AS76" s="76"/>
      <c r="AT76" s="76"/>
      <c r="AU76" s="77"/>
    </row>
    <row r="77" spans="1:47" ht="12.95" hidden="1" customHeight="1" x14ac:dyDescent="0.3">
      <c r="A77" s="36"/>
      <c r="B77" s="301">
        <f>plan!B40</f>
        <v>40</v>
      </c>
      <c r="C77" s="274">
        <f>plan!C40</f>
        <v>0</v>
      </c>
      <c r="D77" s="278" cm="1">
        <f t="array" ref="D77">INDEX(plan!$I:$I, $B77)</f>
        <v>0</v>
      </c>
      <c r="E77" s="276" cm="1">
        <f t="array" ref="E77">INDEX(plan!$U:$U, $B77)</f>
        <v>0</v>
      </c>
      <c r="F77" s="74" cm="1">
        <f t="array" ref="F77">IF(AND(F$4&gt;=INDEX(plan!$J:$J, $B77), F$4&lt;=INDEX(plan!$K:$K, $B77)),1,0)</f>
        <v>0</v>
      </c>
      <c r="G77" s="78" cm="1">
        <f t="array" ref="G77">IF(AND(G$4&gt;=INDEX(plan!$J:$J, $B77), G$4&lt;=INDEX(plan!$K:$K, $B77)),1,0)</f>
        <v>0</v>
      </c>
      <c r="H77" s="78" cm="1">
        <f t="array" ref="H77">IF(AND(H$4&gt;=INDEX(plan!$J:$J, $B77), H$4&lt;=INDEX(plan!$K:$K, $B77)),1,0)</f>
        <v>0</v>
      </c>
      <c r="I77" s="78" cm="1">
        <f t="array" ref="I77">IF(AND(I$4&gt;=INDEX(plan!$J:$J, $B77), I$4&lt;=INDEX(plan!$K:$K, $B77)),1,0)</f>
        <v>0</v>
      </c>
      <c r="J77" s="78" cm="1">
        <f t="array" ref="J77">IF(AND(J$4&gt;=INDEX(plan!$J:$J, $B77), J$4&lt;=INDEX(plan!$K:$K, $B77)),1,0)</f>
        <v>0</v>
      </c>
      <c r="K77" s="78" cm="1">
        <f t="array" ref="K77">IF(AND(K$4&gt;=INDEX(plan!$J:$J, $B77), K$4&lt;=INDEX(plan!$K:$K, $B77)),1,0)</f>
        <v>0</v>
      </c>
      <c r="L77" s="79" cm="1">
        <f t="array" ref="L77">IF(AND(L$4&gt;=INDEX(plan!$J:$J, $B77), L$4&lt;=INDEX(plan!$K:$K, $B77)),1,0)</f>
        <v>0</v>
      </c>
      <c r="M77" s="74" cm="1">
        <f t="array" ref="M77">IF(AND(M$4&gt;=INDEX(plan!$J:$J, $B77), M$4&lt;=INDEX(plan!$K:$K, $B77)),1,0)</f>
        <v>0</v>
      </c>
      <c r="N77" s="78" cm="1">
        <f t="array" ref="N77">IF(AND(N$4&gt;=INDEX(plan!$J:$J, $B77), N$4&lt;=INDEX(plan!$K:$K, $B77)),1,0)</f>
        <v>0</v>
      </c>
      <c r="O77" s="78" cm="1">
        <f t="array" ref="O77">IF(AND(O$4&gt;=INDEX(plan!$J:$J, $B77), O$4&lt;=INDEX(plan!$K:$K, $B77)),1,0)</f>
        <v>0</v>
      </c>
      <c r="P77" s="78" cm="1">
        <f t="array" ref="P77">IF(AND(P$4&gt;=INDEX(plan!$J:$J, $B77), P$4&lt;=INDEX(plan!$K:$K, $B77)),1,0)</f>
        <v>0</v>
      </c>
      <c r="Q77" s="78" cm="1">
        <f t="array" ref="Q77">IF(AND(Q$4&gt;=INDEX(plan!$J:$J, $B77), Q$4&lt;=INDEX(plan!$K:$K, $B77)),1,0)</f>
        <v>0</v>
      </c>
      <c r="R77" s="78" cm="1">
        <f t="array" ref="R77">IF(AND(R$4&gt;=INDEX(plan!$J:$J, $B77), R$4&lt;=INDEX(plan!$K:$K, $B77)),1,0)</f>
        <v>0</v>
      </c>
      <c r="S77" s="79" cm="1">
        <f t="array" ref="S77">IF(AND(S$4&gt;=INDEX(plan!$J:$J, $B77), S$4&lt;=INDEX(plan!$K:$K, $B77)),1,0)</f>
        <v>0</v>
      </c>
      <c r="T77" s="74" cm="1">
        <f t="array" ref="T77">IF(AND(T$4&gt;=INDEX(plan!$J:$J, $B77), T$4&lt;=INDEX(plan!$K:$K, $B77)),1,0)</f>
        <v>0</v>
      </c>
      <c r="U77" s="78" cm="1">
        <f t="array" ref="U77">IF(AND(U$4&gt;=INDEX(plan!$J:$J, $B77), U$4&lt;=INDEX(plan!$K:$K, $B77)),1,0)</f>
        <v>0</v>
      </c>
      <c r="V77" s="78" cm="1">
        <f t="array" ref="V77">IF(AND(V$4&gt;=INDEX(plan!$J:$J, $B77), V$4&lt;=INDEX(plan!$K:$K, $B77)),1,0)</f>
        <v>0</v>
      </c>
      <c r="W77" s="78" cm="1">
        <f t="array" ref="W77">IF(AND(W$4&gt;=INDEX(plan!$J:$J, $B77), W$4&lt;=INDEX(plan!$K:$K, $B77)),1,0)</f>
        <v>0</v>
      </c>
      <c r="X77" s="78" cm="1">
        <f t="array" ref="X77">IF(AND(X$4&gt;=INDEX(plan!$J:$J, $B77), X$4&lt;=INDEX(plan!$K:$K, $B77)),1,0)</f>
        <v>0</v>
      </c>
      <c r="Y77" s="78" cm="1">
        <f t="array" ref="Y77">IF(AND(Y$4&gt;=INDEX(plan!$J:$J, $B77), Y$4&lt;=INDEX(plan!$K:$K, $B77)),1,0)</f>
        <v>0</v>
      </c>
      <c r="Z77" s="79" cm="1">
        <f t="array" ref="Z77">IF(AND(Z$4&gt;=INDEX(plan!$J:$J, $B77), Z$4&lt;=INDEX(plan!$K:$K, $B77)),1,0)</f>
        <v>0</v>
      </c>
      <c r="AA77" s="74" cm="1">
        <f t="array" ref="AA77">IF(AND(AA$4&gt;=INDEX(plan!$J:$J, $B77), AA$4&lt;=INDEX(plan!$K:$K, $B77)),1,0)</f>
        <v>0</v>
      </c>
      <c r="AB77" s="78" cm="1">
        <f t="array" ref="AB77">IF(AND(AB$4&gt;=INDEX(plan!$J:$J, $B77), AB$4&lt;=INDEX(plan!$K:$K, $B77)),1,0)</f>
        <v>0</v>
      </c>
      <c r="AC77" s="78" cm="1">
        <f t="array" ref="AC77">IF(AND(AC$4&gt;=INDEX(plan!$J:$J, $B77), AC$4&lt;=INDEX(plan!$K:$K, $B77)),1,0)</f>
        <v>0</v>
      </c>
      <c r="AD77" s="78" cm="1">
        <f t="array" ref="AD77">IF(AND(AD$4&gt;=INDEX(plan!$J:$J, $B77), AD$4&lt;=INDEX(plan!$K:$K, $B77)),1,0)</f>
        <v>0</v>
      </c>
      <c r="AE77" s="78" cm="1">
        <f t="array" ref="AE77">IF(AND(AE$4&gt;=INDEX(plan!$J:$J, $B77), AE$4&lt;=INDEX(plan!$K:$K, $B77)),1,0)</f>
        <v>0</v>
      </c>
      <c r="AF77" s="78" cm="1">
        <f t="array" ref="AF77">IF(AND(AF$4&gt;=INDEX(plan!$J:$J, $B77), AF$4&lt;=INDEX(plan!$K:$K, $B77)),1,0)</f>
        <v>0</v>
      </c>
      <c r="AG77" s="79" cm="1">
        <f t="array" ref="AG77">IF(AND(AG$4&gt;=INDEX(plan!$J:$J, $B77), AG$4&lt;=INDEX(plan!$K:$K, $B77)),1,0)</f>
        <v>0</v>
      </c>
      <c r="AH77" s="74" cm="1">
        <f t="array" ref="AH77">IF(AND(AH$4&gt;=INDEX(plan!$J:$J, $B77), AH$4&lt;=INDEX(plan!$K:$K, $B77)),1,0)</f>
        <v>0</v>
      </c>
      <c r="AI77" s="78" cm="1">
        <f t="array" ref="AI77">IF(AND(AI$4&gt;=INDEX(plan!$J:$J, $B77), AI$4&lt;=INDEX(plan!$K:$K, $B77)),1,0)</f>
        <v>0</v>
      </c>
      <c r="AJ77" s="78" cm="1">
        <f t="array" ref="AJ77">IF(AND(AJ$4&gt;=INDEX(plan!$J:$J, $B77), AJ$4&lt;=INDEX(plan!$K:$K, $B77)),1,0)</f>
        <v>0</v>
      </c>
      <c r="AK77" s="78" cm="1">
        <f t="array" ref="AK77">IF(AND(AK$4&gt;=INDEX(plan!$J:$J, $B77), AK$4&lt;=INDEX(plan!$K:$K, $B77)),1,0)</f>
        <v>0</v>
      </c>
      <c r="AL77" s="78" cm="1">
        <f t="array" ref="AL77">IF(AND(AL$4&gt;=INDEX(plan!$J:$J, $B77), AL$4&lt;=INDEX(plan!$K:$K, $B77)),1,0)</f>
        <v>0</v>
      </c>
      <c r="AM77" s="78" cm="1">
        <f t="array" ref="AM77">IF(AND(AM$4&gt;=INDEX(plan!$J:$J, $B77), AM$4&lt;=INDEX(plan!$K:$K, $B77)),1,0)</f>
        <v>0</v>
      </c>
      <c r="AN77" s="79" cm="1">
        <f t="array" ref="AN77">IF(AND(AN$4&gt;=INDEX(plan!$J:$J, $B77), AN$4&lt;=INDEX(plan!$K:$K, $B77)),1,0)</f>
        <v>0</v>
      </c>
      <c r="AO77" s="74"/>
      <c r="AP77" s="78"/>
      <c r="AQ77" s="78"/>
      <c r="AR77" s="78"/>
      <c r="AS77" s="78"/>
      <c r="AT77" s="78"/>
      <c r="AU77" s="79"/>
    </row>
    <row r="78" spans="1:47" ht="12.95" hidden="1" customHeight="1" x14ac:dyDescent="0.3">
      <c r="A78" s="36"/>
      <c r="B78" s="300"/>
      <c r="C78" s="275"/>
      <c r="D78" s="279"/>
      <c r="E78" s="277"/>
      <c r="F78" s="75" cm="1">
        <f t="array" ref="F78">_xlfn.LET(
  _xlpm.act,   cronograma!$C77,
  _xlpm.fecha, cronograma!F$4,
  _xlpm.ini,   INDEX(plan!$J:$J, $B77),
  _xlpm.fin,   INDEX(plan!$K:$K, $B77),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78" s="76" cm="1">
        <f t="array" ref="G78">_xlfn.LET(
  _xlpm.act,   cronograma!$C77,
  _xlpm.fecha, cronograma!G$4,
  _xlpm.ini,   INDEX(plan!$J:$J, $B77),
  _xlpm.fin,   INDEX(plan!$K:$K, $B77),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78" s="76" cm="1">
        <f t="array" ref="H78">_xlfn.LET(
  _xlpm.act,   cronograma!$C77,
  _xlpm.fecha, cronograma!H$4,
  _xlpm.ini,   INDEX(plan!$J:$J, $B77),
  _xlpm.fin,   INDEX(plan!$K:$K, $B77),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78" s="76" cm="1">
        <f t="array" ref="I78">_xlfn.LET(
  _xlpm.act,   cronograma!$C77,
  _xlpm.fecha, cronograma!I$4,
  _xlpm.ini,   INDEX(plan!$J:$J, $B77),
  _xlpm.fin,   INDEX(plan!$K:$K, $B77),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78" s="76" cm="1">
        <f t="array" ref="J78">_xlfn.LET(
  _xlpm.act,   cronograma!$C77,
  _xlpm.fecha, cronograma!J$4,
  _xlpm.ini,   INDEX(plan!$J:$J, $B77),
  _xlpm.fin,   INDEX(plan!$K:$K, $B77),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78" s="76" cm="1">
        <f t="array" ref="K78">_xlfn.LET(
  _xlpm.act,   cronograma!$C77,
  _xlpm.fecha, cronograma!K$4,
  _xlpm.ini,   INDEX(plan!$J:$J, $B77),
  _xlpm.fin,   INDEX(plan!$K:$K, $B77),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78" s="77" cm="1">
        <f t="array" ref="L78">_xlfn.LET(
  _xlpm.act,   cronograma!$C77,
  _xlpm.fecha, cronograma!L$4,
  _xlpm.ini,   INDEX(plan!$J:$J, $B77),
  _xlpm.fin,   INDEX(plan!$K:$K, $B77),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78" s="75" cm="1">
        <f t="array" ref="M78">_xlfn.LET(
  _xlpm.act,   cronograma!$C77,
  _xlpm.fecha, cronograma!M$4,
  _xlpm.ini,   INDEX(plan!$J:$J, $B77),
  _xlpm.fin,   INDEX(plan!$K:$K, $B77),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78" s="76" cm="1">
        <f t="array" ref="N78">_xlfn.LET(
  _xlpm.act,   cronograma!$C77,
  _xlpm.fecha, cronograma!N$4,
  _xlpm.ini,   INDEX(plan!$J:$J, $B77),
  _xlpm.fin,   INDEX(plan!$K:$K, $B77),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78" s="76" cm="1">
        <f t="array" ref="O78">_xlfn.LET(
  _xlpm.act,   cronograma!$C77,
  _xlpm.fecha, cronograma!O$4,
  _xlpm.ini,   INDEX(plan!$J:$J, $B77),
  _xlpm.fin,   INDEX(plan!$K:$K, $B77),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78" s="76" cm="1">
        <f t="array" ref="P78">_xlfn.LET(
  _xlpm.act,   cronograma!$C77,
  _xlpm.fecha, cronograma!P$4,
  _xlpm.ini,   INDEX(plan!$J:$J, $B77),
  _xlpm.fin,   INDEX(plan!$K:$K, $B77),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78" s="76" cm="1">
        <f t="array" ref="Q78">_xlfn.LET(
  _xlpm.act,   cronograma!$C77,
  _xlpm.fecha, cronograma!Q$4,
  _xlpm.ini,   INDEX(plan!$J:$J, $B77),
  _xlpm.fin,   INDEX(plan!$K:$K, $B77),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78" s="76" cm="1">
        <f t="array" ref="R78">_xlfn.LET(
  _xlpm.act,   cronograma!$C77,
  _xlpm.fecha, cronograma!R$4,
  _xlpm.ini,   INDEX(plan!$J:$J, $B77),
  _xlpm.fin,   INDEX(plan!$K:$K, $B77),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78" s="77" cm="1">
        <f t="array" ref="S78">_xlfn.LET(
  _xlpm.act,   cronograma!$C77,
  _xlpm.fecha, cronograma!S$4,
  _xlpm.ini,   INDEX(plan!$J:$J, $B77),
  _xlpm.fin,   INDEX(plan!$K:$K, $B77),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78" s="75" cm="1">
        <f t="array" ref="T78">_xlfn.LET(
  _xlpm.act,   cronograma!$C77,
  _xlpm.fecha, cronograma!T$4,
  _xlpm.ini,   INDEX(plan!$J:$J, $B77),
  _xlpm.fin,   INDEX(plan!$K:$K, $B77),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78" s="76" cm="1">
        <f t="array" ref="U78">_xlfn.LET(
  _xlpm.act,   cronograma!$C77,
  _xlpm.fecha, cronograma!U$4,
  _xlpm.ini,   INDEX(plan!$J:$J, $B77),
  _xlpm.fin,   INDEX(plan!$K:$K, $B77),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78" s="76" cm="1">
        <f t="array" ref="V78">_xlfn.LET(
  _xlpm.act,   cronograma!$C77,
  _xlpm.fecha, cronograma!V$4,
  _xlpm.ini,   INDEX(plan!$J:$J, $B77),
  _xlpm.fin,   INDEX(plan!$K:$K, $B77),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78" s="76" cm="1">
        <f t="array" ref="W78">_xlfn.LET(
  _xlpm.act,   cronograma!$C77,
  _xlpm.fecha, cronograma!W$4,
  _xlpm.ini,   INDEX(plan!$J:$J, $B77),
  _xlpm.fin,   INDEX(plan!$K:$K, $B77),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78" s="76" cm="1">
        <f t="array" ref="X78">_xlfn.LET(
  _xlpm.act,   cronograma!$C77,
  _xlpm.fecha, cronograma!X$4,
  _xlpm.ini,   INDEX(plan!$J:$J, $B77),
  _xlpm.fin,   INDEX(plan!$K:$K, $B77),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78" s="76" cm="1">
        <f t="array" ref="Y78">_xlfn.LET(
  _xlpm.act,   cronograma!$C77,
  _xlpm.fecha, cronograma!Y$4,
  _xlpm.ini,   INDEX(plan!$J:$J, $B77),
  _xlpm.fin,   INDEX(plan!$K:$K, $B77),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78" s="77" cm="1">
        <f t="array" ref="Z78">_xlfn.LET(
  _xlpm.act,   cronograma!$C77,
  _xlpm.fecha, cronograma!Z$4,
  _xlpm.ini,   INDEX(plan!$J:$J, $B77),
  _xlpm.fin,   INDEX(plan!$K:$K, $B77),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78" s="75" cm="1">
        <f t="array" ref="AA78">_xlfn.LET(
  _xlpm.act,   cronograma!$C77,
  _xlpm.fecha, cronograma!AA$4,
  _xlpm.ini,   INDEX(plan!$J:$J, $B77),
  _xlpm.fin,   INDEX(plan!$K:$K, $B77),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78" s="76" cm="1">
        <f t="array" ref="AB78">_xlfn.LET(
  _xlpm.act,   cronograma!$C77,
  _xlpm.fecha, cronograma!AB$4,
  _xlpm.ini,   INDEX(plan!$J:$J, $B77),
  _xlpm.fin,   INDEX(plan!$K:$K, $B77),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78" s="76" cm="1">
        <f t="array" ref="AC78">_xlfn.LET(
  _xlpm.act,   cronograma!$C77,
  _xlpm.fecha, cronograma!AC$4,
  _xlpm.ini,   INDEX(plan!$J:$J, $B77),
  _xlpm.fin,   INDEX(plan!$K:$K, $B77),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78" s="76" cm="1">
        <f t="array" ref="AD78">_xlfn.LET(
  _xlpm.act,   cronograma!$C77,
  _xlpm.fecha, cronograma!AD$4,
  _xlpm.ini,   INDEX(plan!$J:$J, $B77),
  _xlpm.fin,   INDEX(plan!$K:$K, $B77),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78" s="76" cm="1">
        <f t="array" ref="AE78">_xlfn.LET(
  _xlpm.act,   cronograma!$C77,
  _xlpm.fecha, cronograma!AE$4,
  _xlpm.ini,   INDEX(plan!$J:$J, $B77),
  _xlpm.fin,   INDEX(plan!$K:$K, $B77),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78" s="76" cm="1">
        <f t="array" ref="AF78">_xlfn.LET(
  _xlpm.act,   cronograma!$C77,
  _xlpm.fecha, cronograma!AF$4,
  _xlpm.ini,   INDEX(plan!$J:$J, $B77),
  _xlpm.fin,   INDEX(plan!$K:$K, $B77),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78" s="77" cm="1">
        <f t="array" ref="AG78">_xlfn.LET(
  _xlpm.act,   cronograma!$C77,
  _xlpm.fecha, cronograma!AG$4,
  _xlpm.ini,   INDEX(plan!$J:$J, $B77),
  _xlpm.fin,   INDEX(plan!$K:$K, $B77),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78" s="75" cm="1">
        <f t="array" ref="AH78">_xlfn.LET(
  _xlpm.act,   cronograma!$C77,
  _xlpm.fecha, cronograma!AH$4,
  _xlpm.ini,   INDEX(plan!$J:$J, $B77),
  _xlpm.fin,   INDEX(plan!$K:$K, $B77),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78" s="76" cm="1">
        <f t="array" ref="AI78">_xlfn.LET(
  _xlpm.act,   cronograma!$C77,
  _xlpm.fecha, cronograma!AI$4,
  _xlpm.ini,   INDEX(plan!$J:$J, $B77),
  _xlpm.fin,   INDEX(plan!$K:$K, $B77),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78" s="76" cm="1">
        <f t="array" ref="AJ78">_xlfn.LET(
  _xlpm.act,   cronograma!$C77,
  _xlpm.fecha, cronograma!AJ$4,
  _xlpm.ini,   INDEX(plan!$J:$J, $B77),
  _xlpm.fin,   INDEX(plan!$K:$K, $B77),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78" s="76" cm="1">
        <f t="array" ref="AK78">_xlfn.LET(
  _xlpm.act,   cronograma!$C77,
  _xlpm.fecha, cronograma!AK$4,
  _xlpm.ini,   INDEX(plan!$J:$J, $B77),
  _xlpm.fin,   INDEX(plan!$K:$K, $B77),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78" s="76" cm="1">
        <f t="array" ref="AL78">_xlfn.LET(
  _xlpm.act,   cronograma!$C77,
  _xlpm.fecha, cronograma!AL$4,
  _xlpm.ini,   INDEX(plan!$J:$J, $B77),
  _xlpm.fin,   INDEX(plan!$K:$K, $B77),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78" s="76" cm="1">
        <f t="array" ref="AM78">_xlfn.LET(
  _xlpm.act,   cronograma!$C77,
  _xlpm.fecha, cronograma!AM$4,
  _xlpm.ini,   INDEX(plan!$J:$J, $B77),
  _xlpm.fin,   INDEX(plan!$K:$K, $B77),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78" s="77" cm="1">
        <f t="array" ref="AN78">_xlfn.LET(
  _xlpm.act,   cronograma!$C77,
  _xlpm.fecha, cronograma!AN$4,
  _xlpm.ini,   INDEX(plan!$J:$J, $B77),
  _xlpm.fin,   INDEX(plan!$K:$K, $B77),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O78" s="75"/>
      <c r="AP78" s="76"/>
      <c r="AQ78" s="76"/>
      <c r="AR78" s="76"/>
      <c r="AS78" s="76"/>
      <c r="AT78" s="76"/>
      <c r="AU78" s="77"/>
    </row>
    <row r="79" spans="1:47" ht="12.95" hidden="1" customHeight="1" x14ac:dyDescent="0.3">
      <c r="A79" s="36"/>
      <c r="B79" s="301">
        <f>plan!B41</f>
        <v>41</v>
      </c>
      <c r="C79" s="274">
        <f>plan!C41</f>
        <v>0</v>
      </c>
      <c r="D79" s="278" cm="1">
        <f t="array" ref="D79">INDEX(plan!$I:$I, $B79)</f>
        <v>0</v>
      </c>
      <c r="E79" s="276" cm="1">
        <f t="array" ref="E79">INDEX(plan!$U:$U, $B79)</f>
        <v>0</v>
      </c>
      <c r="F79" s="74" cm="1">
        <f t="array" ref="F79">IF(AND(F$4&gt;=INDEX(plan!$J:$J, $B79), F$4&lt;=INDEX(plan!$K:$K, $B79)),1,0)</f>
        <v>0</v>
      </c>
      <c r="G79" s="78" cm="1">
        <f t="array" ref="G79">IF(AND(G$4&gt;=INDEX(plan!$J:$J, $B79), G$4&lt;=INDEX(plan!$K:$K, $B79)),1,0)</f>
        <v>0</v>
      </c>
      <c r="H79" s="78" cm="1">
        <f t="array" ref="H79">IF(AND(H$4&gt;=INDEX(plan!$J:$J, $B79), H$4&lt;=INDEX(plan!$K:$K, $B79)),1,0)</f>
        <v>0</v>
      </c>
      <c r="I79" s="78" cm="1">
        <f t="array" ref="I79">IF(AND(I$4&gt;=INDEX(plan!$J:$J, $B79), I$4&lt;=INDEX(plan!$K:$K, $B79)),1,0)</f>
        <v>0</v>
      </c>
      <c r="J79" s="78" cm="1">
        <f t="array" ref="J79">IF(AND(J$4&gt;=INDEX(plan!$J:$J, $B79), J$4&lt;=INDEX(plan!$K:$K, $B79)),1,0)</f>
        <v>0</v>
      </c>
      <c r="K79" s="78" cm="1">
        <f t="array" ref="K79">IF(AND(K$4&gt;=INDEX(plan!$J:$J, $B79), K$4&lt;=INDEX(plan!$K:$K, $B79)),1,0)</f>
        <v>0</v>
      </c>
      <c r="L79" s="79" cm="1">
        <f t="array" ref="L79">IF(AND(L$4&gt;=INDEX(plan!$J:$J, $B79), L$4&lt;=INDEX(plan!$K:$K, $B79)),1,0)</f>
        <v>0</v>
      </c>
      <c r="M79" s="74" cm="1">
        <f t="array" ref="M79">IF(AND(M$4&gt;=INDEX(plan!$J:$J, $B79), M$4&lt;=INDEX(plan!$K:$K, $B79)),1,0)</f>
        <v>0</v>
      </c>
      <c r="N79" s="78" cm="1">
        <f t="array" ref="N79">IF(AND(N$4&gt;=INDEX(plan!$J:$J, $B79), N$4&lt;=INDEX(plan!$K:$K, $B79)),1,0)</f>
        <v>0</v>
      </c>
      <c r="O79" s="78" cm="1">
        <f t="array" ref="O79">IF(AND(O$4&gt;=INDEX(plan!$J:$J, $B79), O$4&lt;=INDEX(plan!$K:$K, $B79)),1,0)</f>
        <v>0</v>
      </c>
      <c r="P79" s="78" cm="1">
        <f t="array" ref="P79">IF(AND(P$4&gt;=INDEX(plan!$J:$J, $B79), P$4&lt;=INDEX(plan!$K:$K, $B79)),1,0)</f>
        <v>0</v>
      </c>
      <c r="Q79" s="78" cm="1">
        <f t="array" ref="Q79">IF(AND(Q$4&gt;=INDEX(plan!$J:$J, $B79), Q$4&lt;=INDEX(plan!$K:$K, $B79)),1,0)</f>
        <v>0</v>
      </c>
      <c r="R79" s="78" cm="1">
        <f t="array" ref="R79">IF(AND(R$4&gt;=INDEX(plan!$J:$J, $B79), R$4&lt;=INDEX(plan!$K:$K, $B79)),1,0)</f>
        <v>0</v>
      </c>
      <c r="S79" s="79" cm="1">
        <f t="array" ref="S79">IF(AND(S$4&gt;=INDEX(plan!$J:$J, $B79), S$4&lt;=INDEX(plan!$K:$K, $B79)),1,0)</f>
        <v>0</v>
      </c>
      <c r="T79" s="74" cm="1">
        <f t="array" ref="T79">IF(AND(T$4&gt;=INDEX(plan!$J:$J, $B79), T$4&lt;=INDEX(plan!$K:$K, $B79)),1,0)</f>
        <v>0</v>
      </c>
      <c r="U79" s="78" cm="1">
        <f t="array" ref="U79">IF(AND(U$4&gt;=INDEX(plan!$J:$J, $B79), U$4&lt;=INDEX(plan!$K:$K, $B79)),1,0)</f>
        <v>0</v>
      </c>
      <c r="V79" s="78" cm="1">
        <f t="array" ref="V79">IF(AND(V$4&gt;=INDEX(plan!$J:$J, $B79), V$4&lt;=INDEX(plan!$K:$K, $B79)),1,0)</f>
        <v>0</v>
      </c>
      <c r="W79" s="78" cm="1">
        <f t="array" ref="W79">IF(AND(W$4&gt;=INDEX(plan!$J:$J, $B79), W$4&lt;=INDEX(plan!$K:$K, $B79)),1,0)</f>
        <v>0</v>
      </c>
      <c r="X79" s="78" cm="1">
        <f t="array" ref="X79">IF(AND(X$4&gt;=INDEX(plan!$J:$J, $B79), X$4&lt;=INDEX(plan!$K:$K, $B79)),1,0)</f>
        <v>0</v>
      </c>
      <c r="Y79" s="78" cm="1">
        <f t="array" ref="Y79">IF(AND(Y$4&gt;=INDEX(plan!$J:$J, $B79), Y$4&lt;=INDEX(plan!$K:$K, $B79)),1,0)</f>
        <v>0</v>
      </c>
      <c r="Z79" s="79" cm="1">
        <f t="array" ref="Z79">IF(AND(Z$4&gt;=INDEX(plan!$J:$J, $B79), Z$4&lt;=INDEX(plan!$K:$K, $B79)),1,0)</f>
        <v>0</v>
      </c>
      <c r="AA79" s="74" cm="1">
        <f t="array" ref="AA79">IF(AND(AA$4&gt;=INDEX(plan!$J:$J, $B79), AA$4&lt;=INDEX(plan!$K:$K, $B79)),1,0)</f>
        <v>0</v>
      </c>
      <c r="AB79" s="78" cm="1">
        <f t="array" ref="AB79">IF(AND(AB$4&gt;=INDEX(plan!$J:$J, $B79), AB$4&lt;=INDEX(plan!$K:$K, $B79)),1,0)</f>
        <v>0</v>
      </c>
      <c r="AC79" s="78" cm="1">
        <f t="array" ref="AC79">IF(AND(AC$4&gt;=INDEX(plan!$J:$J, $B79), AC$4&lt;=INDEX(plan!$K:$K, $B79)),1,0)</f>
        <v>0</v>
      </c>
      <c r="AD79" s="78" cm="1">
        <f t="array" ref="AD79">IF(AND(AD$4&gt;=INDEX(plan!$J:$J, $B79), AD$4&lt;=INDEX(plan!$K:$K, $B79)),1,0)</f>
        <v>0</v>
      </c>
      <c r="AE79" s="78" cm="1">
        <f t="array" ref="AE79">IF(AND(AE$4&gt;=INDEX(plan!$J:$J, $B79), AE$4&lt;=INDEX(plan!$K:$K, $B79)),1,0)</f>
        <v>0</v>
      </c>
      <c r="AF79" s="78" cm="1">
        <f t="array" ref="AF79">IF(AND(AF$4&gt;=INDEX(plan!$J:$J, $B79), AF$4&lt;=INDEX(plan!$K:$K, $B79)),1,0)</f>
        <v>0</v>
      </c>
      <c r="AG79" s="79" cm="1">
        <f t="array" ref="AG79">IF(AND(AG$4&gt;=INDEX(plan!$J:$J, $B79), AG$4&lt;=INDEX(plan!$K:$K, $B79)),1,0)</f>
        <v>0</v>
      </c>
      <c r="AH79" s="74" cm="1">
        <f t="array" ref="AH79">IF(AND(AH$4&gt;=INDEX(plan!$J:$J, $B79), AH$4&lt;=INDEX(plan!$K:$K, $B79)),1,0)</f>
        <v>0</v>
      </c>
      <c r="AI79" s="78" cm="1">
        <f t="array" ref="AI79">IF(AND(AI$4&gt;=INDEX(plan!$J:$J, $B79), AI$4&lt;=INDEX(plan!$K:$K, $B79)),1,0)</f>
        <v>0</v>
      </c>
      <c r="AJ79" s="78" cm="1">
        <f t="array" ref="AJ79">IF(AND(AJ$4&gt;=INDEX(plan!$J:$J, $B79), AJ$4&lt;=INDEX(plan!$K:$K, $B79)),1,0)</f>
        <v>0</v>
      </c>
      <c r="AK79" s="78" cm="1">
        <f t="array" ref="AK79">IF(AND(AK$4&gt;=INDEX(plan!$J:$J, $B79), AK$4&lt;=INDEX(plan!$K:$K, $B79)),1,0)</f>
        <v>0</v>
      </c>
      <c r="AL79" s="78" cm="1">
        <f t="array" ref="AL79">IF(AND(AL$4&gt;=INDEX(plan!$J:$J, $B79), AL$4&lt;=INDEX(plan!$K:$K, $B79)),1,0)</f>
        <v>0</v>
      </c>
      <c r="AM79" s="78" cm="1">
        <f t="array" ref="AM79">IF(AND(AM$4&gt;=INDEX(plan!$J:$J, $B79), AM$4&lt;=INDEX(plan!$K:$K, $B79)),1,0)</f>
        <v>0</v>
      </c>
      <c r="AN79" s="79" cm="1">
        <f t="array" ref="AN79">IF(AND(AN$4&gt;=INDEX(plan!$J:$J, $B79), AN$4&lt;=INDEX(plan!$K:$K, $B79)),1,0)</f>
        <v>0</v>
      </c>
      <c r="AO79" s="74"/>
      <c r="AP79" s="78"/>
      <c r="AQ79" s="78"/>
      <c r="AR79" s="78"/>
      <c r="AS79" s="78"/>
      <c r="AT79" s="78"/>
      <c r="AU79" s="79"/>
    </row>
    <row r="80" spans="1:47" ht="12.95" hidden="1" customHeight="1" x14ac:dyDescent="0.3">
      <c r="A80" s="36"/>
      <c r="B80" s="300"/>
      <c r="C80" s="275"/>
      <c r="D80" s="279"/>
      <c r="E80" s="277"/>
      <c r="F80" s="75" cm="1">
        <f t="array" ref="F80">_xlfn.LET(
  _xlpm.act,   cronograma!$C79,
  _xlpm.fecha, cronograma!F$4,
  _xlpm.ini,   INDEX(plan!$J:$J, $B79),
  _xlpm.fin,   INDEX(plan!$K:$K, $B79),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80" s="76" cm="1">
        <f t="array" ref="G80">_xlfn.LET(
  _xlpm.act,   cronograma!$C79,
  _xlpm.fecha, cronograma!G$4,
  _xlpm.ini,   INDEX(plan!$J:$J, $B79),
  _xlpm.fin,   INDEX(plan!$K:$K, $B79),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80" s="76" cm="1">
        <f t="array" ref="H80">_xlfn.LET(
  _xlpm.act,   cronograma!$C79,
  _xlpm.fecha, cronograma!H$4,
  _xlpm.ini,   INDEX(plan!$J:$J, $B79),
  _xlpm.fin,   INDEX(plan!$K:$K, $B79),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80" s="76" cm="1">
        <f t="array" ref="I80">_xlfn.LET(
  _xlpm.act,   cronograma!$C79,
  _xlpm.fecha, cronograma!I$4,
  _xlpm.ini,   INDEX(plan!$J:$J, $B79),
  _xlpm.fin,   INDEX(plan!$K:$K, $B79),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80" s="76" cm="1">
        <f t="array" ref="J80">_xlfn.LET(
  _xlpm.act,   cronograma!$C79,
  _xlpm.fecha, cronograma!J$4,
  _xlpm.ini,   INDEX(plan!$J:$J, $B79),
  _xlpm.fin,   INDEX(plan!$K:$K, $B79),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80" s="76" cm="1">
        <f t="array" ref="K80">_xlfn.LET(
  _xlpm.act,   cronograma!$C79,
  _xlpm.fecha, cronograma!K$4,
  _xlpm.ini,   INDEX(plan!$J:$J, $B79),
  _xlpm.fin,   INDEX(plan!$K:$K, $B79),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80" s="77" cm="1">
        <f t="array" ref="L80">_xlfn.LET(
  _xlpm.act,   cronograma!$C79,
  _xlpm.fecha, cronograma!L$4,
  _xlpm.ini,   INDEX(plan!$J:$J, $B79),
  _xlpm.fin,   INDEX(plan!$K:$K, $B79),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80" s="75" cm="1">
        <f t="array" ref="M80">_xlfn.LET(
  _xlpm.act,   cronograma!$C79,
  _xlpm.fecha, cronograma!M$4,
  _xlpm.ini,   INDEX(plan!$J:$J, $B79),
  _xlpm.fin,   INDEX(plan!$K:$K, $B79),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80" s="76" cm="1">
        <f t="array" ref="N80">_xlfn.LET(
  _xlpm.act,   cronograma!$C79,
  _xlpm.fecha, cronograma!N$4,
  _xlpm.ini,   INDEX(plan!$J:$J, $B79),
  _xlpm.fin,   INDEX(plan!$K:$K, $B79),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80" s="76" cm="1">
        <f t="array" ref="O80">_xlfn.LET(
  _xlpm.act,   cronograma!$C79,
  _xlpm.fecha, cronograma!O$4,
  _xlpm.ini,   INDEX(plan!$J:$J, $B79),
  _xlpm.fin,   INDEX(plan!$K:$K, $B79),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80" s="76" cm="1">
        <f t="array" ref="P80">_xlfn.LET(
  _xlpm.act,   cronograma!$C79,
  _xlpm.fecha, cronograma!P$4,
  _xlpm.ini,   INDEX(plan!$J:$J, $B79),
  _xlpm.fin,   INDEX(plan!$K:$K, $B79),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80" s="76" cm="1">
        <f t="array" ref="Q80">_xlfn.LET(
  _xlpm.act,   cronograma!$C79,
  _xlpm.fecha, cronograma!Q$4,
  _xlpm.ini,   INDEX(plan!$J:$J, $B79),
  _xlpm.fin,   INDEX(plan!$K:$K, $B79),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80" s="76" cm="1">
        <f t="array" ref="R80">_xlfn.LET(
  _xlpm.act,   cronograma!$C79,
  _xlpm.fecha, cronograma!R$4,
  _xlpm.ini,   INDEX(plan!$J:$J, $B79),
  _xlpm.fin,   INDEX(plan!$K:$K, $B79),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80" s="77" cm="1">
        <f t="array" ref="S80">_xlfn.LET(
  _xlpm.act,   cronograma!$C79,
  _xlpm.fecha, cronograma!S$4,
  _xlpm.ini,   INDEX(plan!$J:$J, $B79),
  _xlpm.fin,   INDEX(plan!$K:$K, $B79),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80" s="75" cm="1">
        <f t="array" ref="T80">_xlfn.LET(
  _xlpm.act,   cronograma!$C79,
  _xlpm.fecha, cronograma!T$4,
  _xlpm.ini,   INDEX(plan!$J:$J, $B79),
  _xlpm.fin,   INDEX(plan!$K:$K, $B79),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80" s="76" cm="1">
        <f t="array" ref="U80">_xlfn.LET(
  _xlpm.act,   cronograma!$C79,
  _xlpm.fecha, cronograma!U$4,
  _xlpm.ini,   INDEX(plan!$J:$J, $B79),
  _xlpm.fin,   INDEX(plan!$K:$K, $B79),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80" s="76" cm="1">
        <f t="array" ref="V80">_xlfn.LET(
  _xlpm.act,   cronograma!$C79,
  _xlpm.fecha, cronograma!V$4,
  _xlpm.ini,   INDEX(plan!$J:$J, $B79),
  _xlpm.fin,   INDEX(plan!$K:$K, $B79),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80" s="76" cm="1">
        <f t="array" ref="W80">_xlfn.LET(
  _xlpm.act,   cronograma!$C79,
  _xlpm.fecha, cronograma!W$4,
  _xlpm.ini,   INDEX(plan!$J:$J, $B79),
  _xlpm.fin,   INDEX(plan!$K:$K, $B79),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80" s="76" cm="1">
        <f t="array" ref="X80">_xlfn.LET(
  _xlpm.act,   cronograma!$C79,
  _xlpm.fecha, cronograma!X$4,
  _xlpm.ini,   INDEX(plan!$J:$J, $B79),
  _xlpm.fin,   INDEX(plan!$K:$K, $B79),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80" s="76" cm="1">
        <f t="array" ref="Y80">_xlfn.LET(
  _xlpm.act,   cronograma!$C79,
  _xlpm.fecha, cronograma!Y$4,
  _xlpm.ini,   INDEX(plan!$J:$J, $B79),
  _xlpm.fin,   INDEX(plan!$K:$K, $B79),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80" s="77" cm="1">
        <f t="array" ref="Z80">_xlfn.LET(
  _xlpm.act,   cronograma!$C79,
  _xlpm.fecha, cronograma!Z$4,
  _xlpm.ini,   INDEX(plan!$J:$J, $B79),
  _xlpm.fin,   INDEX(plan!$K:$K, $B79),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80" s="75" cm="1">
        <f t="array" ref="AA80">_xlfn.LET(
  _xlpm.act,   cronograma!$C79,
  _xlpm.fecha, cronograma!AA$4,
  _xlpm.ini,   INDEX(plan!$J:$J, $B79),
  _xlpm.fin,   INDEX(plan!$K:$K, $B79),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80" s="76" cm="1">
        <f t="array" ref="AB80">_xlfn.LET(
  _xlpm.act,   cronograma!$C79,
  _xlpm.fecha, cronograma!AB$4,
  _xlpm.ini,   INDEX(plan!$J:$J, $B79),
  _xlpm.fin,   INDEX(plan!$K:$K, $B79),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80" s="76" cm="1">
        <f t="array" ref="AC80">_xlfn.LET(
  _xlpm.act,   cronograma!$C79,
  _xlpm.fecha, cronograma!AC$4,
  _xlpm.ini,   INDEX(plan!$J:$J, $B79),
  _xlpm.fin,   INDEX(plan!$K:$K, $B79),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80" s="76" cm="1">
        <f t="array" ref="AD80">_xlfn.LET(
  _xlpm.act,   cronograma!$C79,
  _xlpm.fecha, cronograma!AD$4,
  _xlpm.ini,   INDEX(plan!$J:$J, $B79),
  _xlpm.fin,   INDEX(plan!$K:$K, $B79),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80" s="76" cm="1">
        <f t="array" ref="AE80">_xlfn.LET(
  _xlpm.act,   cronograma!$C79,
  _xlpm.fecha, cronograma!AE$4,
  _xlpm.ini,   INDEX(plan!$J:$J, $B79),
  _xlpm.fin,   INDEX(plan!$K:$K, $B79),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80" s="76" cm="1">
        <f t="array" ref="AF80">_xlfn.LET(
  _xlpm.act,   cronograma!$C79,
  _xlpm.fecha, cronograma!AF$4,
  _xlpm.ini,   INDEX(plan!$J:$J, $B79),
  _xlpm.fin,   INDEX(plan!$K:$K, $B79),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80" s="77" cm="1">
        <f t="array" ref="AG80">_xlfn.LET(
  _xlpm.act,   cronograma!$C79,
  _xlpm.fecha, cronograma!AG$4,
  _xlpm.ini,   INDEX(plan!$J:$J, $B79),
  _xlpm.fin,   INDEX(plan!$K:$K, $B79),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80" s="75" cm="1">
        <f t="array" ref="AH80">_xlfn.LET(
  _xlpm.act,   cronograma!$C79,
  _xlpm.fecha, cronograma!AH$4,
  _xlpm.ini,   INDEX(plan!$J:$J, $B79),
  _xlpm.fin,   INDEX(plan!$K:$K, $B79),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80" s="76" cm="1">
        <f t="array" ref="AI80">_xlfn.LET(
  _xlpm.act,   cronograma!$C79,
  _xlpm.fecha, cronograma!AI$4,
  _xlpm.ini,   INDEX(plan!$J:$J, $B79),
  _xlpm.fin,   INDEX(plan!$K:$K, $B79),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80" s="76" cm="1">
        <f t="array" ref="AJ80">_xlfn.LET(
  _xlpm.act,   cronograma!$C79,
  _xlpm.fecha, cronograma!AJ$4,
  _xlpm.ini,   INDEX(plan!$J:$J, $B79),
  _xlpm.fin,   INDEX(plan!$K:$K, $B79),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80" s="76" cm="1">
        <f t="array" ref="AK80">_xlfn.LET(
  _xlpm.act,   cronograma!$C79,
  _xlpm.fecha, cronograma!AK$4,
  _xlpm.ini,   INDEX(plan!$J:$J, $B79),
  _xlpm.fin,   INDEX(plan!$K:$K, $B79),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80" s="76" cm="1">
        <f t="array" ref="AL80">_xlfn.LET(
  _xlpm.act,   cronograma!$C79,
  _xlpm.fecha, cronograma!AL$4,
  _xlpm.ini,   INDEX(plan!$J:$J, $B79),
  _xlpm.fin,   INDEX(plan!$K:$K, $B79),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80" s="76" cm="1">
        <f t="array" ref="AM80">_xlfn.LET(
  _xlpm.act,   cronograma!$C79,
  _xlpm.fecha, cronograma!AM$4,
  _xlpm.ini,   INDEX(plan!$J:$J, $B79),
  _xlpm.fin,   INDEX(plan!$K:$K, $B79),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80" s="77" cm="1">
        <f t="array" ref="AN80">_xlfn.LET(
  _xlpm.act,   cronograma!$C79,
  _xlpm.fecha, cronograma!AN$4,
  _xlpm.ini,   INDEX(plan!$J:$J, $B79),
  _xlpm.fin,   INDEX(plan!$K:$K, $B79),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O80" s="75"/>
      <c r="AP80" s="76"/>
      <c r="AQ80" s="76"/>
      <c r="AR80" s="76"/>
      <c r="AS80" s="76"/>
      <c r="AT80" s="76"/>
      <c r="AU80" s="77"/>
    </row>
    <row r="81" spans="1:47" ht="12.95" hidden="1" customHeight="1" x14ac:dyDescent="0.3">
      <c r="A81" s="36"/>
      <c r="B81" s="301">
        <f>plan!B42</f>
        <v>42</v>
      </c>
      <c r="C81" s="274">
        <f>plan!C42</f>
        <v>0</v>
      </c>
      <c r="D81" s="278" cm="1">
        <f t="array" ref="D81">INDEX(plan!$I:$I, $B81)</f>
        <v>0</v>
      </c>
      <c r="E81" s="276" cm="1">
        <f t="array" ref="E81">INDEX(plan!$U:$U, $B81)</f>
        <v>0</v>
      </c>
      <c r="F81" s="74" cm="1">
        <f t="array" ref="F81">IF(AND(F$4&gt;=INDEX(plan!$J:$J, $B81), F$4&lt;=INDEX(plan!$K:$K, $B81)),1,0)</f>
        <v>0</v>
      </c>
      <c r="G81" s="78" cm="1">
        <f t="array" ref="G81">IF(AND(G$4&gt;=INDEX(plan!$J:$J, $B81), G$4&lt;=INDEX(plan!$K:$K, $B81)),1,0)</f>
        <v>0</v>
      </c>
      <c r="H81" s="78" cm="1">
        <f t="array" ref="H81">IF(AND(H$4&gt;=INDEX(plan!$J:$J, $B81), H$4&lt;=INDEX(plan!$K:$K, $B81)),1,0)</f>
        <v>0</v>
      </c>
      <c r="I81" s="78" cm="1">
        <f t="array" ref="I81">IF(AND(I$4&gt;=INDEX(plan!$J:$J, $B81), I$4&lt;=INDEX(plan!$K:$K, $B81)),1,0)</f>
        <v>0</v>
      </c>
      <c r="J81" s="78" cm="1">
        <f t="array" ref="J81">IF(AND(J$4&gt;=INDEX(plan!$J:$J, $B81), J$4&lt;=INDEX(plan!$K:$K, $B81)),1,0)</f>
        <v>0</v>
      </c>
      <c r="K81" s="78" cm="1">
        <f t="array" ref="K81">IF(AND(K$4&gt;=INDEX(plan!$J:$J, $B81), K$4&lt;=INDEX(plan!$K:$K, $B81)),1,0)</f>
        <v>0</v>
      </c>
      <c r="L81" s="79" cm="1">
        <f t="array" ref="L81">IF(AND(L$4&gt;=INDEX(plan!$J:$J, $B81), L$4&lt;=INDEX(plan!$K:$K, $B81)),1,0)</f>
        <v>0</v>
      </c>
      <c r="M81" s="74" cm="1">
        <f t="array" ref="M81">IF(AND(M$4&gt;=INDEX(plan!$J:$J, $B81), M$4&lt;=INDEX(plan!$K:$K, $B81)),1,0)</f>
        <v>0</v>
      </c>
      <c r="N81" s="78" cm="1">
        <f t="array" ref="N81">IF(AND(N$4&gt;=INDEX(plan!$J:$J, $B81), N$4&lt;=INDEX(plan!$K:$K, $B81)),1,0)</f>
        <v>0</v>
      </c>
      <c r="O81" s="78" cm="1">
        <f t="array" ref="O81">IF(AND(O$4&gt;=INDEX(plan!$J:$J, $B81), O$4&lt;=INDEX(plan!$K:$K, $B81)),1,0)</f>
        <v>0</v>
      </c>
      <c r="P81" s="78" cm="1">
        <f t="array" ref="P81">IF(AND(P$4&gt;=INDEX(plan!$J:$J, $B81), P$4&lt;=INDEX(plan!$K:$K, $B81)),1,0)</f>
        <v>0</v>
      </c>
      <c r="Q81" s="78" cm="1">
        <f t="array" ref="Q81">IF(AND(Q$4&gt;=INDEX(plan!$J:$J, $B81), Q$4&lt;=INDEX(plan!$K:$K, $B81)),1,0)</f>
        <v>0</v>
      </c>
      <c r="R81" s="78" cm="1">
        <f t="array" ref="R81">IF(AND(R$4&gt;=INDEX(plan!$J:$J, $B81), R$4&lt;=INDEX(plan!$K:$K, $B81)),1,0)</f>
        <v>0</v>
      </c>
      <c r="S81" s="79" cm="1">
        <f t="array" ref="S81">IF(AND(S$4&gt;=INDEX(plan!$J:$J, $B81), S$4&lt;=INDEX(plan!$K:$K, $B81)),1,0)</f>
        <v>0</v>
      </c>
      <c r="T81" s="74" cm="1">
        <f t="array" ref="T81">IF(AND(T$4&gt;=INDEX(plan!$J:$J, $B81), T$4&lt;=INDEX(plan!$K:$K, $B81)),1,0)</f>
        <v>0</v>
      </c>
      <c r="U81" s="78" cm="1">
        <f t="array" ref="U81">IF(AND(U$4&gt;=INDEX(plan!$J:$J, $B81), U$4&lt;=INDEX(plan!$K:$K, $B81)),1,0)</f>
        <v>0</v>
      </c>
      <c r="V81" s="78" cm="1">
        <f t="array" ref="V81">IF(AND(V$4&gt;=INDEX(plan!$J:$J, $B81), V$4&lt;=INDEX(plan!$K:$K, $B81)),1,0)</f>
        <v>0</v>
      </c>
      <c r="W81" s="78" cm="1">
        <f t="array" ref="W81">IF(AND(W$4&gt;=INDEX(plan!$J:$J, $B81), W$4&lt;=INDEX(plan!$K:$K, $B81)),1,0)</f>
        <v>0</v>
      </c>
      <c r="X81" s="78" cm="1">
        <f t="array" ref="X81">IF(AND(X$4&gt;=INDEX(plan!$J:$J, $B81), X$4&lt;=INDEX(plan!$K:$K, $B81)),1,0)</f>
        <v>0</v>
      </c>
      <c r="Y81" s="78" cm="1">
        <f t="array" ref="Y81">IF(AND(Y$4&gt;=INDEX(plan!$J:$J, $B81), Y$4&lt;=INDEX(plan!$K:$K, $B81)),1,0)</f>
        <v>0</v>
      </c>
      <c r="Z81" s="79" cm="1">
        <f t="array" ref="Z81">IF(AND(Z$4&gt;=INDEX(plan!$J:$J, $B81), Z$4&lt;=INDEX(plan!$K:$K, $B81)),1,0)</f>
        <v>0</v>
      </c>
      <c r="AA81" s="74" cm="1">
        <f t="array" ref="AA81">IF(AND(AA$4&gt;=INDEX(plan!$J:$J, $B81), AA$4&lt;=INDEX(plan!$K:$K, $B81)),1,0)</f>
        <v>0</v>
      </c>
      <c r="AB81" s="78" cm="1">
        <f t="array" ref="AB81">IF(AND(AB$4&gt;=INDEX(plan!$J:$J, $B81), AB$4&lt;=INDEX(plan!$K:$K, $B81)),1,0)</f>
        <v>0</v>
      </c>
      <c r="AC81" s="78" cm="1">
        <f t="array" ref="AC81">IF(AND(AC$4&gt;=INDEX(plan!$J:$J, $B81), AC$4&lt;=INDEX(plan!$K:$K, $B81)),1,0)</f>
        <v>0</v>
      </c>
      <c r="AD81" s="78" cm="1">
        <f t="array" ref="AD81">IF(AND(AD$4&gt;=INDEX(plan!$J:$J, $B81), AD$4&lt;=INDEX(plan!$K:$K, $B81)),1,0)</f>
        <v>0</v>
      </c>
      <c r="AE81" s="78" cm="1">
        <f t="array" ref="AE81">IF(AND(AE$4&gt;=INDEX(plan!$J:$J, $B81), AE$4&lt;=INDEX(plan!$K:$K, $B81)),1,0)</f>
        <v>0</v>
      </c>
      <c r="AF81" s="78" cm="1">
        <f t="array" ref="AF81">IF(AND(AF$4&gt;=INDEX(plan!$J:$J, $B81), AF$4&lt;=INDEX(plan!$K:$K, $B81)),1,0)</f>
        <v>0</v>
      </c>
      <c r="AG81" s="79" cm="1">
        <f t="array" ref="AG81">IF(AND(AG$4&gt;=INDEX(plan!$J:$J, $B81), AG$4&lt;=INDEX(plan!$K:$K, $B81)),1,0)</f>
        <v>0</v>
      </c>
      <c r="AH81" s="74" cm="1">
        <f t="array" ref="AH81">IF(AND(AH$4&gt;=INDEX(plan!$J:$J, $B81), AH$4&lt;=INDEX(plan!$K:$K, $B81)),1,0)</f>
        <v>0</v>
      </c>
      <c r="AI81" s="78" cm="1">
        <f t="array" ref="AI81">IF(AND(AI$4&gt;=INDEX(plan!$J:$J, $B81), AI$4&lt;=INDEX(plan!$K:$K, $B81)),1,0)</f>
        <v>0</v>
      </c>
      <c r="AJ81" s="78" cm="1">
        <f t="array" ref="AJ81">IF(AND(AJ$4&gt;=INDEX(plan!$J:$J, $B81), AJ$4&lt;=INDEX(plan!$K:$K, $B81)),1,0)</f>
        <v>0</v>
      </c>
      <c r="AK81" s="78" cm="1">
        <f t="array" ref="AK81">IF(AND(AK$4&gt;=INDEX(plan!$J:$J, $B81), AK$4&lt;=INDEX(plan!$K:$K, $B81)),1,0)</f>
        <v>0</v>
      </c>
      <c r="AL81" s="78" cm="1">
        <f t="array" ref="AL81">IF(AND(AL$4&gt;=INDEX(plan!$J:$J, $B81), AL$4&lt;=INDEX(plan!$K:$K, $B81)),1,0)</f>
        <v>0</v>
      </c>
      <c r="AM81" s="78" cm="1">
        <f t="array" ref="AM81">IF(AND(AM$4&gt;=INDEX(plan!$J:$J, $B81), AM$4&lt;=INDEX(plan!$K:$K, $B81)),1,0)</f>
        <v>0</v>
      </c>
      <c r="AN81" s="79" cm="1">
        <f t="array" ref="AN81">IF(AND(AN$4&gt;=INDEX(plan!$J:$J, $B81), AN$4&lt;=INDEX(plan!$K:$K, $B81)),1,0)</f>
        <v>0</v>
      </c>
      <c r="AO81" s="74"/>
      <c r="AP81" s="78"/>
      <c r="AQ81" s="78"/>
      <c r="AR81" s="78"/>
      <c r="AS81" s="78"/>
      <c r="AT81" s="78"/>
      <c r="AU81" s="79"/>
    </row>
    <row r="82" spans="1:47" ht="12.95" hidden="1" customHeight="1" x14ac:dyDescent="0.3">
      <c r="A82" s="36"/>
      <c r="B82" s="300"/>
      <c r="C82" s="275"/>
      <c r="D82" s="279"/>
      <c r="E82" s="277"/>
      <c r="F82" s="75" cm="1">
        <f t="array" ref="F82">_xlfn.LET(
  _xlpm.act,   cronograma!$C81,
  _xlpm.fecha, cronograma!F$4,
  _xlpm.ini,   INDEX(plan!$J:$J, $B81),
  _xlpm.fin,   INDEX(plan!$K:$K, $B81),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82" s="76" cm="1">
        <f t="array" ref="G82">_xlfn.LET(
  _xlpm.act,   cronograma!$C81,
  _xlpm.fecha, cronograma!G$4,
  _xlpm.ini,   INDEX(plan!$J:$J, $B81),
  _xlpm.fin,   INDEX(plan!$K:$K, $B81),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82" s="76" cm="1">
        <f t="array" ref="H82">_xlfn.LET(
  _xlpm.act,   cronograma!$C81,
  _xlpm.fecha, cronograma!H$4,
  _xlpm.ini,   INDEX(plan!$J:$J, $B81),
  _xlpm.fin,   INDEX(plan!$K:$K, $B81),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82" s="76" cm="1">
        <f t="array" ref="I82">_xlfn.LET(
  _xlpm.act,   cronograma!$C81,
  _xlpm.fecha, cronograma!I$4,
  _xlpm.ini,   INDEX(plan!$J:$J, $B81),
  _xlpm.fin,   INDEX(plan!$K:$K, $B81),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82" s="76" cm="1">
        <f t="array" ref="J82">_xlfn.LET(
  _xlpm.act,   cronograma!$C81,
  _xlpm.fecha, cronograma!J$4,
  _xlpm.ini,   INDEX(plan!$J:$J, $B81),
  _xlpm.fin,   INDEX(plan!$K:$K, $B81),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82" s="76" cm="1">
        <f t="array" ref="K82">_xlfn.LET(
  _xlpm.act,   cronograma!$C81,
  _xlpm.fecha, cronograma!K$4,
  _xlpm.ini,   INDEX(plan!$J:$J, $B81),
  _xlpm.fin,   INDEX(plan!$K:$K, $B81),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82" s="77" cm="1">
        <f t="array" ref="L82">_xlfn.LET(
  _xlpm.act,   cronograma!$C81,
  _xlpm.fecha, cronograma!L$4,
  _xlpm.ini,   INDEX(plan!$J:$J, $B81),
  _xlpm.fin,   INDEX(plan!$K:$K, $B81),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82" s="75" cm="1">
        <f t="array" ref="M82">_xlfn.LET(
  _xlpm.act,   cronograma!$C81,
  _xlpm.fecha, cronograma!M$4,
  _xlpm.ini,   INDEX(plan!$J:$J, $B81),
  _xlpm.fin,   INDEX(plan!$K:$K, $B81),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82" s="76" cm="1">
        <f t="array" ref="N82">_xlfn.LET(
  _xlpm.act,   cronograma!$C81,
  _xlpm.fecha, cronograma!N$4,
  _xlpm.ini,   INDEX(plan!$J:$J, $B81),
  _xlpm.fin,   INDEX(plan!$K:$K, $B81),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82" s="76" cm="1">
        <f t="array" ref="O82">_xlfn.LET(
  _xlpm.act,   cronograma!$C81,
  _xlpm.fecha, cronograma!O$4,
  _xlpm.ini,   INDEX(plan!$J:$J, $B81),
  _xlpm.fin,   INDEX(plan!$K:$K, $B81),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82" s="76" cm="1">
        <f t="array" ref="P82">_xlfn.LET(
  _xlpm.act,   cronograma!$C81,
  _xlpm.fecha, cronograma!P$4,
  _xlpm.ini,   INDEX(plan!$J:$J, $B81),
  _xlpm.fin,   INDEX(plan!$K:$K, $B81),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82" s="76" cm="1">
        <f t="array" ref="Q82">_xlfn.LET(
  _xlpm.act,   cronograma!$C81,
  _xlpm.fecha, cronograma!Q$4,
  _xlpm.ini,   INDEX(plan!$J:$J, $B81),
  _xlpm.fin,   INDEX(plan!$K:$K, $B81),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82" s="76" cm="1">
        <f t="array" ref="R82">_xlfn.LET(
  _xlpm.act,   cronograma!$C81,
  _xlpm.fecha, cronograma!R$4,
  _xlpm.ini,   INDEX(plan!$J:$J, $B81),
  _xlpm.fin,   INDEX(plan!$K:$K, $B81),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82" s="77" cm="1">
        <f t="array" ref="S82">_xlfn.LET(
  _xlpm.act,   cronograma!$C81,
  _xlpm.fecha, cronograma!S$4,
  _xlpm.ini,   INDEX(plan!$J:$J, $B81),
  _xlpm.fin,   INDEX(plan!$K:$K, $B81),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82" s="75" cm="1">
        <f t="array" ref="T82">_xlfn.LET(
  _xlpm.act,   cronograma!$C81,
  _xlpm.fecha, cronograma!T$4,
  _xlpm.ini,   INDEX(plan!$J:$J, $B81),
  _xlpm.fin,   INDEX(plan!$K:$K, $B81),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82" s="76" cm="1">
        <f t="array" ref="U82">_xlfn.LET(
  _xlpm.act,   cronograma!$C81,
  _xlpm.fecha, cronograma!U$4,
  _xlpm.ini,   INDEX(plan!$J:$J, $B81),
  _xlpm.fin,   INDEX(plan!$K:$K, $B81),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82" s="76" cm="1">
        <f t="array" ref="V82">_xlfn.LET(
  _xlpm.act,   cronograma!$C81,
  _xlpm.fecha, cronograma!V$4,
  _xlpm.ini,   INDEX(plan!$J:$J, $B81),
  _xlpm.fin,   INDEX(plan!$K:$K, $B81),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82" s="76" cm="1">
        <f t="array" ref="W82">_xlfn.LET(
  _xlpm.act,   cronograma!$C81,
  _xlpm.fecha, cronograma!W$4,
  _xlpm.ini,   INDEX(plan!$J:$J, $B81),
  _xlpm.fin,   INDEX(plan!$K:$K, $B81),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82" s="76" cm="1">
        <f t="array" ref="X82">_xlfn.LET(
  _xlpm.act,   cronograma!$C81,
  _xlpm.fecha, cronograma!X$4,
  _xlpm.ini,   INDEX(plan!$J:$J, $B81),
  _xlpm.fin,   INDEX(plan!$K:$K, $B81),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82" s="76" cm="1">
        <f t="array" ref="Y82">_xlfn.LET(
  _xlpm.act,   cronograma!$C81,
  _xlpm.fecha, cronograma!Y$4,
  _xlpm.ini,   INDEX(plan!$J:$J, $B81),
  _xlpm.fin,   INDEX(plan!$K:$K, $B81),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82" s="77" cm="1">
        <f t="array" ref="Z82">_xlfn.LET(
  _xlpm.act,   cronograma!$C81,
  _xlpm.fecha, cronograma!Z$4,
  _xlpm.ini,   INDEX(plan!$J:$J, $B81),
  _xlpm.fin,   INDEX(plan!$K:$K, $B81),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82" s="75" cm="1">
        <f t="array" ref="AA82">_xlfn.LET(
  _xlpm.act,   cronograma!$C81,
  _xlpm.fecha, cronograma!AA$4,
  _xlpm.ini,   INDEX(plan!$J:$J, $B81),
  _xlpm.fin,   INDEX(plan!$K:$K, $B81),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82" s="76" cm="1">
        <f t="array" ref="AB82">_xlfn.LET(
  _xlpm.act,   cronograma!$C81,
  _xlpm.fecha, cronograma!AB$4,
  _xlpm.ini,   INDEX(plan!$J:$J, $B81),
  _xlpm.fin,   INDEX(plan!$K:$K, $B81),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82" s="76" cm="1">
        <f t="array" ref="AC82">_xlfn.LET(
  _xlpm.act,   cronograma!$C81,
  _xlpm.fecha, cronograma!AC$4,
  _xlpm.ini,   INDEX(plan!$J:$J, $B81),
  _xlpm.fin,   INDEX(plan!$K:$K, $B81),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82" s="76" cm="1">
        <f t="array" ref="AD82">_xlfn.LET(
  _xlpm.act,   cronograma!$C81,
  _xlpm.fecha, cronograma!AD$4,
  _xlpm.ini,   INDEX(plan!$J:$J, $B81),
  _xlpm.fin,   INDEX(plan!$K:$K, $B81),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82" s="76" cm="1">
        <f t="array" ref="AE82">_xlfn.LET(
  _xlpm.act,   cronograma!$C81,
  _xlpm.fecha, cronograma!AE$4,
  _xlpm.ini,   INDEX(plan!$J:$J, $B81),
  _xlpm.fin,   INDEX(plan!$K:$K, $B81),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82" s="76" cm="1">
        <f t="array" ref="AF82">_xlfn.LET(
  _xlpm.act,   cronograma!$C81,
  _xlpm.fecha, cronograma!AF$4,
  _xlpm.ini,   INDEX(plan!$J:$J, $B81),
  _xlpm.fin,   INDEX(plan!$K:$K, $B81),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82" s="77" cm="1">
        <f t="array" ref="AG82">_xlfn.LET(
  _xlpm.act,   cronograma!$C81,
  _xlpm.fecha, cronograma!AG$4,
  _xlpm.ini,   INDEX(plan!$J:$J, $B81),
  _xlpm.fin,   INDEX(plan!$K:$K, $B81),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82" s="75" cm="1">
        <f t="array" ref="AH82">_xlfn.LET(
  _xlpm.act,   cronograma!$C81,
  _xlpm.fecha, cronograma!AH$4,
  _xlpm.ini,   INDEX(plan!$J:$J, $B81),
  _xlpm.fin,   INDEX(plan!$K:$K, $B81),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82" s="76" cm="1">
        <f t="array" ref="AI82">_xlfn.LET(
  _xlpm.act,   cronograma!$C81,
  _xlpm.fecha, cronograma!AI$4,
  _xlpm.ini,   INDEX(plan!$J:$J, $B81),
  _xlpm.fin,   INDEX(plan!$K:$K, $B81),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82" s="76" cm="1">
        <f t="array" ref="AJ82">_xlfn.LET(
  _xlpm.act,   cronograma!$C81,
  _xlpm.fecha, cronograma!AJ$4,
  _xlpm.ini,   INDEX(plan!$J:$J, $B81),
  _xlpm.fin,   INDEX(plan!$K:$K, $B81),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82" s="76" cm="1">
        <f t="array" ref="AK82">_xlfn.LET(
  _xlpm.act,   cronograma!$C81,
  _xlpm.fecha, cronograma!AK$4,
  _xlpm.ini,   INDEX(plan!$J:$J, $B81),
  _xlpm.fin,   INDEX(plan!$K:$K, $B81),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82" s="76" cm="1">
        <f t="array" ref="AL82">_xlfn.LET(
  _xlpm.act,   cronograma!$C81,
  _xlpm.fecha, cronograma!AL$4,
  _xlpm.ini,   INDEX(plan!$J:$J, $B81),
  _xlpm.fin,   INDEX(plan!$K:$K, $B81),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82" s="76" cm="1">
        <f t="array" ref="AM82">_xlfn.LET(
  _xlpm.act,   cronograma!$C81,
  _xlpm.fecha, cronograma!AM$4,
  _xlpm.ini,   INDEX(plan!$J:$J, $B81),
  _xlpm.fin,   INDEX(plan!$K:$K, $B81),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82" s="77" cm="1">
        <f t="array" ref="AN82">_xlfn.LET(
  _xlpm.act,   cronograma!$C81,
  _xlpm.fecha, cronograma!AN$4,
  _xlpm.ini,   INDEX(plan!$J:$J, $B81),
  _xlpm.fin,   INDEX(plan!$K:$K, $B81),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O82" s="75"/>
      <c r="AP82" s="76"/>
      <c r="AQ82" s="76"/>
      <c r="AR82" s="76"/>
      <c r="AS82" s="76"/>
      <c r="AT82" s="76"/>
      <c r="AU82" s="77"/>
    </row>
    <row r="83" spans="1:47" ht="12.95" hidden="1" customHeight="1" x14ac:dyDescent="0.3">
      <c r="A83" s="36"/>
      <c r="B83" s="301">
        <f>plan!B43</f>
        <v>43</v>
      </c>
      <c r="C83" s="274">
        <f>plan!C43</f>
        <v>0</v>
      </c>
      <c r="D83" s="278" cm="1">
        <f t="array" ref="D83">INDEX(plan!$I:$I, $B83)</f>
        <v>0</v>
      </c>
      <c r="E83" s="276" cm="1">
        <f t="array" ref="E83">INDEX(plan!$U:$U, $B83)</f>
        <v>0</v>
      </c>
      <c r="F83" s="74" cm="1">
        <f t="array" ref="F83">IF(AND(F$4&gt;=INDEX(plan!$J:$J, $B83), F$4&lt;=INDEX(plan!$K:$K, $B83)),1,0)</f>
        <v>0</v>
      </c>
      <c r="G83" s="78" cm="1">
        <f t="array" ref="G83">IF(AND(G$4&gt;=INDEX(plan!$J:$J, $B83), G$4&lt;=INDEX(plan!$K:$K, $B83)),1,0)</f>
        <v>0</v>
      </c>
      <c r="H83" s="78" cm="1">
        <f t="array" ref="H83">IF(AND(H$4&gt;=INDEX(plan!$J:$J, $B83), H$4&lt;=INDEX(plan!$K:$K, $B83)),1,0)</f>
        <v>0</v>
      </c>
      <c r="I83" s="78" cm="1">
        <f t="array" ref="I83">IF(AND(I$4&gt;=INDEX(plan!$J:$J, $B83), I$4&lt;=INDEX(plan!$K:$K, $B83)),1,0)</f>
        <v>0</v>
      </c>
      <c r="J83" s="78" cm="1">
        <f t="array" ref="J83">IF(AND(J$4&gt;=INDEX(plan!$J:$J, $B83), J$4&lt;=INDEX(plan!$K:$K, $B83)),1,0)</f>
        <v>0</v>
      </c>
      <c r="K83" s="78" cm="1">
        <f t="array" ref="K83">IF(AND(K$4&gt;=INDEX(plan!$J:$J, $B83), K$4&lt;=INDEX(plan!$K:$K, $B83)),1,0)</f>
        <v>0</v>
      </c>
      <c r="L83" s="79" cm="1">
        <f t="array" ref="L83">IF(AND(L$4&gt;=INDEX(plan!$J:$J, $B83), L$4&lt;=INDEX(plan!$K:$K, $B83)),1,0)</f>
        <v>0</v>
      </c>
      <c r="M83" s="74" cm="1">
        <f t="array" ref="M83">IF(AND(M$4&gt;=INDEX(plan!$J:$J, $B83), M$4&lt;=INDEX(plan!$K:$K, $B83)),1,0)</f>
        <v>0</v>
      </c>
      <c r="N83" s="78" cm="1">
        <f t="array" ref="N83">IF(AND(N$4&gt;=INDEX(plan!$J:$J, $B83), N$4&lt;=INDEX(plan!$K:$K, $B83)),1,0)</f>
        <v>0</v>
      </c>
      <c r="O83" s="78" cm="1">
        <f t="array" ref="O83">IF(AND(O$4&gt;=INDEX(plan!$J:$J, $B83), O$4&lt;=INDEX(plan!$K:$K, $B83)),1,0)</f>
        <v>0</v>
      </c>
      <c r="P83" s="78" cm="1">
        <f t="array" ref="P83">IF(AND(P$4&gt;=INDEX(plan!$J:$J, $B83), P$4&lt;=INDEX(plan!$K:$K, $B83)),1,0)</f>
        <v>0</v>
      </c>
      <c r="Q83" s="78" cm="1">
        <f t="array" ref="Q83">IF(AND(Q$4&gt;=INDEX(plan!$J:$J, $B83), Q$4&lt;=INDEX(plan!$K:$K, $B83)),1,0)</f>
        <v>0</v>
      </c>
      <c r="R83" s="78" cm="1">
        <f t="array" ref="R83">IF(AND(R$4&gt;=INDEX(plan!$J:$J, $B83), R$4&lt;=INDEX(plan!$K:$K, $B83)),1,0)</f>
        <v>0</v>
      </c>
      <c r="S83" s="79" cm="1">
        <f t="array" ref="S83">IF(AND(S$4&gt;=INDEX(plan!$J:$J, $B83), S$4&lt;=INDEX(plan!$K:$K, $B83)),1,0)</f>
        <v>0</v>
      </c>
      <c r="T83" s="74" cm="1">
        <f t="array" ref="T83">IF(AND(T$4&gt;=INDEX(plan!$J:$J, $B83), T$4&lt;=INDEX(plan!$K:$K, $B83)),1,0)</f>
        <v>0</v>
      </c>
      <c r="U83" s="78" cm="1">
        <f t="array" ref="U83">IF(AND(U$4&gt;=INDEX(plan!$J:$J, $B83), U$4&lt;=INDEX(plan!$K:$K, $B83)),1,0)</f>
        <v>0</v>
      </c>
      <c r="V83" s="78" cm="1">
        <f t="array" ref="V83">IF(AND(V$4&gt;=INDEX(plan!$J:$J, $B83), V$4&lt;=INDEX(plan!$K:$K, $B83)),1,0)</f>
        <v>0</v>
      </c>
      <c r="W83" s="78" cm="1">
        <f t="array" ref="W83">IF(AND(W$4&gt;=INDEX(plan!$J:$J, $B83), W$4&lt;=INDEX(plan!$K:$K, $B83)),1,0)</f>
        <v>0</v>
      </c>
      <c r="X83" s="78" cm="1">
        <f t="array" ref="X83">IF(AND(X$4&gt;=INDEX(plan!$J:$J, $B83), X$4&lt;=INDEX(plan!$K:$K, $B83)),1,0)</f>
        <v>0</v>
      </c>
      <c r="Y83" s="78" cm="1">
        <f t="array" ref="Y83">IF(AND(Y$4&gt;=INDEX(plan!$J:$J, $B83), Y$4&lt;=INDEX(plan!$K:$K, $B83)),1,0)</f>
        <v>0</v>
      </c>
      <c r="Z83" s="79" cm="1">
        <f t="array" ref="Z83">IF(AND(Z$4&gt;=INDEX(plan!$J:$J, $B83), Z$4&lt;=INDEX(plan!$K:$K, $B83)),1,0)</f>
        <v>0</v>
      </c>
      <c r="AA83" s="74" cm="1">
        <f t="array" ref="AA83">IF(AND(AA$4&gt;=INDEX(plan!$J:$J, $B83), AA$4&lt;=INDEX(plan!$K:$K, $B83)),1,0)</f>
        <v>0</v>
      </c>
      <c r="AB83" s="78" cm="1">
        <f t="array" ref="AB83">IF(AND(AB$4&gt;=INDEX(plan!$J:$J, $B83), AB$4&lt;=INDEX(plan!$K:$K, $B83)),1,0)</f>
        <v>0</v>
      </c>
      <c r="AC83" s="78" cm="1">
        <f t="array" ref="AC83">IF(AND(AC$4&gt;=INDEX(plan!$J:$J, $B83), AC$4&lt;=INDEX(plan!$K:$K, $B83)),1,0)</f>
        <v>0</v>
      </c>
      <c r="AD83" s="78" cm="1">
        <f t="array" ref="AD83">IF(AND(AD$4&gt;=INDEX(plan!$J:$J, $B83), AD$4&lt;=INDEX(plan!$K:$K, $B83)),1,0)</f>
        <v>0</v>
      </c>
      <c r="AE83" s="78" cm="1">
        <f t="array" ref="AE83">IF(AND(AE$4&gt;=INDEX(plan!$J:$J, $B83), AE$4&lt;=INDEX(plan!$K:$K, $B83)),1,0)</f>
        <v>0</v>
      </c>
      <c r="AF83" s="78" cm="1">
        <f t="array" ref="AF83">IF(AND(AF$4&gt;=INDEX(plan!$J:$J, $B83), AF$4&lt;=INDEX(plan!$K:$K, $B83)),1,0)</f>
        <v>0</v>
      </c>
      <c r="AG83" s="79" cm="1">
        <f t="array" ref="AG83">IF(AND(AG$4&gt;=INDEX(plan!$J:$J, $B83), AG$4&lt;=INDEX(plan!$K:$K, $B83)),1,0)</f>
        <v>0</v>
      </c>
      <c r="AH83" s="74" cm="1">
        <f t="array" ref="AH83">IF(AND(AH$4&gt;=INDEX(plan!$J:$J, $B83), AH$4&lt;=INDEX(plan!$K:$K, $B83)),1,0)</f>
        <v>0</v>
      </c>
      <c r="AI83" s="78" cm="1">
        <f t="array" ref="AI83">IF(AND(AI$4&gt;=INDEX(plan!$J:$J, $B83), AI$4&lt;=INDEX(plan!$K:$K, $B83)),1,0)</f>
        <v>0</v>
      </c>
      <c r="AJ83" s="78" cm="1">
        <f t="array" ref="AJ83">IF(AND(AJ$4&gt;=INDEX(plan!$J:$J, $B83), AJ$4&lt;=INDEX(plan!$K:$K, $B83)),1,0)</f>
        <v>0</v>
      </c>
      <c r="AK83" s="78" cm="1">
        <f t="array" ref="AK83">IF(AND(AK$4&gt;=INDEX(plan!$J:$J, $B83), AK$4&lt;=INDEX(plan!$K:$K, $B83)),1,0)</f>
        <v>0</v>
      </c>
      <c r="AL83" s="78" cm="1">
        <f t="array" ref="AL83">IF(AND(AL$4&gt;=INDEX(plan!$J:$J, $B83), AL$4&lt;=INDEX(plan!$K:$K, $B83)),1,0)</f>
        <v>0</v>
      </c>
      <c r="AM83" s="78" cm="1">
        <f t="array" ref="AM83">IF(AND(AM$4&gt;=INDEX(plan!$J:$J, $B83), AM$4&lt;=INDEX(plan!$K:$K, $B83)),1,0)</f>
        <v>0</v>
      </c>
      <c r="AN83" s="79" cm="1">
        <f t="array" ref="AN83">IF(AND(AN$4&gt;=INDEX(plan!$J:$J, $B83), AN$4&lt;=INDEX(plan!$K:$K, $B83)),1,0)</f>
        <v>0</v>
      </c>
      <c r="AO83" s="74"/>
      <c r="AP83" s="78"/>
      <c r="AQ83" s="78"/>
      <c r="AR83" s="78"/>
      <c r="AS83" s="78"/>
      <c r="AT83" s="78"/>
      <c r="AU83" s="79"/>
    </row>
    <row r="84" spans="1:47" ht="12.95" hidden="1" customHeight="1" x14ac:dyDescent="0.3">
      <c r="A84" s="36"/>
      <c r="B84" s="300"/>
      <c r="C84" s="275"/>
      <c r="D84" s="279"/>
      <c r="E84" s="277"/>
      <c r="F84" s="75" cm="1">
        <f t="array" ref="F84">_xlfn.LET(
  _xlpm.act,   cronograma!$C83,
  _xlpm.fecha, cronograma!F$4,
  _xlpm.ini,   INDEX(plan!$J:$J, $B83),
  _xlpm.fin,   INDEX(plan!$K:$K, $B83),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84" s="76" cm="1">
        <f t="array" ref="G84">_xlfn.LET(
  _xlpm.act,   cronograma!$C83,
  _xlpm.fecha, cronograma!G$4,
  _xlpm.ini,   INDEX(plan!$J:$J, $B83),
  _xlpm.fin,   INDEX(plan!$K:$K, $B83),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84" s="76" cm="1">
        <f t="array" ref="H84">_xlfn.LET(
  _xlpm.act,   cronograma!$C83,
  _xlpm.fecha, cronograma!H$4,
  _xlpm.ini,   INDEX(plan!$J:$J, $B83),
  _xlpm.fin,   INDEX(plan!$K:$K, $B83),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84" s="76" cm="1">
        <f t="array" ref="I84">_xlfn.LET(
  _xlpm.act,   cronograma!$C83,
  _xlpm.fecha, cronograma!I$4,
  _xlpm.ini,   INDEX(plan!$J:$J, $B83),
  _xlpm.fin,   INDEX(plan!$K:$K, $B83),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84" s="76" cm="1">
        <f t="array" ref="J84">_xlfn.LET(
  _xlpm.act,   cronograma!$C83,
  _xlpm.fecha, cronograma!J$4,
  _xlpm.ini,   INDEX(plan!$J:$J, $B83),
  _xlpm.fin,   INDEX(plan!$K:$K, $B83),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84" s="76" cm="1">
        <f t="array" ref="K84">_xlfn.LET(
  _xlpm.act,   cronograma!$C83,
  _xlpm.fecha, cronograma!K$4,
  _xlpm.ini,   INDEX(plan!$J:$J, $B83),
  _xlpm.fin,   INDEX(plan!$K:$K, $B83),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84" s="77" cm="1">
        <f t="array" ref="L84">_xlfn.LET(
  _xlpm.act,   cronograma!$C83,
  _xlpm.fecha, cronograma!L$4,
  _xlpm.ini,   INDEX(plan!$J:$J, $B83),
  _xlpm.fin,   INDEX(plan!$K:$K, $B83),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84" s="75" cm="1">
        <f t="array" ref="M84">_xlfn.LET(
  _xlpm.act,   cronograma!$C83,
  _xlpm.fecha, cronograma!M$4,
  _xlpm.ini,   INDEX(plan!$J:$J, $B83),
  _xlpm.fin,   INDEX(plan!$K:$K, $B83),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84" s="76" cm="1">
        <f t="array" ref="N84">_xlfn.LET(
  _xlpm.act,   cronograma!$C83,
  _xlpm.fecha, cronograma!N$4,
  _xlpm.ini,   INDEX(plan!$J:$J, $B83),
  _xlpm.fin,   INDEX(plan!$K:$K, $B83),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84" s="76" cm="1">
        <f t="array" ref="O84">_xlfn.LET(
  _xlpm.act,   cronograma!$C83,
  _xlpm.fecha, cronograma!O$4,
  _xlpm.ini,   INDEX(plan!$J:$J, $B83),
  _xlpm.fin,   INDEX(plan!$K:$K, $B83),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84" s="76" cm="1">
        <f t="array" ref="P84">_xlfn.LET(
  _xlpm.act,   cronograma!$C83,
  _xlpm.fecha, cronograma!P$4,
  _xlpm.ini,   INDEX(plan!$J:$J, $B83),
  _xlpm.fin,   INDEX(plan!$K:$K, $B83),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84" s="76" cm="1">
        <f t="array" ref="Q84">_xlfn.LET(
  _xlpm.act,   cronograma!$C83,
  _xlpm.fecha, cronograma!Q$4,
  _xlpm.ini,   INDEX(plan!$J:$J, $B83),
  _xlpm.fin,   INDEX(plan!$K:$K, $B83),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84" s="76" cm="1">
        <f t="array" ref="R84">_xlfn.LET(
  _xlpm.act,   cronograma!$C83,
  _xlpm.fecha, cronograma!R$4,
  _xlpm.ini,   INDEX(plan!$J:$J, $B83),
  _xlpm.fin,   INDEX(plan!$K:$K, $B83),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84" s="77" cm="1">
        <f t="array" ref="S84">_xlfn.LET(
  _xlpm.act,   cronograma!$C83,
  _xlpm.fecha, cronograma!S$4,
  _xlpm.ini,   INDEX(plan!$J:$J, $B83),
  _xlpm.fin,   INDEX(plan!$K:$K, $B83),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84" s="75" cm="1">
        <f t="array" ref="T84">_xlfn.LET(
  _xlpm.act,   cronograma!$C83,
  _xlpm.fecha, cronograma!T$4,
  _xlpm.ini,   INDEX(plan!$J:$J, $B83),
  _xlpm.fin,   INDEX(plan!$K:$K, $B83),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84" s="76" cm="1">
        <f t="array" ref="U84">_xlfn.LET(
  _xlpm.act,   cronograma!$C83,
  _xlpm.fecha, cronograma!U$4,
  _xlpm.ini,   INDEX(plan!$J:$J, $B83),
  _xlpm.fin,   INDEX(plan!$K:$K, $B83),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84" s="76" cm="1">
        <f t="array" ref="V84">_xlfn.LET(
  _xlpm.act,   cronograma!$C83,
  _xlpm.fecha, cronograma!V$4,
  _xlpm.ini,   INDEX(plan!$J:$J, $B83),
  _xlpm.fin,   INDEX(plan!$K:$K, $B83),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84" s="76" cm="1">
        <f t="array" ref="W84">_xlfn.LET(
  _xlpm.act,   cronograma!$C83,
  _xlpm.fecha, cronograma!W$4,
  _xlpm.ini,   INDEX(plan!$J:$J, $B83),
  _xlpm.fin,   INDEX(plan!$K:$K, $B83),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84" s="76" cm="1">
        <f t="array" ref="X84">_xlfn.LET(
  _xlpm.act,   cronograma!$C83,
  _xlpm.fecha, cronograma!X$4,
  _xlpm.ini,   INDEX(plan!$J:$J, $B83),
  _xlpm.fin,   INDEX(plan!$K:$K, $B83),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84" s="76" cm="1">
        <f t="array" ref="Y84">_xlfn.LET(
  _xlpm.act,   cronograma!$C83,
  _xlpm.fecha, cronograma!Y$4,
  _xlpm.ini,   INDEX(plan!$J:$J, $B83),
  _xlpm.fin,   INDEX(plan!$K:$K, $B83),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84" s="77" cm="1">
        <f t="array" ref="Z84">_xlfn.LET(
  _xlpm.act,   cronograma!$C83,
  _xlpm.fecha, cronograma!Z$4,
  _xlpm.ini,   INDEX(plan!$J:$J, $B83),
  _xlpm.fin,   INDEX(plan!$K:$K, $B83),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84" s="75" cm="1">
        <f t="array" ref="AA84">_xlfn.LET(
  _xlpm.act,   cronograma!$C83,
  _xlpm.fecha, cronograma!AA$4,
  _xlpm.ini,   INDEX(plan!$J:$J, $B83),
  _xlpm.fin,   INDEX(plan!$K:$K, $B83),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84" s="76" cm="1">
        <f t="array" ref="AB84">_xlfn.LET(
  _xlpm.act,   cronograma!$C83,
  _xlpm.fecha, cronograma!AB$4,
  _xlpm.ini,   INDEX(plan!$J:$J, $B83),
  _xlpm.fin,   INDEX(plan!$K:$K, $B83),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84" s="76" cm="1">
        <f t="array" ref="AC84">_xlfn.LET(
  _xlpm.act,   cronograma!$C83,
  _xlpm.fecha, cronograma!AC$4,
  _xlpm.ini,   INDEX(plan!$J:$J, $B83),
  _xlpm.fin,   INDEX(plan!$K:$K, $B83),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84" s="76" cm="1">
        <f t="array" ref="AD84">_xlfn.LET(
  _xlpm.act,   cronograma!$C83,
  _xlpm.fecha, cronograma!AD$4,
  _xlpm.ini,   INDEX(plan!$J:$J, $B83),
  _xlpm.fin,   INDEX(plan!$K:$K, $B83),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84" s="76" cm="1">
        <f t="array" ref="AE84">_xlfn.LET(
  _xlpm.act,   cronograma!$C83,
  _xlpm.fecha, cronograma!AE$4,
  _xlpm.ini,   INDEX(plan!$J:$J, $B83),
  _xlpm.fin,   INDEX(plan!$K:$K, $B83),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84" s="76" cm="1">
        <f t="array" ref="AF84">_xlfn.LET(
  _xlpm.act,   cronograma!$C83,
  _xlpm.fecha, cronograma!AF$4,
  _xlpm.ini,   INDEX(plan!$J:$J, $B83),
  _xlpm.fin,   INDEX(plan!$K:$K, $B83),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84" s="77" cm="1">
        <f t="array" ref="AG84">_xlfn.LET(
  _xlpm.act,   cronograma!$C83,
  _xlpm.fecha, cronograma!AG$4,
  _xlpm.ini,   INDEX(plan!$J:$J, $B83),
  _xlpm.fin,   INDEX(plan!$K:$K, $B83),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84" s="75" cm="1">
        <f t="array" ref="AH84">_xlfn.LET(
  _xlpm.act,   cronograma!$C83,
  _xlpm.fecha, cronograma!AH$4,
  _xlpm.ini,   INDEX(plan!$J:$J, $B83),
  _xlpm.fin,   INDEX(plan!$K:$K, $B83),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84" s="76" cm="1">
        <f t="array" ref="AI84">_xlfn.LET(
  _xlpm.act,   cronograma!$C83,
  _xlpm.fecha, cronograma!AI$4,
  _xlpm.ini,   INDEX(plan!$J:$J, $B83),
  _xlpm.fin,   INDEX(plan!$K:$K, $B83),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84" s="76" cm="1">
        <f t="array" ref="AJ84">_xlfn.LET(
  _xlpm.act,   cronograma!$C83,
  _xlpm.fecha, cronograma!AJ$4,
  _xlpm.ini,   INDEX(plan!$J:$J, $B83),
  _xlpm.fin,   INDEX(plan!$K:$K, $B83),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84" s="76" cm="1">
        <f t="array" ref="AK84">_xlfn.LET(
  _xlpm.act,   cronograma!$C83,
  _xlpm.fecha, cronograma!AK$4,
  _xlpm.ini,   INDEX(plan!$J:$J, $B83),
  _xlpm.fin,   INDEX(plan!$K:$K, $B83),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84" s="76" cm="1">
        <f t="array" ref="AL84">_xlfn.LET(
  _xlpm.act,   cronograma!$C83,
  _xlpm.fecha, cronograma!AL$4,
  _xlpm.ini,   INDEX(plan!$J:$J, $B83),
  _xlpm.fin,   INDEX(plan!$K:$K, $B83),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84" s="76" cm="1">
        <f t="array" ref="AM84">_xlfn.LET(
  _xlpm.act,   cronograma!$C83,
  _xlpm.fecha, cronograma!AM$4,
  _xlpm.ini,   INDEX(plan!$J:$J, $B83),
  _xlpm.fin,   INDEX(plan!$K:$K, $B83),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84" s="77" cm="1">
        <f t="array" ref="AN84">_xlfn.LET(
  _xlpm.act,   cronograma!$C83,
  _xlpm.fecha, cronograma!AN$4,
  _xlpm.ini,   INDEX(plan!$J:$J, $B83),
  _xlpm.fin,   INDEX(plan!$K:$K, $B83),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O84" s="75"/>
      <c r="AP84" s="76"/>
      <c r="AQ84" s="76"/>
      <c r="AR84" s="76"/>
      <c r="AS84" s="76"/>
      <c r="AT84" s="76"/>
      <c r="AU84" s="77"/>
    </row>
    <row r="85" spans="1:47" ht="12.95" hidden="1" customHeight="1" x14ac:dyDescent="0.3">
      <c r="A85" s="36"/>
      <c r="B85" s="301">
        <f>plan!B44</f>
        <v>44</v>
      </c>
      <c r="C85" s="274">
        <f>plan!C44</f>
        <v>0</v>
      </c>
      <c r="D85" s="278" cm="1">
        <f t="array" ref="D85">INDEX(plan!$I:$I, $B85)</f>
        <v>0</v>
      </c>
      <c r="E85" s="276" cm="1">
        <f t="array" ref="E85">INDEX(plan!$U:$U, $B85)</f>
        <v>0</v>
      </c>
      <c r="F85" s="74" cm="1">
        <f t="array" ref="F85">IF(AND(F$4&gt;=INDEX(plan!$J:$J, $B85), F$4&lt;=INDEX(plan!$K:$K, $B85)),1,0)</f>
        <v>0</v>
      </c>
      <c r="G85" s="78" cm="1">
        <f t="array" ref="G85">IF(AND(G$4&gt;=INDEX(plan!$J:$J, $B85), G$4&lt;=INDEX(plan!$K:$K, $B85)),1,0)</f>
        <v>0</v>
      </c>
      <c r="H85" s="78" cm="1">
        <f t="array" ref="H85">IF(AND(H$4&gt;=INDEX(plan!$J:$J, $B85), H$4&lt;=INDEX(plan!$K:$K, $B85)),1,0)</f>
        <v>0</v>
      </c>
      <c r="I85" s="78" cm="1">
        <f t="array" ref="I85">IF(AND(I$4&gt;=INDEX(plan!$J:$J, $B85), I$4&lt;=INDEX(plan!$K:$K, $B85)),1,0)</f>
        <v>0</v>
      </c>
      <c r="J85" s="78" cm="1">
        <f t="array" ref="J85">IF(AND(J$4&gt;=INDEX(plan!$J:$J, $B85), J$4&lt;=INDEX(plan!$K:$K, $B85)),1,0)</f>
        <v>0</v>
      </c>
      <c r="K85" s="78" cm="1">
        <f t="array" ref="K85">IF(AND(K$4&gt;=INDEX(plan!$J:$J, $B85), K$4&lt;=INDEX(plan!$K:$K, $B85)),1,0)</f>
        <v>0</v>
      </c>
      <c r="L85" s="79" cm="1">
        <f t="array" ref="L85">IF(AND(L$4&gt;=INDEX(plan!$J:$J, $B85), L$4&lt;=INDEX(plan!$K:$K, $B85)),1,0)</f>
        <v>0</v>
      </c>
      <c r="M85" s="74" cm="1">
        <f t="array" ref="M85">IF(AND(M$4&gt;=INDEX(plan!$J:$J, $B85), M$4&lt;=INDEX(plan!$K:$K, $B85)),1,0)</f>
        <v>0</v>
      </c>
      <c r="N85" s="78" cm="1">
        <f t="array" ref="N85">IF(AND(N$4&gt;=INDEX(plan!$J:$J, $B85), N$4&lt;=INDEX(plan!$K:$K, $B85)),1,0)</f>
        <v>0</v>
      </c>
      <c r="O85" s="78" cm="1">
        <f t="array" ref="O85">IF(AND(O$4&gt;=INDEX(plan!$J:$J, $B85), O$4&lt;=INDEX(plan!$K:$K, $B85)),1,0)</f>
        <v>0</v>
      </c>
      <c r="P85" s="78" cm="1">
        <f t="array" ref="P85">IF(AND(P$4&gt;=INDEX(plan!$J:$J, $B85), P$4&lt;=INDEX(plan!$K:$K, $B85)),1,0)</f>
        <v>0</v>
      </c>
      <c r="Q85" s="78" cm="1">
        <f t="array" ref="Q85">IF(AND(Q$4&gt;=INDEX(plan!$J:$J, $B85), Q$4&lt;=INDEX(plan!$K:$K, $B85)),1,0)</f>
        <v>0</v>
      </c>
      <c r="R85" s="78" cm="1">
        <f t="array" ref="R85">IF(AND(R$4&gt;=INDEX(plan!$J:$J, $B85), R$4&lt;=INDEX(plan!$K:$K, $B85)),1,0)</f>
        <v>0</v>
      </c>
      <c r="S85" s="79" cm="1">
        <f t="array" ref="S85">IF(AND(S$4&gt;=INDEX(plan!$J:$J, $B85), S$4&lt;=INDEX(plan!$K:$K, $B85)),1,0)</f>
        <v>0</v>
      </c>
      <c r="T85" s="74" cm="1">
        <f t="array" ref="T85">IF(AND(T$4&gt;=INDEX(plan!$J:$J, $B85), T$4&lt;=INDEX(plan!$K:$K, $B85)),1,0)</f>
        <v>0</v>
      </c>
      <c r="U85" s="78" cm="1">
        <f t="array" ref="U85">IF(AND(U$4&gt;=INDEX(plan!$J:$J, $B85), U$4&lt;=INDEX(plan!$K:$K, $B85)),1,0)</f>
        <v>0</v>
      </c>
      <c r="V85" s="78" cm="1">
        <f t="array" ref="V85">IF(AND(V$4&gt;=INDEX(plan!$J:$J, $B85), V$4&lt;=INDEX(plan!$K:$K, $B85)),1,0)</f>
        <v>0</v>
      </c>
      <c r="W85" s="78" cm="1">
        <f t="array" ref="W85">IF(AND(W$4&gt;=INDEX(plan!$J:$J, $B85), W$4&lt;=INDEX(plan!$K:$K, $B85)),1,0)</f>
        <v>0</v>
      </c>
      <c r="X85" s="78" cm="1">
        <f t="array" ref="X85">IF(AND(X$4&gt;=INDEX(plan!$J:$J, $B85), X$4&lt;=INDEX(plan!$K:$K, $B85)),1,0)</f>
        <v>0</v>
      </c>
      <c r="Y85" s="78" cm="1">
        <f t="array" ref="Y85">IF(AND(Y$4&gt;=INDEX(plan!$J:$J, $B85), Y$4&lt;=INDEX(plan!$K:$K, $B85)),1,0)</f>
        <v>0</v>
      </c>
      <c r="Z85" s="79" cm="1">
        <f t="array" ref="Z85">IF(AND(Z$4&gt;=INDEX(plan!$J:$J, $B85), Z$4&lt;=INDEX(plan!$K:$K, $B85)),1,0)</f>
        <v>0</v>
      </c>
      <c r="AA85" s="74" cm="1">
        <f t="array" ref="AA85">IF(AND(AA$4&gt;=INDEX(plan!$J:$J, $B85), AA$4&lt;=INDEX(plan!$K:$K, $B85)),1,0)</f>
        <v>0</v>
      </c>
      <c r="AB85" s="78" cm="1">
        <f t="array" ref="AB85">IF(AND(AB$4&gt;=INDEX(plan!$J:$J, $B85), AB$4&lt;=INDEX(plan!$K:$K, $B85)),1,0)</f>
        <v>0</v>
      </c>
      <c r="AC85" s="78" cm="1">
        <f t="array" ref="AC85">IF(AND(AC$4&gt;=INDEX(plan!$J:$J, $B85), AC$4&lt;=INDEX(plan!$K:$K, $B85)),1,0)</f>
        <v>0</v>
      </c>
      <c r="AD85" s="78" cm="1">
        <f t="array" ref="AD85">IF(AND(AD$4&gt;=INDEX(plan!$J:$J, $B85), AD$4&lt;=INDEX(plan!$K:$K, $B85)),1,0)</f>
        <v>0</v>
      </c>
      <c r="AE85" s="78" cm="1">
        <f t="array" ref="AE85">IF(AND(AE$4&gt;=INDEX(plan!$J:$J, $B85), AE$4&lt;=INDEX(plan!$K:$K, $B85)),1,0)</f>
        <v>0</v>
      </c>
      <c r="AF85" s="78" cm="1">
        <f t="array" ref="AF85">IF(AND(AF$4&gt;=INDEX(plan!$J:$J, $B85), AF$4&lt;=INDEX(plan!$K:$K, $B85)),1,0)</f>
        <v>0</v>
      </c>
      <c r="AG85" s="79" cm="1">
        <f t="array" ref="AG85">IF(AND(AG$4&gt;=INDEX(plan!$J:$J, $B85), AG$4&lt;=INDEX(plan!$K:$K, $B85)),1,0)</f>
        <v>0</v>
      </c>
      <c r="AH85" s="74" cm="1">
        <f t="array" ref="AH85">IF(AND(AH$4&gt;=INDEX(plan!$J:$J, $B85), AH$4&lt;=INDEX(plan!$K:$K, $B85)),1,0)</f>
        <v>0</v>
      </c>
      <c r="AI85" s="78" cm="1">
        <f t="array" ref="AI85">IF(AND(AI$4&gt;=INDEX(plan!$J:$J, $B85), AI$4&lt;=INDEX(plan!$K:$K, $B85)),1,0)</f>
        <v>0</v>
      </c>
      <c r="AJ85" s="78" cm="1">
        <f t="array" ref="AJ85">IF(AND(AJ$4&gt;=INDEX(plan!$J:$J, $B85), AJ$4&lt;=INDEX(plan!$K:$K, $B85)),1,0)</f>
        <v>0</v>
      </c>
      <c r="AK85" s="78" cm="1">
        <f t="array" ref="AK85">IF(AND(AK$4&gt;=INDEX(plan!$J:$J, $B85), AK$4&lt;=INDEX(plan!$K:$K, $B85)),1,0)</f>
        <v>0</v>
      </c>
      <c r="AL85" s="78" cm="1">
        <f t="array" ref="AL85">IF(AND(AL$4&gt;=INDEX(plan!$J:$J, $B85), AL$4&lt;=INDEX(plan!$K:$K, $B85)),1,0)</f>
        <v>0</v>
      </c>
      <c r="AM85" s="78" cm="1">
        <f t="array" ref="AM85">IF(AND(AM$4&gt;=INDEX(plan!$J:$J, $B85), AM$4&lt;=INDEX(plan!$K:$K, $B85)),1,0)</f>
        <v>0</v>
      </c>
      <c r="AN85" s="79" cm="1">
        <f t="array" ref="AN85">IF(AND(AN$4&gt;=INDEX(plan!$J:$J, $B85), AN$4&lt;=INDEX(plan!$K:$K, $B85)),1,0)</f>
        <v>0</v>
      </c>
      <c r="AO85" s="74"/>
      <c r="AP85" s="78"/>
      <c r="AQ85" s="78"/>
      <c r="AR85" s="78"/>
      <c r="AS85" s="78"/>
      <c r="AT85" s="78"/>
      <c r="AU85" s="79"/>
    </row>
    <row r="86" spans="1:47" ht="12.95" hidden="1" customHeight="1" x14ac:dyDescent="0.3">
      <c r="A86" s="36"/>
      <c r="B86" s="300"/>
      <c r="C86" s="275"/>
      <c r="D86" s="279"/>
      <c r="E86" s="277"/>
      <c r="F86" s="75" cm="1">
        <f t="array" ref="F86">_xlfn.LET(
  _xlpm.act,   cronograma!$C85,
  _xlpm.fecha, cronograma!F$4,
  _xlpm.ini,   INDEX(plan!$J:$J, $B85),
  _xlpm.fin,   INDEX(plan!$K:$K, $B85),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86" s="76" cm="1">
        <f t="array" ref="G86">_xlfn.LET(
  _xlpm.act,   cronograma!$C85,
  _xlpm.fecha, cronograma!G$4,
  _xlpm.ini,   INDEX(plan!$J:$J, $B85),
  _xlpm.fin,   INDEX(plan!$K:$K, $B85),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86" s="76" cm="1">
        <f t="array" ref="H86">_xlfn.LET(
  _xlpm.act,   cronograma!$C85,
  _xlpm.fecha, cronograma!H$4,
  _xlpm.ini,   INDEX(plan!$J:$J, $B85),
  _xlpm.fin,   INDEX(plan!$K:$K, $B85),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86" s="76" cm="1">
        <f t="array" ref="I86">_xlfn.LET(
  _xlpm.act,   cronograma!$C85,
  _xlpm.fecha, cronograma!I$4,
  _xlpm.ini,   INDEX(plan!$J:$J, $B85),
  _xlpm.fin,   INDEX(plan!$K:$K, $B85),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86" s="76" cm="1">
        <f t="array" ref="J86">_xlfn.LET(
  _xlpm.act,   cronograma!$C85,
  _xlpm.fecha, cronograma!J$4,
  _xlpm.ini,   INDEX(plan!$J:$J, $B85),
  _xlpm.fin,   INDEX(plan!$K:$K, $B85),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86" s="76" cm="1">
        <f t="array" ref="K86">_xlfn.LET(
  _xlpm.act,   cronograma!$C85,
  _xlpm.fecha, cronograma!K$4,
  _xlpm.ini,   INDEX(plan!$J:$J, $B85),
  _xlpm.fin,   INDEX(plan!$K:$K, $B85),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86" s="77" cm="1">
        <f t="array" ref="L86">_xlfn.LET(
  _xlpm.act,   cronograma!$C85,
  _xlpm.fecha, cronograma!L$4,
  _xlpm.ini,   INDEX(plan!$J:$J, $B85),
  _xlpm.fin,   INDEX(plan!$K:$K, $B85),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86" s="75" cm="1">
        <f t="array" ref="M86">_xlfn.LET(
  _xlpm.act,   cronograma!$C85,
  _xlpm.fecha, cronograma!M$4,
  _xlpm.ini,   INDEX(plan!$J:$J, $B85),
  _xlpm.fin,   INDEX(plan!$K:$K, $B85),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86" s="76" cm="1">
        <f t="array" ref="N86">_xlfn.LET(
  _xlpm.act,   cronograma!$C85,
  _xlpm.fecha, cronograma!N$4,
  _xlpm.ini,   INDEX(plan!$J:$J, $B85),
  _xlpm.fin,   INDEX(plan!$K:$K, $B85),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86" s="76" cm="1">
        <f t="array" ref="O86">_xlfn.LET(
  _xlpm.act,   cronograma!$C85,
  _xlpm.fecha, cronograma!O$4,
  _xlpm.ini,   INDEX(plan!$J:$J, $B85),
  _xlpm.fin,   INDEX(plan!$K:$K, $B85),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86" s="76" cm="1">
        <f t="array" ref="P86">_xlfn.LET(
  _xlpm.act,   cronograma!$C85,
  _xlpm.fecha, cronograma!P$4,
  _xlpm.ini,   INDEX(plan!$J:$J, $B85),
  _xlpm.fin,   INDEX(plan!$K:$K, $B85),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86" s="76" cm="1">
        <f t="array" ref="Q86">_xlfn.LET(
  _xlpm.act,   cronograma!$C85,
  _xlpm.fecha, cronograma!Q$4,
  _xlpm.ini,   INDEX(plan!$J:$J, $B85),
  _xlpm.fin,   INDEX(plan!$K:$K, $B85),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86" s="76" cm="1">
        <f t="array" ref="R86">_xlfn.LET(
  _xlpm.act,   cronograma!$C85,
  _xlpm.fecha, cronograma!R$4,
  _xlpm.ini,   INDEX(plan!$J:$J, $B85),
  _xlpm.fin,   INDEX(plan!$K:$K, $B85),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86" s="77" cm="1">
        <f t="array" ref="S86">_xlfn.LET(
  _xlpm.act,   cronograma!$C85,
  _xlpm.fecha, cronograma!S$4,
  _xlpm.ini,   INDEX(plan!$J:$J, $B85),
  _xlpm.fin,   INDEX(plan!$K:$K, $B85),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86" s="75" cm="1">
        <f t="array" ref="T86">_xlfn.LET(
  _xlpm.act,   cronograma!$C85,
  _xlpm.fecha, cronograma!T$4,
  _xlpm.ini,   INDEX(plan!$J:$J, $B85),
  _xlpm.fin,   INDEX(plan!$K:$K, $B85),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86" s="76" cm="1">
        <f t="array" ref="U86">_xlfn.LET(
  _xlpm.act,   cronograma!$C85,
  _xlpm.fecha, cronograma!U$4,
  _xlpm.ini,   INDEX(plan!$J:$J, $B85),
  _xlpm.fin,   INDEX(plan!$K:$K, $B85),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86" s="76" cm="1">
        <f t="array" ref="V86">_xlfn.LET(
  _xlpm.act,   cronograma!$C85,
  _xlpm.fecha, cronograma!V$4,
  _xlpm.ini,   INDEX(plan!$J:$J, $B85),
  _xlpm.fin,   INDEX(plan!$K:$K, $B85),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86" s="76" cm="1">
        <f t="array" ref="W86">_xlfn.LET(
  _xlpm.act,   cronograma!$C85,
  _xlpm.fecha, cronograma!W$4,
  _xlpm.ini,   INDEX(plan!$J:$J, $B85),
  _xlpm.fin,   INDEX(plan!$K:$K, $B85),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86" s="76" cm="1">
        <f t="array" ref="X86">_xlfn.LET(
  _xlpm.act,   cronograma!$C85,
  _xlpm.fecha, cronograma!X$4,
  _xlpm.ini,   INDEX(plan!$J:$J, $B85),
  _xlpm.fin,   INDEX(plan!$K:$K, $B85),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86" s="76" cm="1">
        <f t="array" ref="Y86">_xlfn.LET(
  _xlpm.act,   cronograma!$C85,
  _xlpm.fecha, cronograma!Y$4,
  _xlpm.ini,   INDEX(plan!$J:$J, $B85),
  _xlpm.fin,   INDEX(plan!$K:$K, $B85),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86" s="77" cm="1">
        <f t="array" ref="Z86">_xlfn.LET(
  _xlpm.act,   cronograma!$C85,
  _xlpm.fecha, cronograma!Z$4,
  _xlpm.ini,   INDEX(plan!$J:$J, $B85),
  _xlpm.fin,   INDEX(plan!$K:$K, $B85),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86" s="75" cm="1">
        <f t="array" ref="AA86">_xlfn.LET(
  _xlpm.act,   cronograma!$C85,
  _xlpm.fecha, cronograma!AA$4,
  _xlpm.ini,   INDEX(plan!$J:$J, $B85),
  _xlpm.fin,   INDEX(plan!$K:$K, $B85),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86" s="76" cm="1">
        <f t="array" ref="AB86">_xlfn.LET(
  _xlpm.act,   cronograma!$C85,
  _xlpm.fecha, cronograma!AB$4,
  _xlpm.ini,   INDEX(plan!$J:$J, $B85),
  _xlpm.fin,   INDEX(plan!$K:$K, $B85),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86" s="76" cm="1">
        <f t="array" ref="AC86">_xlfn.LET(
  _xlpm.act,   cronograma!$C85,
  _xlpm.fecha, cronograma!AC$4,
  _xlpm.ini,   INDEX(plan!$J:$J, $B85),
  _xlpm.fin,   INDEX(plan!$K:$K, $B85),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86" s="76" cm="1">
        <f t="array" ref="AD86">_xlfn.LET(
  _xlpm.act,   cronograma!$C85,
  _xlpm.fecha, cronograma!AD$4,
  _xlpm.ini,   INDEX(plan!$J:$J, $B85),
  _xlpm.fin,   INDEX(plan!$K:$K, $B85),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86" s="76" cm="1">
        <f t="array" ref="AE86">_xlfn.LET(
  _xlpm.act,   cronograma!$C85,
  _xlpm.fecha, cronograma!AE$4,
  _xlpm.ini,   INDEX(plan!$J:$J, $B85),
  _xlpm.fin,   INDEX(plan!$K:$K, $B85),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86" s="76" cm="1">
        <f t="array" ref="AF86">_xlfn.LET(
  _xlpm.act,   cronograma!$C85,
  _xlpm.fecha, cronograma!AF$4,
  _xlpm.ini,   INDEX(plan!$J:$J, $B85),
  _xlpm.fin,   INDEX(plan!$K:$K, $B85),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86" s="77" cm="1">
        <f t="array" ref="AG86">_xlfn.LET(
  _xlpm.act,   cronograma!$C85,
  _xlpm.fecha, cronograma!AG$4,
  _xlpm.ini,   INDEX(plan!$J:$J, $B85),
  _xlpm.fin,   INDEX(plan!$K:$K, $B85),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86" s="75" cm="1">
        <f t="array" ref="AH86">_xlfn.LET(
  _xlpm.act,   cronograma!$C85,
  _xlpm.fecha, cronograma!AH$4,
  _xlpm.ini,   INDEX(plan!$J:$J, $B85),
  _xlpm.fin,   INDEX(plan!$K:$K, $B85),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86" s="76" cm="1">
        <f t="array" ref="AI86">_xlfn.LET(
  _xlpm.act,   cronograma!$C85,
  _xlpm.fecha, cronograma!AI$4,
  _xlpm.ini,   INDEX(plan!$J:$J, $B85),
  _xlpm.fin,   INDEX(plan!$K:$K, $B85),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86" s="76" cm="1">
        <f t="array" ref="AJ86">_xlfn.LET(
  _xlpm.act,   cronograma!$C85,
  _xlpm.fecha, cronograma!AJ$4,
  _xlpm.ini,   INDEX(plan!$J:$J, $B85),
  _xlpm.fin,   INDEX(plan!$K:$K, $B85),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86" s="76" cm="1">
        <f t="array" ref="AK86">_xlfn.LET(
  _xlpm.act,   cronograma!$C85,
  _xlpm.fecha, cronograma!AK$4,
  _xlpm.ini,   INDEX(plan!$J:$J, $B85),
  _xlpm.fin,   INDEX(plan!$K:$K, $B85),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86" s="76" cm="1">
        <f t="array" ref="AL86">_xlfn.LET(
  _xlpm.act,   cronograma!$C85,
  _xlpm.fecha, cronograma!AL$4,
  _xlpm.ini,   INDEX(plan!$J:$J, $B85),
  _xlpm.fin,   INDEX(plan!$K:$K, $B85),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86" s="76" cm="1">
        <f t="array" ref="AM86">_xlfn.LET(
  _xlpm.act,   cronograma!$C85,
  _xlpm.fecha, cronograma!AM$4,
  _xlpm.ini,   INDEX(plan!$J:$J, $B85),
  _xlpm.fin,   INDEX(plan!$K:$K, $B85),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86" s="77" cm="1">
        <f t="array" ref="AN86">_xlfn.LET(
  _xlpm.act,   cronograma!$C85,
  _xlpm.fecha, cronograma!AN$4,
  _xlpm.ini,   INDEX(plan!$J:$J, $B85),
  _xlpm.fin,   INDEX(plan!$K:$K, $B85),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O86" s="75"/>
      <c r="AP86" s="76"/>
      <c r="AQ86" s="76"/>
      <c r="AR86" s="76"/>
      <c r="AS86" s="76"/>
      <c r="AT86" s="76"/>
      <c r="AU86" s="77"/>
    </row>
    <row r="87" spans="1:47" ht="12.95" hidden="1" customHeight="1" x14ac:dyDescent="0.3">
      <c r="A87" s="36"/>
      <c r="B87" s="301">
        <f>plan!B45</f>
        <v>45</v>
      </c>
      <c r="C87" s="274">
        <f>plan!C45</f>
        <v>0</v>
      </c>
      <c r="D87" s="278" cm="1">
        <f t="array" ref="D87">INDEX(plan!$I:$I, $B87)</f>
        <v>0</v>
      </c>
      <c r="E87" s="276" cm="1">
        <f t="array" ref="E87">INDEX(plan!$U:$U, $B87)</f>
        <v>0</v>
      </c>
      <c r="F87" s="74" cm="1">
        <f t="array" ref="F87">IF(AND(F$4&gt;=INDEX(plan!$J:$J, $B87), F$4&lt;=INDEX(plan!$K:$K, $B87)),1,0)</f>
        <v>0</v>
      </c>
      <c r="G87" s="78" cm="1">
        <f t="array" ref="G87">IF(AND(G$4&gt;=INDEX(plan!$J:$J, $B87), G$4&lt;=INDEX(plan!$K:$K, $B87)),1,0)</f>
        <v>0</v>
      </c>
      <c r="H87" s="78" cm="1">
        <f t="array" ref="H87">IF(AND(H$4&gt;=INDEX(plan!$J:$J, $B87), H$4&lt;=INDEX(plan!$K:$K, $B87)),1,0)</f>
        <v>0</v>
      </c>
      <c r="I87" s="78" cm="1">
        <f t="array" ref="I87">IF(AND(I$4&gt;=INDEX(plan!$J:$J, $B87), I$4&lt;=INDEX(plan!$K:$K, $B87)),1,0)</f>
        <v>0</v>
      </c>
      <c r="J87" s="78" cm="1">
        <f t="array" ref="J87">IF(AND(J$4&gt;=INDEX(plan!$J:$J, $B87), J$4&lt;=INDEX(plan!$K:$K, $B87)),1,0)</f>
        <v>0</v>
      </c>
      <c r="K87" s="78" cm="1">
        <f t="array" ref="K87">IF(AND(K$4&gt;=INDEX(plan!$J:$J, $B87), K$4&lt;=INDEX(plan!$K:$K, $B87)),1,0)</f>
        <v>0</v>
      </c>
      <c r="L87" s="79" cm="1">
        <f t="array" ref="L87">IF(AND(L$4&gt;=INDEX(plan!$J:$J, $B87), L$4&lt;=INDEX(plan!$K:$K, $B87)),1,0)</f>
        <v>0</v>
      </c>
      <c r="M87" s="74" cm="1">
        <f t="array" ref="M87">IF(AND(M$4&gt;=INDEX(plan!$J:$J, $B87), M$4&lt;=INDEX(plan!$K:$K, $B87)),1,0)</f>
        <v>0</v>
      </c>
      <c r="N87" s="78" cm="1">
        <f t="array" ref="N87">IF(AND(N$4&gt;=INDEX(plan!$J:$J, $B87), N$4&lt;=INDEX(plan!$K:$K, $B87)),1,0)</f>
        <v>0</v>
      </c>
      <c r="O87" s="78" cm="1">
        <f t="array" ref="O87">IF(AND(O$4&gt;=INDEX(plan!$J:$J, $B87), O$4&lt;=INDEX(plan!$K:$K, $B87)),1,0)</f>
        <v>0</v>
      </c>
      <c r="P87" s="78" cm="1">
        <f t="array" ref="P87">IF(AND(P$4&gt;=INDEX(plan!$J:$J, $B87), P$4&lt;=INDEX(plan!$K:$K, $B87)),1,0)</f>
        <v>0</v>
      </c>
      <c r="Q87" s="78" cm="1">
        <f t="array" ref="Q87">IF(AND(Q$4&gt;=INDEX(plan!$J:$J, $B87), Q$4&lt;=INDEX(plan!$K:$K, $B87)),1,0)</f>
        <v>0</v>
      </c>
      <c r="R87" s="78" cm="1">
        <f t="array" ref="R87">IF(AND(R$4&gt;=INDEX(plan!$J:$J, $B87), R$4&lt;=INDEX(plan!$K:$K, $B87)),1,0)</f>
        <v>0</v>
      </c>
      <c r="S87" s="79" cm="1">
        <f t="array" ref="S87">IF(AND(S$4&gt;=INDEX(plan!$J:$J, $B87), S$4&lt;=INDEX(plan!$K:$K, $B87)),1,0)</f>
        <v>0</v>
      </c>
      <c r="T87" s="74" cm="1">
        <f t="array" ref="T87">IF(AND(T$4&gt;=INDEX(plan!$J:$J, $B87), T$4&lt;=INDEX(plan!$K:$K, $B87)),1,0)</f>
        <v>0</v>
      </c>
      <c r="U87" s="78" cm="1">
        <f t="array" ref="U87">IF(AND(U$4&gt;=INDEX(plan!$J:$J, $B87), U$4&lt;=INDEX(plan!$K:$K, $B87)),1,0)</f>
        <v>0</v>
      </c>
      <c r="V87" s="78" cm="1">
        <f t="array" ref="V87">IF(AND(V$4&gt;=INDEX(plan!$J:$J, $B87), V$4&lt;=INDEX(plan!$K:$K, $B87)),1,0)</f>
        <v>0</v>
      </c>
      <c r="W87" s="78" cm="1">
        <f t="array" ref="W87">IF(AND(W$4&gt;=INDEX(plan!$J:$J, $B87), W$4&lt;=INDEX(plan!$K:$K, $B87)),1,0)</f>
        <v>0</v>
      </c>
      <c r="X87" s="78" cm="1">
        <f t="array" ref="X87">IF(AND(X$4&gt;=INDEX(plan!$J:$J, $B87), X$4&lt;=INDEX(plan!$K:$K, $B87)),1,0)</f>
        <v>0</v>
      </c>
      <c r="Y87" s="78" cm="1">
        <f t="array" ref="Y87">IF(AND(Y$4&gt;=INDEX(plan!$J:$J, $B87), Y$4&lt;=INDEX(plan!$K:$K, $B87)),1,0)</f>
        <v>0</v>
      </c>
      <c r="Z87" s="79" cm="1">
        <f t="array" ref="Z87">IF(AND(Z$4&gt;=INDEX(plan!$J:$J, $B87), Z$4&lt;=INDEX(plan!$K:$K, $B87)),1,0)</f>
        <v>0</v>
      </c>
      <c r="AA87" s="74" cm="1">
        <f t="array" ref="AA87">IF(AND(AA$4&gt;=INDEX(plan!$J:$J, $B87), AA$4&lt;=INDEX(plan!$K:$K, $B87)),1,0)</f>
        <v>0</v>
      </c>
      <c r="AB87" s="78" cm="1">
        <f t="array" ref="AB87">IF(AND(AB$4&gt;=INDEX(plan!$J:$J, $B87), AB$4&lt;=INDEX(plan!$K:$K, $B87)),1,0)</f>
        <v>0</v>
      </c>
      <c r="AC87" s="78" cm="1">
        <f t="array" ref="AC87">IF(AND(AC$4&gt;=INDEX(plan!$J:$J, $B87), AC$4&lt;=INDEX(plan!$K:$K, $B87)),1,0)</f>
        <v>0</v>
      </c>
      <c r="AD87" s="78" cm="1">
        <f t="array" ref="AD87">IF(AND(AD$4&gt;=INDEX(plan!$J:$J, $B87), AD$4&lt;=INDEX(plan!$K:$K, $B87)),1,0)</f>
        <v>0</v>
      </c>
      <c r="AE87" s="78" cm="1">
        <f t="array" ref="AE87">IF(AND(AE$4&gt;=INDEX(plan!$J:$J, $B87), AE$4&lt;=INDEX(plan!$K:$K, $B87)),1,0)</f>
        <v>0</v>
      </c>
      <c r="AF87" s="78" cm="1">
        <f t="array" ref="AF87">IF(AND(AF$4&gt;=INDEX(plan!$J:$J, $B87), AF$4&lt;=INDEX(plan!$K:$K, $B87)),1,0)</f>
        <v>0</v>
      </c>
      <c r="AG87" s="79" cm="1">
        <f t="array" ref="AG87">IF(AND(AG$4&gt;=INDEX(plan!$J:$J, $B87), AG$4&lt;=INDEX(plan!$K:$K, $B87)),1,0)</f>
        <v>0</v>
      </c>
      <c r="AH87" s="74" cm="1">
        <f t="array" ref="AH87">IF(AND(AH$4&gt;=INDEX(plan!$J:$J, $B87), AH$4&lt;=INDEX(plan!$K:$K, $B87)),1,0)</f>
        <v>0</v>
      </c>
      <c r="AI87" s="78" cm="1">
        <f t="array" ref="AI87">IF(AND(AI$4&gt;=INDEX(plan!$J:$J, $B87), AI$4&lt;=INDEX(plan!$K:$K, $B87)),1,0)</f>
        <v>0</v>
      </c>
      <c r="AJ87" s="78" cm="1">
        <f t="array" ref="AJ87">IF(AND(AJ$4&gt;=INDEX(plan!$J:$J, $B87), AJ$4&lt;=INDEX(plan!$K:$K, $B87)),1,0)</f>
        <v>0</v>
      </c>
      <c r="AK87" s="78" cm="1">
        <f t="array" ref="AK87">IF(AND(AK$4&gt;=INDEX(plan!$J:$J, $B87), AK$4&lt;=INDEX(plan!$K:$K, $B87)),1,0)</f>
        <v>0</v>
      </c>
      <c r="AL87" s="78" cm="1">
        <f t="array" ref="AL87">IF(AND(AL$4&gt;=INDEX(plan!$J:$J, $B87), AL$4&lt;=INDEX(plan!$K:$K, $B87)),1,0)</f>
        <v>0</v>
      </c>
      <c r="AM87" s="78" cm="1">
        <f t="array" ref="AM87">IF(AND(AM$4&gt;=INDEX(plan!$J:$J, $B87), AM$4&lt;=INDEX(plan!$K:$K, $B87)),1,0)</f>
        <v>0</v>
      </c>
      <c r="AN87" s="79" cm="1">
        <f t="array" ref="AN87">IF(AND(AN$4&gt;=INDEX(plan!$J:$J, $B87), AN$4&lt;=INDEX(plan!$K:$K, $B87)),1,0)</f>
        <v>0</v>
      </c>
      <c r="AO87" s="74"/>
      <c r="AP87" s="78"/>
      <c r="AQ87" s="78"/>
      <c r="AR87" s="78"/>
      <c r="AS87" s="78"/>
      <c r="AT87" s="78"/>
      <c r="AU87" s="79"/>
    </row>
    <row r="88" spans="1:47" ht="12.95" hidden="1" customHeight="1" x14ac:dyDescent="0.3">
      <c r="A88" s="36"/>
      <c r="B88" s="300"/>
      <c r="C88" s="275"/>
      <c r="D88" s="279"/>
      <c r="E88" s="277"/>
      <c r="F88" s="75" cm="1">
        <f t="array" ref="F88">_xlfn.LET(
  _xlpm.act,   cronograma!$C87,
  _xlpm.fecha, cronograma!F$4,
  _xlpm.ini,   INDEX(plan!$J:$J, $B87),
  _xlpm.fin,   INDEX(plan!$K:$K, $B87),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88" s="76" cm="1">
        <f t="array" ref="G88">_xlfn.LET(
  _xlpm.act,   cronograma!$C87,
  _xlpm.fecha, cronograma!G$4,
  _xlpm.ini,   INDEX(plan!$J:$J, $B87),
  _xlpm.fin,   INDEX(plan!$K:$K, $B87),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88" s="76" cm="1">
        <f t="array" ref="H88">_xlfn.LET(
  _xlpm.act,   cronograma!$C87,
  _xlpm.fecha, cronograma!H$4,
  _xlpm.ini,   INDEX(plan!$J:$J, $B87),
  _xlpm.fin,   INDEX(plan!$K:$K, $B87),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88" s="76" cm="1">
        <f t="array" ref="I88">_xlfn.LET(
  _xlpm.act,   cronograma!$C87,
  _xlpm.fecha, cronograma!I$4,
  _xlpm.ini,   INDEX(plan!$J:$J, $B87),
  _xlpm.fin,   INDEX(plan!$K:$K, $B87),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88" s="76" cm="1">
        <f t="array" ref="J88">_xlfn.LET(
  _xlpm.act,   cronograma!$C87,
  _xlpm.fecha, cronograma!J$4,
  _xlpm.ini,   INDEX(plan!$J:$J, $B87),
  _xlpm.fin,   INDEX(plan!$K:$K, $B87),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88" s="76" cm="1">
        <f t="array" ref="K88">_xlfn.LET(
  _xlpm.act,   cronograma!$C87,
  _xlpm.fecha, cronograma!K$4,
  _xlpm.ini,   INDEX(plan!$J:$J, $B87),
  _xlpm.fin,   INDEX(plan!$K:$K, $B87),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88" s="77" cm="1">
        <f t="array" ref="L88">_xlfn.LET(
  _xlpm.act,   cronograma!$C87,
  _xlpm.fecha, cronograma!L$4,
  _xlpm.ini,   INDEX(plan!$J:$J, $B87),
  _xlpm.fin,   INDEX(plan!$K:$K, $B87),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88" s="75" cm="1">
        <f t="array" ref="M88">_xlfn.LET(
  _xlpm.act,   cronograma!$C87,
  _xlpm.fecha, cronograma!M$4,
  _xlpm.ini,   INDEX(plan!$J:$J, $B87),
  _xlpm.fin,   INDEX(plan!$K:$K, $B87),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88" s="76" cm="1">
        <f t="array" ref="N88">_xlfn.LET(
  _xlpm.act,   cronograma!$C87,
  _xlpm.fecha, cronograma!N$4,
  _xlpm.ini,   INDEX(plan!$J:$J, $B87),
  _xlpm.fin,   INDEX(plan!$K:$K, $B87),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88" s="76" cm="1">
        <f t="array" ref="O88">_xlfn.LET(
  _xlpm.act,   cronograma!$C87,
  _xlpm.fecha, cronograma!O$4,
  _xlpm.ini,   INDEX(plan!$J:$J, $B87),
  _xlpm.fin,   INDEX(plan!$K:$K, $B87),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88" s="76" cm="1">
        <f t="array" ref="P88">_xlfn.LET(
  _xlpm.act,   cronograma!$C87,
  _xlpm.fecha, cronograma!P$4,
  _xlpm.ini,   INDEX(plan!$J:$J, $B87),
  _xlpm.fin,   INDEX(plan!$K:$K, $B87),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88" s="76" cm="1">
        <f t="array" ref="Q88">_xlfn.LET(
  _xlpm.act,   cronograma!$C87,
  _xlpm.fecha, cronograma!Q$4,
  _xlpm.ini,   INDEX(plan!$J:$J, $B87),
  _xlpm.fin,   INDEX(plan!$K:$K, $B87),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88" s="76" cm="1">
        <f t="array" ref="R88">_xlfn.LET(
  _xlpm.act,   cronograma!$C87,
  _xlpm.fecha, cronograma!R$4,
  _xlpm.ini,   INDEX(plan!$J:$J, $B87),
  _xlpm.fin,   INDEX(plan!$K:$K, $B87),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88" s="77" cm="1">
        <f t="array" ref="S88">_xlfn.LET(
  _xlpm.act,   cronograma!$C87,
  _xlpm.fecha, cronograma!S$4,
  _xlpm.ini,   INDEX(plan!$J:$J, $B87),
  _xlpm.fin,   INDEX(plan!$K:$K, $B87),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88" s="75" cm="1">
        <f t="array" ref="T88">_xlfn.LET(
  _xlpm.act,   cronograma!$C87,
  _xlpm.fecha, cronograma!T$4,
  _xlpm.ini,   INDEX(plan!$J:$J, $B87),
  _xlpm.fin,   INDEX(plan!$K:$K, $B87),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88" s="76" cm="1">
        <f t="array" ref="U88">_xlfn.LET(
  _xlpm.act,   cronograma!$C87,
  _xlpm.fecha, cronograma!U$4,
  _xlpm.ini,   INDEX(plan!$J:$J, $B87),
  _xlpm.fin,   INDEX(plan!$K:$K, $B87),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88" s="76" cm="1">
        <f t="array" ref="V88">_xlfn.LET(
  _xlpm.act,   cronograma!$C87,
  _xlpm.fecha, cronograma!V$4,
  _xlpm.ini,   INDEX(plan!$J:$J, $B87),
  _xlpm.fin,   INDEX(plan!$K:$K, $B87),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88" s="76" cm="1">
        <f t="array" ref="W88">_xlfn.LET(
  _xlpm.act,   cronograma!$C87,
  _xlpm.fecha, cronograma!W$4,
  _xlpm.ini,   INDEX(plan!$J:$J, $B87),
  _xlpm.fin,   INDEX(plan!$K:$K, $B87),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88" s="76" cm="1">
        <f t="array" ref="X88">_xlfn.LET(
  _xlpm.act,   cronograma!$C87,
  _xlpm.fecha, cronograma!X$4,
  _xlpm.ini,   INDEX(plan!$J:$J, $B87),
  _xlpm.fin,   INDEX(plan!$K:$K, $B87),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88" s="76" cm="1">
        <f t="array" ref="Y88">_xlfn.LET(
  _xlpm.act,   cronograma!$C87,
  _xlpm.fecha, cronograma!Y$4,
  _xlpm.ini,   INDEX(plan!$J:$J, $B87),
  _xlpm.fin,   INDEX(plan!$K:$K, $B87),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88" s="77" cm="1">
        <f t="array" ref="Z88">_xlfn.LET(
  _xlpm.act,   cronograma!$C87,
  _xlpm.fecha, cronograma!Z$4,
  _xlpm.ini,   INDEX(plan!$J:$J, $B87),
  _xlpm.fin,   INDEX(plan!$K:$K, $B87),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88" s="75" cm="1">
        <f t="array" ref="AA88">_xlfn.LET(
  _xlpm.act,   cronograma!$C87,
  _xlpm.fecha, cronograma!AA$4,
  _xlpm.ini,   INDEX(plan!$J:$J, $B87),
  _xlpm.fin,   INDEX(plan!$K:$K, $B87),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88" s="76" cm="1">
        <f t="array" ref="AB88">_xlfn.LET(
  _xlpm.act,   cronograma!$C87,
  _xlpm.fecha, cronograma!AB$4,
  _xlpm.ini,   INDEX(plan!$J:$J, $B87),
  _xlpm.fin,   INDEX(plan!$K:$K, $B87),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88" s="76" cm="1">
        <f t="array" ref="AC88">_xlfn.LET(
  _xlpm.act,   cronograma!$C87,
  _xlpm.fecha, cronograma!AC$4,
  _xlpm.ini,   INDEX(plan!$J:$J, $B87),
  _xlpm.fin,   INDEX(plan!$K:$K, $B87),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88" s="76" cm="1">
        <f t="array" ref="AD88">_xlfn.LET(
  _xlpm.act,   cronograma!$C87,
  _xlpm.fecha, cronograma!AD$4,
  _xlpm.ini,   INDEX(plan!$J:$J, $B87),
  _xlpm.fin,   INDEX(plan!$K:$K, $B87),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88" s="76" cm="1">
        <f t="array" ref="AE88">_xlfn.LET(
  _xlpm.act,   cronograma!$C87,
  _xlpm.fecha, cronograma!AE$4,
  _xlpm.ini,   INDEX(plan!$J:$J, $B87),
  _xlpm.fin,   INDEX(plan!$K:$K, $B87),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88" s="76" cm="1">
        <f t="array" ref="AF88">_xlfn.LET(
  _xlpm.act,   cronograma!$C87,
  _xlpm.fecha, cronograma!AF$4,
  _xlpm.ini,   INDEX(plan!$J:$J, $B87),
  _xlpm.fin,   INDEX(plan!$K:$K, $B87),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88" s="77" cm="1">
        <f t="array" ref="AG88">_xlfn.LET(
  _xlpm.act,   cronograma!$C87,
  _xlpm.fecha, cronograma!AG$4,
  _xlpm.ini,   INDEX(plan!$J:$J, $B87),
  _xlpm.fin,   INDEX(plan!$K:$K, $B87),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88" s="75" cm="1">
        <f t="array" ref="AH88">_xlfn.LET(
  _xlpm.act,   cronograma!$C87,
  _xlpm.fecha, cronograma!AH$4,
  _xlpm.ini,   INDEX(plan!$J:$J, $B87),
  _xlpm.fin,   INDEX(plan!$K:$K, $B87),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88" s="76" cm="1">
        <f t="array" ref="AI88">_xlfn.LET(
  _xlpm.act,   cronograma!$C87,
  _xlpm.fecha, cronograma!AI$4,
  _xlpm.ini,   INDEX(plan!$J:$J, $B87),
  _xlpm.fin,   INDEX(plan!$K:$K, $B87),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88" s="76" cm="1">
        <f t="array" ref="AJ88">_xlfn.LET(
  _xlpm.act,   cronograma!$C87,
  _xlpm.fecha, cronograma!AJ$4,
  _xlpm.ini,   INDEX(plan!$J:$J, $B87),
  _xlpm.fin,   INDEX(plan!$K:$K, $B87),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88" s="76" cm="1">
        <f t="array" ref="AK88">_xlfn.LET(
  _xlpm.act,   cronograma!$C87,
  _xlpm.fecha, cronograma!AK$4,
  _xlpm.ini,   INDEX(plan!$J:$J, $B87),
  _xlpm.fin,   INDEX(plan!$K:$K, $B87),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88" s="76" cm="1">
        <f t="array" ref="AL88">_xlfn.LET(
  _xlpm.act,   cronograma!$C87,
  _xlpm.fecha, cronograma!AL$4,
  _xlpm.ini,   INDEX(plan!$J:$J, $B87),
  _xlpm.fin,   INDEX(plan!$K:$K, $B87),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88" s="76" cm="1">
        <f t="array" ref="AM88">_xlfn.LET(
  _xlpm.act,   cronograma!$C87,
  _xlpm.fecha, cronograma!AM$4,
  _xlpm.ini,   INDEX(plan!$J:$J, $B87),
  _xlpm.fin,   INDEX(plan!$K:$K, $B87),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88" s="77" cm="1">
        <f t="array" ref="AN88">_xlfn.LET(
  _xlpm.act,   cronograma!$C87,
  _xlpm.fecha, cronograma!AN$4,
  _xlpm.ini,   INDEX(plan!$J:$J, $B87),
  _xlpm.fin,   INDEX(plan!$K:$K, $B87),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O88" s="75"/>
      <c r="AP88" s="76"/>
      <c r="AQ88" s="76"/>
      <c r="AR88" s="76"/>
      <c r="AS88" s="76"/>
      <c r="AT88" s="76"/>
      <c r="AU88" s="77"/>
    </row>
    <row r="89" spans="1:47" ht="12.95" hidden="1" customHeight="1" x14ac:dyDescent="0.3">
      <c r="A89" s="36"/>
      <c r="B89" s="301">
        <f>plan!B46</f>
        <v>46</v>
      </c>
      <c r="C89" s="274">
        <f>plan!C46</f>
        <v>0</v>
      </c>
      <c r="D89" s="278" cm="1">
        <f t="array" ref="D89">INDEX(plan!$I:$I, $B89)</f>
        <v>0</v>
      </c>
      <c r="E89" s="276" cm="1">
        <f t="array" ref="E89">INDEX(plan!$U:$U, $B89)</f>
        <v>0</v>
      </c>
      <c r="F89" s="74" cm="1">
        <f t="array" ref="F89">IF(AND(F$4&gt;=INDEX(plan!$J:$J, $B89), F$4&lt;=INDEX(plan!$K:$K, $B89)),1,0)</f>
        <v>0</v>
      </c>
      <c r="G89" s="78" cm="1">
        <f t="array" ref="G89">IF(AND(G$4&gt;=INDEX(plan!$J:$J, $B89), G$4&lt;=INDEX(plan!$K:$K, $B89)),1,0)</f>
        <v>0</v>
      </c>
      <c r="H89" s="78" cm="1">
        <f t="array" ref="H89">IF(AND(H$4&gt;=INDEX(plan!$J:$J, $B89), H$4&lt;=INDEX(plan!$K:$K, $B89)),1,0)</f>
        <v>0</v>
      </c>
      <c r="I89" s="78" cm="1">
        <f t="array" ref="I89">IF(AND(I$4&gt;=INDEX(plan!$J:$J, $B89), I$4&lt;=INDEX(plan!$K:$K, $B89)),1,0)</f>
        <v>0</v>
      </c>
      <c r="J89" s="78" cm="1">
        <f t="array" ref="J89">IF(AND(J$4&gt;=INDEX(plan!$J:$J, $B89), J$4&lt;=INDEX(plan!$K:$K, $B89)),1,0)</f>
        <v>0</v>
      </c>
      <c r="K89" s="78" cm="1">
        <f t="array" ref="K89">IF(AND(K$4&gt;=INDEX(plan!$J:$J, $B89), K$4&lt;=INDEX(plan!$K:$K, $B89)),1,0)</f>
        <v>0</v>
      </c>
      <c r="L89" s="79" cm="1">
        <f t="array" ref="L89">IF(AND(L$4&gt;=INDEX(plan!$J:$J, $B89), L$4&lt;=INDEX(plan!$K:$K, $B89)),1,0)</f>
        <v>0</v>
      </c>
      <c r="M89" s="74" cm="1">
        <f t="array" ref="M89">IF(AND(M$4&gt;=INDEX(plan!$J:$J, $B89), M$4&lt;=INDEX(plan!$K:$K, $B89)),1,0)</f>
        <v>0</v>
      </c>
      <c r="N89" s="78" cm="1">
        <f t="array" ref="N89">IF(AND(N$4&gt;=INDEX(plan!$J:$J, $B89), N$4&lt;=INDEX(plan!$K:$K, $B89)),1,0)</f>
        <v>0</v>
      </c>
      <c r="O89" s="78" cm="1">
        <f t="array" ref="O89">IF(AND(O$4&gt;=INDEX(plan!$J:$J, $B89), O$4&lt;=INDEX(plan!$K:$K, $B89)),1,0)</f>
        <v>0</v>
      </c>
      <c r="P89" s="78" cm="1">
        <f t="array" ref="P89">IF(AND(P$4&gt;=INDEX(plan!$J:$J, $B89), P$4&lt;=INDEX(plan!$K:$K, $B89)),1,0)</f>
        <v>0</v>
      </c>
      <c r="Q89" s="78" cm="1">
        <f t="array" ref="Q89">IF(AND(Q$4&gt;=INDEX(plan!$J:$J, $B89), Q$4&lt;=INDEX(plan!$K:$K, $B89)),1,0)</f>
        <v>0</v>
      </c>
      <c r="R89" s="78" cm="1">
        <f t="array" ref="R89">IF(AND(R$4&gt;=INDEX(plan!$J:$J, $B89), R$4&lt;=INDEX(plan!$K:$K, $B89)),1,0)</f>
        <v>0</v>
      </c>
      <c r="S89" s="79" cm="1">
        <f t="array" ref="S89">IF(AND(S$4&gt;=INDEX(plan!$J:$J, $B89), S$4&lt;=INDEX(plan!$K:$K, $B89)),1,0)</f>
        <v>0</v>
      </c>
      <c r="T89" s="74" cm="1">
        <f t="array" ref="T89">IF(AND(T$4&gt;=INDEX(plan!$J:$J, $B89), T$4&lt;=INDEX(plan!$K:$K, $B89)),1,0)</f>
        <v>0</v>
      </c>
      <c r="U89" s="78" cm="1">
        <f t="array" ref="U89">IF(AND(U$4&gt;=INDEX(plan!$J:$J, $B89), U$4&lt;=INDEX(plan!$K:$K, $B89)),1,0)</f>
        <v>0</v>
      </c>
      <c r="V89" s="78" cm="1">
        <f t="array" ref="V89">IF(AND(V$4&gt;=INDEX(plan!$J:$J, $B89), V$4&lt;=INDEX(plan!$K:$K, $B89)),1,0)</f>
        <v>0</v>
      </c>
      <c r="W89" s="78" cm="1">
        <f t="array" ref="W89">IF(AND(W$4&gt;=INDEX(plan!$J:$J, $B89), W$4&lt;=INDEX(plan!$K:$K, $B89)),1,0)</f>
        <v>0</v>
      </c>
      <c r="X89" s="78" cm="1">
        <f t="array" ref="X89">IF(AND(X$4&gt;=INDEX(plan!$J:$J, $B89), X$4&lt;=INDEX(plan!$K:$K, $B89)),1,0)</f>
        <v>0</v>
      </c>
      <c r="Y89" s="78" cm="1">
        <f t="array" ref="Y89">IF(AND(Y$4&gt;=INDEX(plan!$J:$J, $B89), Y$4&lt;=INDEX(plan!$K:$K, $B89)),1,0)</f>
        <v>0</v>
      </c>
      <c r="Z89" s="79" cm="1">
        <f t="array" ref="Z89">IF(AND(Z$4&gt;=INDEX(plan!$J:$J, $B89), Z$4&lt;=INDEX(plan!$K:$K, $B89)),1,0)</f>
        <v>0</v>
      </c>
      <c r="AA89" s="74" cm="1">
        <f t="array" ref="AA89">IF(AND(AA$4&gt;=INDEX(plan!$J:$J, $B89), AA$4&lt;=INDEX(plan!$K:$K, $B89)),1,0)</f>
        <v>0</v>
      </c>
      <c r="AB89" s="78" cm="1">
        <f t="array" ref="AB89">IF(AND(AB$4&gt;=INDEX(plan!$J:$J, $B89), AB$4&lt;=INDEX(plan!$K:$K, $B89)),1,0)</f>
        <v>0</v>
      </c>
      <c r="AC89" s="78" cm="1">
        <f t="array" ref="AC89">IF(AND(AC$4&gt;=INDEX(plan!$J:$J, $B89), AC$4&lt;=INDEX(plan!$K:$K, $B89)),1,0)</f>
        <v>0</v>
      </c>
      <c r="AD89" s="78" cm="1">
        <f t="array" ref="AD89">IF(AND(AD$4&gt;=INDEX(plan!$J:$J, $B89), AD$4&lt;=INDEX(plan!$K:$K, $B89)),1,0)</f>
        <v>0</v>
      </c>
      <c r="AE89" s="78" cm="1">
        <f t="array" ref="AE89">IF(AND(AE$4&gt;=INDEX(plan!$J:$J, $B89), AE$4&lt;=INDEX(plan!$K:$K, $B89)),1,0)</f>
        <v>0</v>
      </c>
      <c r="AF89" s="78" cm="1">
        <f t="array" ref="AF89">IF(AND(AF$4&gt;=INDEX(plan!$J:$J, $B89), AF$4&lt;=INDEX(plan!$K:$K, $B89)),1,0)</f>
        <v>0</v>
      </c>
      <c r="AG89" s="79" cm="1">
        <f t="array" ref="AG89">IF(AND(AG$4&gt;=INDEX(plan!$J:$J, $B89), AG$4&lt;=INDEX(plan!$K:$K, $B89)),1,0)</f>
        <v>0</v>
      </c>
      <c r="AH89" s="74" cm="1">
        <f t="array" ref="AH89">IF(AND(AH$4&gt;=INDEX(plan!$J:$J, $B89), AH$4&lt;=INDEX(plan!$K:$K, $B89)),1,0)</f>
        <v>0</v>
      </c>
      <c r="AI89" s="78" cm="1">
        <f t="array" ref="AI89">IF(AND(AI$4&gt;=INDEX(plan!$J:$J, $B89), AI$4&lt;=INDEX(plan!$K:$K, $B89)),1,0)</f>
        <v>0</v>
      </c>
      <c r="AJ89" s="78" cm="1">
        <f t="array" ref="AJ89">IF(AND(AJ$4&gt;=INDEX(plan!$J:$J, $B89), AJ$4&lt;=INDEX(plan!$K:$K, $B89)),1,0)</f>
        <v>0</v>
      </c>
      <c r="AK89" s="78" cm="1">
        <f t="array" ref="AK89">IF(AND(AK$4&gt;=INDEX(plan!$J:$J, $B89), AK$4&lt;=INDEX(plan!$K:$K, $B89)),1,0)</f>
        <v>0</v>
      </c>
      <c r="AL89" s="78" cm="1">
        <f t="array" ref="AL89">IF(AND(AL$4&gt;=INDEX(plan!$J:$J, $B89), AL$4&lt;=INDEX(plan!$K:$K, $B89)),1,0)</f>
        <v>0</v>
      </c>
      <c r="AM89" s="78" cm="1">
        <f t="array" ref="AM89">IF(AND(AM$4&gt;=INDEX(plan!$J:$J, $B89), AM$4&lt;=INDEX(plan!$K:$K, $B89)),1,0)</f>
        <v>0</v>
      </c>
      <c r="AN89" s="79" cm="1">
        <f t="array" ref="AN89">IF(AND(AN$4&gt;=INDEX(plan!$J:$J, $B89), AN$4&lt;=INDEX(plan!$K:$K, $B89)),1,0)</f>
        <v>0</v>
      </c>
      <c r="AO89" s="74"/>
      <c r="AP89" s="78"/>
      <c r="AQ89" s="78"/>
      <c r="AR89" s="78"/>
      <c r="AS89" s="78"/>
      <c r="AT89" s="78"/>
      <c r="AU89" s="79"/>
    </row>
    <row r="90" spans="1:47" ht="12.95" hidden="1" customHeight="1" x14ac:dyDescent="0.3">
      <c r="A90" s="36"/>
      <c r="B90" s="300"/>
      <c r="C90" s="275"/>
      <c r="D90" s="279"/>
      <c r="E90" s="277"/>
      <c r="F90" s="75" cm="1">
        <f t="array" ref="F90">_xlfn.LET(
  _xlpm.act,   cronograma!$C89,
  _xlpm.fecha, cronograma!F$4,
  _xlpm.ini,   INDEX(plan!$J:$J, $B89),
  _xlpm.fin,   INDEX(plan!$K:$K, $B89),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90" s="76" cm="1">
        <f t="array" ref="G90">_xlfn.LET(
  _xlpm.act,   cronograma!$C89,
  _xlpm.fecha, cronograma!G$4,
  _xlpm.ini,   INDEX(plan!$J:$J, $B89),
  _xlpm.fin,   INDEX(plan!$K:$K, $B89),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90" s="76" cm="1">
        <f t="array" ref="H90">_xlfn.LET(
  _xlpm.act,   cronograma!$C89,
  _xlpm.fecha, cronograma!H$4,
  _xlpm.ini,   INDEX(plan!$J:$J, $B89),
  _xlpm.fin,   INDEX(plan!$K:$K, $B89),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90" s="76" cm="1">
        <f t="array" ref="I90">_xlfn.LET(
  _xlpm.act,   cronograma!$C89,
  _xlpm.fecha, cronograma!I$4,
  _xlpm.ini,   INDEX(plan!$J:$J, $B89),
  _xlpm.fin,   INDEX(plan!$K:$K, $B89),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90" s="76" cm="1">
        <f t="array" ref="J90">_xlfn.LET(
  _xlpm.act,   cronograma!$C89,
  _xlpm.fecha, cronograma!J$4,
  _xlpm.ini,   INDEX(plan!$J:$J, $B89),
  _xlpm.fin,   INDEX(plan!$K:$K, $B89),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90" s="76" cm="1">
        <f t="array" ref="K90">_xlfn.LET(
  _xlpm.act,   cronograma!$C89,
  _xlpm.fecha, cronograma!K$4,
  _xlpm.ini,   INDEX(plan!$J:$J, $B89),
  _xlpm.fin,   INDEX(plan!$K:$K, $B89),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90" s="77" cm="1">
        <f t="array" ref="L90">_xlfn.LET(
  _xlpm.act,   cronograma!$C89,
  _xlpm.fecha, cronograma!L$4,
  _xlpm.ini,   INDEX(plan!$J:$J, $B89),
  _xlpm.fin,   INDEX(plan!$K:$K, $B89),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90" s="75" cm="1">
        <f t="array" ref="M90">_xlfn.LET(
  _xlpm.act,   cronograma!$C89,
  _xlpm.fecha, cronograma!M$4,
  _xlpm.ini,   INDEX(plan!$J:$J, $B89),
  _xlpm.fin,   INDEX(plan!$K:$K, $B89),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90" s="76" cm="1">
        <f t="array" ref="N90">_xlfn.LET(
  _xlpm.act,   cronograma!$C89,
  _xlpm.fecha, cronograma!N$4,
  _xlpm.ini,   INDEX(plan!$J:$J, $B89),
  _xlpm.fin,   INDEX(plan!$K:$K, $B89),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90" s="76" cm="1">
        <f t="array" ref="O90">_xlfn.LET(
  _xlpm.act,   cronograma!$C89,
  _xlpm.fecha, cronograma!O$4,
  _xlpm.ini,   INDEX(plan!$J:$J, $B89),
  _xlpm.fin,   INDEX(plan!$K:$K, $B89),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90" s="76" cm="1">
        <f t="array" ref="P90">_xlfn.LET(
  _xlpm.act,   cronograma!$C89,
  _xlpm.fecha, cronograma!P$4,
  _xlpm.ini,   INDEX(plan!$J:$J, $B89),
  _xlpm.fin,   INDEX(plan!$K:$K, $B89),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90" s="76" cm="1">
        <f t="array" ref="Q90">_xlfn.LET(
  _xlpm.act,   cronograma!$C89,
  _xlpm.fecha, cronograma!Q$4,
  _xlpm.ini,   INDEX(plan!$J:$J, $B89),
  _xlpm.fin,   INDEX(plan!$K:$K, $B89),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90" s="76" cm="1">
        <f t="array" ref="R90">_xlfn.LET(
  _xlpm.act,   cronograma!$C89,
  _xlpm.fecha, cronograma!R$4,
  _xlpm.ini,   INDEX(plan!$J:$J, $B89),
  _xlpm.fin,   INDEX(plan!$K:$K, $B89),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90" s="77" cm="1">
        <f t="array" ref="S90">_xlfn.LET(
  _xlpm.act,   cronograma!$C89,
  _xlpm.fecha, cronograma!S$4,
  _xlpm.ini,   INDEX(plan!$J:$J, $B89),
  _xlpm.fin,   INDEX(plan!$K:$K, $B89),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90" s="75" cm="1">
        <f t="array" ref="T90">_xlfn.LET(
  _xlpm.act,   cronograma!$C89,
  _xlpm.fecha, cronograma!T$4,
  _xlpm.ini,   INDEX(plan!$J:$J, $B89),
  _xlpm.fin,   INDEX(plan!$K:$K, $B89),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90" s="76" cm="1">
        <f t="array" ref="U90">_xlfn.LET(
  _xlpm.act,   cronograma!$C89,
  _xlpm.fecha, cronograma!U$4,
  _xlpm.ini,   INDEX(plan!$J:$J, $B89),
  _xlpm.fin,   INDEX(plan!$K:$K, $B89),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90" s="76" cm="1">
        <f t="array" ref="V90">_xlfn.LET(
  _xlpm.act,   cronograma!$C89,
  _xlpm.fecha, cronograma!V$4,
  _xlpm.ini,   INDEX(plan!$J:$J, $B89),
  _xlpm.fin,   INDEX(plan!$K:$K, $B89),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90" s="76" cm="1">
        <f t="array" ref="W90">_xlfn.LET(
  _xlpm.act,   cronograma!$C89,
  _xlpm.fecha, cronograma!W$4,
  _xlpm.ini,   INDEX(plan!$J:$J, $B89),
  _xlpm.fin,   INDEX(plan!$K:$K, $B89),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90" s="76" cm="1">
        <f t="array" ref="X90">_xlfn.LET(
  _xlpm.act,   cronograma!$C89,
  _xlpm.fecha, cronograma!X$4,
  _xlpm.ini,   INDEX(plan!$J:$J, $B89),
  _xlpm.fin,   INDEX(plan!$K:$K, $B89),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90" s="76" cm="1">
        <f t="array" ref="Y90">_xlfn.LET(
  _xlpm.act,   cronograma!$C89,
  _xlpm.fecha, cronograma!Y$4,
  _xlpm.ini,   INDEX(plan!$J:$J, $B89),
  _xlpm.fin,   INDEX(plan!$K:$K, $B89),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90" s="77" cm="1">
        <f t="array" ref="Z90">_xlfn.LET(
  _xlpm.act,   cronograma!$C89,
  _xlpm.fecha, cronograma!Z$4,
  _xlpm.ini,   INDEX(plan!$J:$J, $B89),
  _xlpm.fin,   INDEX(plan!$K:$K, $B89),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90" s="75" cm="1">
        <f t="array" ref="AA90">_xlfn.LET(
  _xlpm.act,   cronograma!$C89,
  _xlpm.fecha, cronograma!AA$4,
  _xlpm.ini,   INDEX(plan!$J:$J, $B89),
  _xlpm.fin,   INDEX(plan!$K:$K, $B89),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90" s="76" cm="1">
        <f t="array" ref="AB90">_xlfn.LET(
  _xlpm.act,   cronograma!$C89,
  _xlpm.fecha, cronograma!AB$4,
  _xlpm.ini,   INDEX(plan!$J:$J, $B89),
  _xlpm.fin,   INDEX(plan!$K:$K, $B89),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90" s="76" cm="1">
        <f t="array" ref="AC90">_xlfn.LET(
  _xlpm.act,   cronograma!$C89,
  _xlpm.fecha, cronograma!AC$4,
  _xlpm.ini,   INDEX(plan!$J:$J, $B89),
  _xlpm.fin,   INDEX(plan!$K:$K, $B89),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90" s="76" cm="1">
        <f t="array" ref="AD90">_xlfn.LET(
  _xlpm.act,   cronograma!$C89,
  _xlpm.fecha, cronograma!AD$4,
  _xlpm.ini,   INDEX(plan!$J:$J, $B89),
  _xlpm.fin,   INDEX(plan!$K:$K, $B89),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90" s="76" cm="1">
        <f t="array" ref="AE90">_xlfn.LET(
  _xlpm.act,   cronograma!$C89,
  _xlpm.fecha, cronograma!AE$4,
  _xlpm.ini,   INDEX(plan!$J:$J, $B89),
  _xlpm.fin,   INDEX(plan!$K:$K, $B89),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90" s="76" cm="1">
        <f t="array" ref="AF90">_xlfn.LET(
  _xlpm.act,   cronograma!$C89,
  _xlpm.fecha, cronograma!AF$4,
  _xlpm.ini,   INDEX(plan!$J:$J, $B89),
  _xlpm.fin,   INDEX(plan!$K:$K, $B89),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90" s="77" cm="1">
        <f t="array" ref="AG90">_xlfn.LET(
  _xlpm.act,   cronograma!$C89,
  _xlpm.fecha, cronograma!AG$4,
  _xlpm.ini,   INDEX(plan!$J:$J, $B89),
  _xlpm.fin,   INDEX(plan!$K:$K, $B89),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90" s="75" cm="1">
        <f t="array" ref="AH90">_xlfn.LET(
  _xlpm.act,   cronograma!$C89,
  _xlpm.fecha, cronograma!AH$4,
  _xlpm.ini,   INDEX(plan!$J:$J, $B89),
  _xlpm.fin,   INDEX(plan!$K:$K, $B89),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90" s="76" cm="1">
        <f t="array" ref="AI90">_xlfn.LET(
  _xlpm.act,   cronograma!$C89,
  _xlpm.fecha, cronograma!AI$4,
  _xlpm.ini,   INDEX(plan!$J:$J, $B89),
  _xlpm.fin,   INDEX(plan!$K:$K, $B89),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90" s="76" cm="1">
        <f t="array" ref="AJ90">_xlfn.LET(
  _xlpm.act,   cronograma!$C89,
  _xlpm.fecha, cronograma!AJ$4,
  _xlpm.ini,   INDEX(plan!$J:$J, $B89),
  _xlpm.fin,   INDEX(plan!$K:$K, $B89),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90" s="76" cm="1">
        <f t="array" ref="AK90">_xlfn.LET(
  _xlpm.act,   cronograma!$C89,
  _xlpm.fecha, cronograma!AK$4,
  _xlpm.ini,   INDEX(plan!$J:$J, $B89),
  _xlpm.fin,   INDEX(plan!$K:$K, $B89),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90" s="76" cm="1">
        <f t="array" ref="AL90">_xlfn.LET(
  _xlpm.act,   cronograma!$C89,
  _xlpm.fecha, cronograma!AL$4,
  _xlpm.ini,   INDEX(plan!$J:$J, $B89),
  _xlpm.fin,   INDEX(plan!$K:$K, $B89),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90" s="76" cm="1">
        <f t="array" ref="AM90">_xlfn.LET(
  _xlpm.act,   cronograma!$C89,
  _xlpm.fecha, cronograma!AM$4,
  _xlpm.ini,   INDEX(plan!$J:$J, $B89),
  _xlpm.fin,   INDEX(plan!$K:$K, $B89),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90" s="77" cm="1">
        <f t="array" ref="AN90">_xlfn.LET(
  _xlpm.act,   cronograma!$C89,
  _xlpm.fecha, cronograma!AN$4,
  _xlpm.ini,   INDEX(plan!$J:$J, $B89),
  _xlpm.fin,   INDEX(plan!$K:$K, $B89),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O90" s="75"/>
      <c r="AP90" s="76"/>
      <c r="AQ90" s="76"/>
      <c r="AR90" s="76"/>
      <c r="AS90" s="76"/>
      <c r="AT90" s="76"/>
      <c r="AU90" s="77"/>
    </row>
    <row r="91" spans="1:47" ht="12.95" hidden="1" customHeight="1" x14ac:dyDescent="0.3">
      <c r="A91" s="36"/>
      <c r="B91" s="301">
        <f>plan!B47</f>
        <v>47</v>
      </c>
      <c r="C91" s="274" t="str">
        <f>plan!C47</f>
        <v>Ficticia #1</v>
      </c>
      <c r="D91" s="278" cm="1">
        <f t="array" ref="D91">INDEX(plan!$I:$I, $B91)</f>
        <v>0</v>
      </c>
      <c r="E91" s="276" cm="1">
        <f t="array" ref="E91">INDEX(plan!$U:$U, $B91)</f>
        <v>0</v>
      </c>
      <c r="F91" s="74" cm="1">
        <f t="array" ref="F91">IF(AND(F$4&gt;=INDEX(plan!$J:$J, $B91), F$4&lt;=INDEX(plan!$K:$K, $B91)),1,0)</f>
        <v>0</v>
      </c>
      <c r="G91" s="78" cm="1">
        <f t="array" ref="G91">IF(AND(G$4&gt;=INDEX(plan!$J:$J, $B91), G$4&lt;=INDEX(plan!$K:$K, $B91)),1,0)</f>
        <v>0</v>
      </c>
      <c r="H91" s="78" cm="1">
        <f t="array" ref="H91">IF(AND(H$4&gt;=INDEX(plan!$J:$J, $B91), H$4&lt;=INDEX(plan!$K:$K, $B91)),1,0)</f>
        <v>0</v>
      </c>
      <c r="I91" s="78" cm="1">
        <f t="array" ref="I91">IF(AND(I$4&gt;=INDEX(plan!$J:$J, $B91), I$4&lt;=INDEX(plan!$K:$K, $B91)),1,0)</f>
        <v>0</v>
      </c>
      <c r="J91" s="78" cm="1">
        <f t="array" ref="J91">IF(AND(J$4&gt;=INDEX(plan!$J:$J, $B91), J$4&lt;=INDEX(plan!$K:$K, $B91)),1,0)</f>
        <v>0</v>
      </c>
      <c r="K91" s="78" cm="1">
        <f t="array" ref="K91">IF(AND(K$4&gt;=INDEX(plan!$J:$J, $B91), K$4&lt;=INDEX(plan!$K:$K, $B91)),1,0)</f>
        <v>0</v>
      </c>
      <c r="L91" s="79" cm="1">
        <f t="array" ref="L91">IF(AND(L$4&gt;=INDEX(plan!$J:$J, $B91), L$4&lt;=INDEX(plan!$K:$K, $B91)),1,0)</f>
        <v>0</v>
      </c>
      <c r="M91" s="74" cm="1">
        <f t="array" ref="M91">IF(AND(M$4&gt;=INDEX(plan!$J:$J, $B91), M$4&lt;=INDEX(plan!$K:$K, $B91)),1,0)</f>
        <v>0</v>
      </c>
      <c r="N91" s="78" cm="1">
        <f t="array" ref="N91">IF(AND(N$4&gt;=INDEX(plan!$J:$J, $B91), N$4&lt;=INDEX(plan!$K:$K, $B91)),1,0)</f>
        <v>0</v>
      </c>
      <c r="O91" s="78" cm="1">
        <f t="array" ref="O91">IF(AND(O$4&gt;=INDEX(plan!$J:$J, $B91), O$4&lt;=INDEX(plan!$K:$K, $B91)),1,0)</f>
        <v>0</v>
      </c>
      <c r="P91" s="78" cm="1">
        <f t="array" ref="P91">IF(AND(P$4&gt;=INDEX(plan!$J:$J, $B91), P$4&lt;=INDEX(plan!$K:$K, $B91)),1,0)</f>
        <v>0</v>
      </c>
      <c r="Q91" s="78" cm="1">
        <f t="array" ref="Q91">IF(AND(Q$4&gt;=INDEX(plan!$J:$J, $B91), Q$4&lt;=INDEX(plan!$K:$K, $B91)),1,0)</f>
        <v>0</v>
      </c>
      <c r="R91" s="78" cm="1">
        <f t="array" ref="R91">IF(AND(R$4&gt;=INDEX(plan!$J:$J, $B91), R$4&lt;=INDEX(plan!$K:$K, $B91)),1,0)</f>
        <v>0</v>
      </c>
      <c r="S91" s="79" cm="1">
        <f t="array" ref="S91">IF(AND(S$4&gt;=INDEX(plan!$J:$J, $B91), S$4&lt;=INDEX(plan!$K:$K, $B91)),1,0)</f>
        <v>0</v>
      </c>
      <c r="T91" s="74" cm="1">
        <f t="array" ref="T91">IF(AND(T$4&gt;=INDEX(plan!$J:$J, $B91), T$4&lt;=INDEX(plan!$K:$K, $B91)),1,0)</f>
        <v>0</v>
      </c>
      <c r="U91" s="78" cm="1">
        <f t="array" ref="U91">IF(AND(U$4&gt;=INDEX(plan!$J:$J, $B91), U$4&lt;=INDEX(plan!$K:$K, $B91)),1,0)</f>
        <v>0</v>
      </c>
      <c r="V91" s="78" cm="1">
        <f t="array" ref="V91">IF(AND(V$4&gt;=INDEX(plan!$J:$J, $B91), V$4&lt;=INDEX(plan!$K:$K, $B91)),1,0)</f>
        <v>0</v>
      </c>
      <c r="W91" s="78" cm="1">
        <f t="array" ref="W91">IF(AND(W$4&gt;=INDEX(plan!$J:$J, $B91), W$4&lt;=INDEX(plan!$K:$K, $B91)),1,0)</f>
        <v>0</v>
      </c>
      <c r="X91" s="78" cm="1">
        <f t="array" ref="X91">IF(AND(X$4&gt;=INDEX(plan!$J:$J, $B91), X$4&lt;=INDEX(plan!$K:$K, $B91)),1,0)</f>
        <v>0</v>
      </c>
      <c r="Y91" s="78" cm="1">
        <f t="array" ref="Y91">IF(AND(Y$4&gt;=INDEX(plan!$J:$J, $B91), Y$4&lt;=INDEX(plan!$K:$K, $B91)),1,0)</f>
        <v>0</v>
      </c>
      <c r="Z91" s="79" cm="1">
        <f t="array" ref="Z91">IF(AND(Z$4&gt;=INDEX(plan!$J:$J, $B91), Z$4&lt;=INDEX(plan!$K:$K, $B91)),1,0)</f>
        <v>0</v>
      </c>
      <c r="AA91" s="74" cm="1">
        <f t="array" ref="AA91">IF(AND(AA$4&gt;=INDEX(plan!$J:$J, $B91), AA$4&lt;=INDEX(plan!$K:$K, $B91)),1,0)</f>
        <v>0</v>
      </c>
      <c r="AB91" s="78" cm="1">
        <f t="array" ref="AB91">IF(AND(AB$4&gt;=INDEX(plan!$J:$J, $B91), AB$4&lt;=INDEX(plan!$K:$K, $B91)),1,0)</f>
        <v>0</v>
      </c>
      <c r="AC91" s="78" cm="1">
        <f t="array" ref="AC91">IF(AND(AC$4&gt;=INDEX(plan!$J:$J, $B91), AC$4&lt;=INDEX(plan!$K:$K, $B91)),1,0)</f>
        <v>0</v>
      </c>
      <c r="AD91" s="78" cm="1">
        <f t="array" ref="AD91">IF(AND(AD$4&gt;=INDEX(plan!$J:$J, $B91), AD$4&lt;=INDEX(plan!$K:$K, $B91)),1,0)</f>
        <v>0</v>
      </c>
      <c r="AE91" s="78" cm="1">
        <f t="array" ref="AE91">IF(AND(AE$4&gt;=INDEX(plan!$J:$J, $B91), AE$4&lt;=INDEX(plan!$K:$K, $B91)),1,0)</f>
        <v>0</v>
      </c>
      <c r="AF91" s="78" cm="1">
        <f t="array" ref="AF91">IF(AND(AF$4&gt;=INDEX(plan!$J:$J, $B91), AF$4&lt;=INDEX(plan!$K:$K, $B91)),1,0)</f>
        <v>0</v>
      </c>
      <c r="AG91" s="79" cm="1">
        <f t="array" ref="AG91">IF(AND(AG$4&gt;=INDEX(plan!$J:$J, $B91), AG$4&lt;=INDEX(plan!$K:$K, $B91)),1,0)</f>
        <v>0</v>
      </c>
      <c r="AH91" s="74" cm="1">
        <f t="array" ref="AH91">IF(AND(AH$4&gt;=INDEX(plan!$J:$J, $B91), AH$4&lt;=INDEX(plan!$K:$K, $B91)),1,0)</f>
        <v>0</v>
      </c>
      <c r="AI91" s="78" cm="1">
        <f t="array" ref="AI91">IF(AND(AI$4&gt;=INDEX(plan!$J:$J, $B91), AI$4&lt;=INDEX(plan!$K:$K, $B91)),1,0)</f>
        <v>0</v>
      </c>
      <c r="AJ91" s="78" cm="1">
        <f t="array" ref="AJ91">IF(AND(AJ$4&gt;=INDEX(plan!$J:$J, $B91), AJ$4&lt;=INDEX(plan!$K:$K, $B91)),1,0)</f>
        <v>0</v>
      </c>
      <c r="AK91" s="78" cm="1">
        <f t="array" ref="AK91">IF(AND(AK$4&gt;=INDEX(plan!$J:$J, $B91), AK$4&lt;=INDEX(plan!$K:$K, $B91)),1,0)</f>
        <v>0</v>
      </c>
      <c r="AL91" s="78" cm="1">
        <f t="array" ref="AL91">IF(AND(AL$4&gt;=INDEX(plan!$J:$J, $B91), AL$4&lt;=INDEX(plan!$K:$K, $B91)),1,0)</f>
        <v>0</v>
      </c>
      <c r="AM91" s="78" cm="1">
        <f t="array" ref="AM91">IF(AND(AM$4&gt;=INDEX(plan!$J:$J, $B91), AM$4&lt;=INDEX(plan!$K:$K, $B91)),1,0)</f>
        <v>0</v>
      </c>
      <c r="AN91" s="79" cm="1">
        <f t="array" ref="AN91">IF(AND(AN$4&gt;=INDEX(plan!$J:$J, $B91), AN$4&lt;=INDEX(plan!$K:$K, $B91)),1,0)</f>
        <v>0</v>
      </c>
      <c r="AO91" s="74"/>
      <c r="AP91" s="78"/>
      <c r="AQ91" s="78"/>
      <c r="AR91" s="78"/>
      <c r="AS91" s="78"/>
      <c r="AT91" s="78"/>
      <c r="AU91" s="79"/>
    </row>
    <row r="92" spans="1:47" ht="12.95" hidden="1" customHeight="1" x14ac:dyDescent="0.3">
      <c r="A92" s="36"/>
      <c r="B92" s="300"/>
      <c r="C92" s="275"/>
      <c r="D92" s="279"/>
      <c r="E92" s="277"/>
      <c r="F92" s="75" cm="1">
        <f t="array" ref="F92">_xlfn.LET(
  _xlpm.act,   cronograma!$C91,
  _xlpm.fecha, cronograma!F$4,
  _xlpm.ini,   INDEX(plan!$J:$J, $B91),
  _xlpm.fin,   INDEX(plan!$K:$K, $B91),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-1</v>
      </c>
      <c r="G92" s="76" cm="1">
        <f t="array" ref="G92">_xlfn.LET(
  _xlpm.act,   cronograma!$C91,
  _xlpm.fecha, cronograma!G$4,
  _xlpm.ini,   INDEX(plan!$J:$J, $B91),
  _xlpm.fin,   INDEX(plan!$K:$K, $B91),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92" s="76" cm="1">
        <f t="array" ref="H92">_xlfn.LET(
  _xlpm.act,   cronograma!$C91,
  _xlpm.fecha, cronograma!H$4,
  _xlpm.ini,   INDEX(plan!$J:$J, $B91),
  _xlpm.fin,   INDEX(plan!$K:$K, $B91),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92" s="76" cm="1">
        <f t="array" ref="I92">_xlfn.LET(
  _xlpm.act,   cronograma!$C91,
  _xlpm.fecha, cronograma!I$4,
  _xlpm.ini,   INDEX(plan!$J:$J, $B91),
  _xlpm.fin,   INDEX(plan!$K:$K, $B91),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92" s="76" cm="1">
        <f t="array" ref="J92">_xlfn.LET(
  _xlpm.act,   cronograma!$C91,
  _xlpm.fecha, cronograma!J$4,
  _xlpm.ini,   INDEX(plan!$J:$J, $B91),
  _xlpm.fin,   INDEX(plan!$K:$K, $B91),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92" s="76" cm="1">
        <f t="array" ref="K92">_xlfn.LET(
  _xlpm.act,   cronograma!$C91,
  _xlpm.fecha, cronograma!K$4,
  _xlpm.ini,   INDEX(plan!$J:$J, $B91),
  _xlpm.fin,   INDEX(plan!$K:$K, $B91),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92" s="77" cm="1">
        <f t="array" ref="L92">_xlfn.LET(
  _xlpm.act,   cronograma!$C91,
  _xlpm.fecha, cronograma!L$4,
  _xlpm.ini,   INDEX(plan!$J:$J, $B91),
  _xlpm.fin,   INDEX(plan!$K:$K, $B91),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92" s="75" cm="1">
        <f t="array" ref="M92">_xlfn.LET(
  _xlpm.act,   cronograma!$C91,
  _xlpm.fecha, cronograma!M$4,
  _xlpm.ini,   INDEX(plan!$J:$J, $B91),
  _xlpm.fin,   INDEX(plan!$K:$K, $B91),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92" s="76" cm="1">
        <f t="array" ref="N92">_xlfn.LET(
  _xlpm.act,   cronograma!$C91,
  _xlpm.fecha, cronograma!N$4,
  _xlpm.ini,   INDEX(plan!$J:$J, $B91),
  _xlpm.fin,   INDEX(plan!$K:$K, $B91),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92" s="76" cm="1">
        <f t="array" ref="O92">_xlfn.LET(
  _xlpm.act,   cronograma!$C91,
  _xlpm.fecha, cronograma!O$4,
  _xlpm.ini,   INDEX(plan!$J:$J, $B91),
  _xlpm.fin,   INDEX(plan!$K:$K, $B91),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92" s="76" cm="1">
        <f t="array" ref="P92">_xlfn.LET(
  _xlpm.act,   cronograma!$C91,
  _xlpm.fecha, cronograma!P$4,
  _xlpm.ini,   INDEX(plan!$J:$J, $B91),
  _xlpm.fin,   INDEX(plan!$K:$K, $B91),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92" s="76" cm="1">
        <f t="array" ref="Q92">_xlfn.LET(
  _xlpm.act,   cronograma!$C91,
  _xlpm.fecha, cronograma!Q$4,
  _xlpm.ini,   INDEX(plan!$J:$J, $B91),
  _xlpm.fin,   INDEX(plan!$K:$K, $B91),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92" s="76" cm="1">
        <f t="array" ref="R92">_xlfn.LET(
  _xlpm.act,   cronograma!$C91,
  _xlpm.fecha, cronograma!R$4,
  _xlpm.ini,   INDEX(plan!$J:$J, $B91),
  _xlpm.fin,   INDEX(plan!$K:$K, $B91),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92" s="77" cm="1">
        <f t="array" ref="S92">_xlfn.LET(
  _xlpm.act,   cronograma!$C91,
  _xlpm.fecha, cronograma!S$4,
  _xlpm.ini,   INDEX(plan!$J:$J, $B91),
  _xlpm.fin,   INDEX(plan!$K:$K, $B91),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92" s="75" cm="1">
        <f t="array" ref="T92">_xlfn.LET(
  _xlpm.act,   cronograma!$C91,
  _xlpm.fecha, cronograma!T$4,
  _xlpm.ini,   INDEX(plan!$J:$J, $B91),
  _xlpm.fin,   INDEX(plan!$K:$K, $B91),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92" s="76" cm="1">
        <f t="array" ref="U92">_xlfn.LET(
  _xlpm.act,   cronograma!$C91,
  _xlpm.fecha, cronograma!U$4,
  _xlpm.ini,   INDEX(plan!$J:$J, $B91),
  _xlpm.fin,   INDEX(plan!$K:$K, $B91),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92" s="76" cm="1">
        <f t="array" ref="V92">_xlfn.LET(
  _xlpm.act,   cronograma!$C91,
  _xlpm.fecha, cronograma!V$4,
  _xlpm.ini,   INDEX(plan!$J:$J, $B91),
  _xlpm.fin,   INDEX(plan!$K:$K, $B91),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92" s="76" cm="1">
        <f t="array" ref="W92">_xlfn.LET(
  _xlpm.act,   cronograma!$C91,
  _xlpm.fecha, cronograma!W$4,
  _xlpm.ini,   INDEX(plan!$J:$J, $B91),
  _xlpm.fin,   INDEX(plan!$K:$K, $B91),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92" s="76" cm="1">
        <f t="array" ref="X92">_xlfn.LET(
  _xlpm.act,   cronograma!$C91,
  _xlpm.fecha, cronograma!X$4,
  _xlpm.ini,   INDEX(plan!$J:$J, $B91),
  _xlpm.fin,   INDEX(plan!$K:$K, $B91),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92" s="76" cm="1">
        <f t="array" ref="Y92">_xlfn.LET(
  _xlpm.act,   cronograma!$C91,
  _xlpm.fecha, cronograma!Y$4,
  _xlpm.ini,   INDEX(plan!$J:$J, $B91),
  _xlpm.fin,   INDEX(plan!$K:$K, $B91),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92" s="77" cm="1">
        <f t="array" ref="Z92">_xlfn.LET(
  _xlpm.act,   cronograma!$C91,
  _xlpm.fecha, cronograma!Z$4,
  _xlpm.ini,   INDEX(plan!$J:$J, $B91),
  _xlpm.fin,   INDEX(plan!$K:$K, $B91),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92" s="75" cm="1">
        <f t="array" ref="AA92">_xlfn.LET(
  _xlpm.act,   cronograma!$C91,
  _xlpm.fecha, cronograma!AA$4,
  _xlpm.ini,   INDEX(plan!$J:$J, $B91),
  _xlpm.fin,   INDEX(plan!$K:$K, $B91),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92" s="76" cm="1">
        <f t="array" ref="AB92">_xlfn.LET(
  _xlpm.act,   cronograma!$C91,
  _xlpm.fecha, cronograma!AB$4,
  _xlpm.ini,   INDEX(plan!$J:$J, $B91),
  _xlpm.fin,   INDEX(plan!$K:$K, $B91),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92" s="76" cm="1">
        <f t="array" ref="AC92">_xlfn.LET(
  _xlpm.act,   cronograma!$C91,
  _xlpm.fecha, cronograma!AC$4,
  _xlpm.ini,   INDEX(plan!$J:$J, $B91),
  _xlpm.fin,   INDEX(plan!$K:$K, $B91),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92" s="76" cm="1">
        <f t="array" ref="AD92">_xlfn.LET(
  _xlpm.act,   cronograma!$C91,
  _xlpm.fecha, cronograma!AD$4,
  _xlpm.ini,   INDEX(plan!$J:$J, $B91),
  _xlpm.fin,   INDEX(plan!$K:$K, $B91),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92" s="76" cm="1">
        <f t="array" ref="AE92">_xlfn.LET(
  _xlpm.act,   cronograma!$C91,
  _xlpm.fecha, cronograma!AE$4,
  _xlpm.ini,   INDEX(plan!$J:$J, $B91),
  _xlpm.fin,   INDEX(plan!$K:$K, $B91),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92" s="76" cm="1">
        <f t="array" ref="AF92">_xlfn.LET(
  _xlpm.act,   cronograma!$C91,
  _xlpm.fecha, cronograma!AF$4,
  _xlpm.ini,   INDEX(plan!$J:$J, $B91),
  _xlpm.fin,   INDEX(plan!$K:$K, $B91),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92" s="77" cm="1">
        <f t="array" ref="AG92">_xlfn.LET(
  _xlpm.act,   cronograma!$C91,
  _xlpm.fecha, cronograma!AG$4,
  _xlpm.ini,   INDEX(plan!$J:$J, $B91),
  _xlpm.fin,   INDEX(plan!$K:$K, $B91),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92" s="75" cm="1">
        <f t="array" ref="AH92">_xlfn.LET(
  _xlpm.act,   cronograma!$C91,
  _xlpm.fecha, cronograma!AH$4,
  _xlpm.ini,   INDEX(plan!$J:$J, $B91),
  _xlpm.fin,   INDEX(plan!$K:$K, $B91),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92" s="76" cm="1">
        <f t="array" ref="AI92">_xlfn.LET(
  _xlpm.act,   cronograma!$C91,
  _xlpm.fecha, cronograma!AI$4,
  _xlpm.ini,   INDEX(plan!$J:$J, $B91),
  _xlpm.fin,   INDEX(plan!$K:$K, $B91),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92" s="76" cm="1">
        <f t="array" ref="AJ92">_xlfn.LET(
  _xlpm.act,   cronograma!$C91,
  _xlpm.fecha, cronograma!AJ$4,
  _xlpm.ini,   INDEX(plan!$J:$J, $B91),
  _xlpm.fin,   INDEX(plan!$K:$K, $B91),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92" s="76" cm="1">
        <f t="array" ref="AK92">_xlfn.LET(
  _xlpm.act,   cronograma!$C91,
  _xlpm.fecha, cronograma!AK$4,
  _xlpm.ini,   INDEX(plan!$J:$J, $B91),
  _xlpm.fin,   INDEX(plan!$K:$K, $B91),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92" s="76" cm="1">
        <f t="array" ref="AL92">_xlfn.LET(
  _xlpm.act,   cronograma!$C91,
  _xlpm.fecha, cronograma!AL$4,
  _xlpm.ini,   INDEX(plan!$J:$J, $B91),
  _xlpm.fin,   INDEX(plan!$K:$K, $B91),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92" s="76" cm="1">
        <f t="array" ref="AM92">_xlfn.LET(
  _xlpm.act,   cronograma!$C91,
  _xlpm.fecha, cronograma!AM$4,
  _xlpm.ini,   INDEX(plan!$J:$J, $B91),
  _xlpm.fin,   INDEX(plan!$K:$K, $B91),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92" s="77" cm="1">
        <f t="array" ref="AN92">_xlfn.LET(
  _xlpm.act,   cronograma!$C91,
  _xlpm.fecha, cronograma!AN$4,
  _xlpm.ini,   INDEX(plan!$J:$J, $B91),
  _xlpm.fin,   INDEX(plan!$K:$K, $B91),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O92" s="75"/>
      <c r="AP92" s="76"/>
      <c r="AQ92" s="76"/>
      <c r="AR92" s="76"/>
      <c r="AS92" s="76"/>
      <c r="AT92" s="76"/>
      <c r="AU92" s="77"/>
    </row>
    <row r="93" spans="1:47" ht="12.95" hidden="1" customHeight="1" x14ac:dyDescent="0.3">
      <c r="A93" s="36"/>
      <c r="B93" s="301">
        <f>plan!B48</f>
        <v>48</v>
      </c>
      <c r="C93" s="274" t="str">
        <f>plan!C48</f>
        <v>Ficticia #2</v>
      </c>
      <c r="D93" s="278" cm="1">
        <f t="array" ref="D93">INDEX(plan!$I:$I, $B93)</f>
        <v>0</v>
      </c>
      <c r="E93" s="276" cm="1">
        <f t="array" ref="E93">INDEX(plan!$U:$U, $B93)</f>
        <v>0</v>
      </c>
      <c r="F93" s="74" cm="1">
        <f t="array" ref="F93">IF(AND(F$4&gt;=INDEX(plan!$J:$J, $B93), F$4&lt;=INDEX(plan!$K:$K, $B93)),1,0)</f>
        <v>0</v>
      </c>
      <c r="G93" s="78" cm="1">
        <f t="array" ref="G93">IF(AND(G$4&gt;=INDEX(plan!$J:$J, $B93), G$4&lt;=INDEX(plan!$K:$K, $B93)),1,0)</f>
        <v>0</v>
      </c>
      <c r="H93" s="78" cm="1">
        <f t="array" ref="H93">IF(AND(H$4&gt;=INDEX(plan!$J:$J, $B93), H$4&lt;=INDEX(plan!$K:$K, $B93)),1,0)</f>
        <v>0</v>
      </c>
      <c r="I93" s="78" cm="1">
        <f t="array" ref="I93">IF(AND(I$4&gt;=INDEX(plan!$J:$J, $B93), I$4&lt;=INDEX(plan!$K:$K, $B93)),1,0)</f>
        <v>0</v>
      </c>
      <c r="J93" s="78" cm="1">
        <f t="array" ref="J93">IF(AND(J$4&gt;=INDEX(plan!$J:$J, $B93), J$4&lt;=INDEX(plan!$K:$K, $B93)),1,0)</f>
        <v>0</v>
      </c>
      <c r="K93" s="78" cm="1">
        <f t="array" ref="K93">IF(AND(K$4&gt;=INDEX(plan!$J:$J, $B93), K$4&lt;=INDEX(plan!$K:$K, $B93)),1,0)</f>
        <v>0</v>
      </c>
      <c r="L93" s="79" cm="1">
        <f t="array" ref="L93">IF(AND(L$4&gt;=INDEX(plan!$J:$J, $B93), L$4&lt;=INDEX(plan!$K:$K, $B93)),1,0)</f>
        <v>0</v>
      </c>
      <c r="M93" s="74" cm="1">
        <f t="array" ref="M93">IF(AND(M$4&gt;=INDEX(plan!$J:$J, $B93), M$4&lt;=INDEX(plan!$K:$K, $B93)),1,0)</f>
        <v>0</v>
      </c>
      <c r="N93" s="78" cm="1">
        <f t="array" ref="N93">IF(AND(N$4&gt;=INDEX(plan!$J:$J, $B93), N$4&lt;=INDEX(plan!$K:$K, $B93)),1,0)</f>
        <v>0</v>
      </c>
      <c r="O93" s="78" cm="1">
        <f t="array" ref="O93">IF(AND(O$4&gt;=INDEX(plan!$J:$J, $B93), O$4&lt;=INDEX(plan!$K:$K, $B93)),1,0)</f>
        <v>0</v>
      </c>
      <c r="P93" s="78" cm="1">
        <f t="array" ref="P93">IF(AND(P$4&gt;=INDEX(plan!$J:$J, $B93), P$4&lt;=INDEX(plan!$K:$K, $B93)),1,0)</f>
        <v>0</v>
      </c>
      <c r="Q93" s="78" cm="1">
        <f t="array" ref="Q93">IF(AND(Q$4&gt;=INDEX(plan!$J:$J, $B93), Q$4&lt;=INDEX(plan!$K:$K, $B93)),1,0)</f>
        <v>0</v>
      </c>
      <c r="R93" s="78" cm="1">
        <f t="array" ref="R93">IF(AND(R$4&gt;=INDEX(plan!$J:$J, $B93), R$4&lt;=INDEX(plan!$K:$K, $B93)),1,0)</f>
        <v>0</v>
      </c>
      <c r="S93" s="79" cm="1">
        <f t="array" ref="S93">IF(AND(S$4&gt;=INDEX(plan!$J:$J, $B93), S$4&lt;=INDEX(plan!$K:$K, $B93)),1,0)</f>
        <v>0</v>
      </c>
      <c r="T93" s="74" cm="1">
        <f t="array" ref="T93">IF(AND(T$4&gt;=INDEX(plan!$J:$J, $B93), T$4&lt;=INDEX(plan!$K:$K, $B93)),1,0)</f>
        <v>0</v>
      </c>
      <c r="U93" s="78" cm="1">
        <f t="array" ref="U93">IF(AND(U$4&gt;=INDEX(plan!$J:$J, $B93), U$4&lt;=INDEX(plan!$K:$K, $B93)),1,0)</f>
        <v>0</v>
      </c>
      <c r="V93" s="78" cm="1">
        <f t="array" ref="V93">IF(AND(V$4&gt;=INDEX(plan!$J:$J, $B93), V$4&lt;=INDEX(plan!$K:$K, $B93)),1,0)</f>
        <v>0</v>
      </c>
      <c r="W93" s="78" cm="1">
        <f t="array" ref="W93">IF(AND(W$4&gt;=INDEX(plan!$J:$J, $B93), W$4&lt;=INDEX(plan!$K:$K, $B93)),1,0)</f>
        <v>0</v>
      </c>
      <c r="X93" s="78" cm="1">
        <f t="array" ref="X93">IF(AND(X$4&gt;=INDEX(plan!$J:$J, $B93), X$4&lt;=INDEX(plan!$K:$K, $B93)),1,0)</f>
        <v>0</v>
      </c>
      <c r="Y93" s="78" cm="1">
        <f t="array" ref="Y93">IF(AND(Y$4&gt;=INDEX(plan!$J:$J, $B93), Y$4&lt;=INDEX(plan!$K:$K, $B93)),1,0)</f>
        <v>0</v>
      </c>
      <c r="Z93" s="79" cm="1">
        <f t="array" ref="Z93">IF(AND(Z$4&gt;=INDEX(plan!$J:$J, $B93), Z$4&lt;=INDEX(plan!$K:$K, $B93)),1,0)</f>
        <v>0</v>
      </c>
      <c r="AA93" s="74" cm="1">
        <f t="array" ref="AA93">IF(AND(AA$4&gt;=INDEX(plan!$J:$J, $B93), AA$4&lt;=INDEX(plan!$K:$K, $B93)),1,0)</f>
        <v>0</v>
      </c>
      <c r="AB93" s="78" cm="1">
        <f t="array" ref="AB93">IF(AND(AB$4&gt;=INDEX(plan!$J:$J, $B93), AB$4&lt;=INDEX(plan!$K:$K, $B93)),1,0)</f>
        <v>0</v>
      </c>
      <c r="AC93" s="78" cm="1">
        <f t="array" ref="AC93">IF(AND(AC$4&gt;=INDEX(plan!$J:$J, $B93), AC$4&lt;=INDEX(plan!$K:$K, $B93)),1,0)</f>
        <v>0</v>
      </c>
      <c r="AD93" s="78" cm="1">
        <f t="array" ref="AD93">IF(AND(AD$4&gt;=INDEX(plan!$J:$J, $B93), AD$4&lt;=INDEX(plan!$K:$K, $B93)),1,0)</f>
        <v>0</v>
      </c>
      <c r="AE93" s="78" cm="1">
        <f t="array" ref="AE93">IF(AND(AE$4&gt;=INDEX(plan!$J:$J, $B93), AE$4&lt;=INDEX(plan!$K:$K, $B93)),1,0)</f>
        <v>0</v>
      </c>
      <c r="AF93" s="78" cm="1">
        <f t="array" ref="AF93">IF(AND(AF$4&gt;=INDEX(plan!$J:$J, $B93), AF$4&lt;=INDEX(plan!$K:$K, $B93)),1,0)</f>
        <v>0</v>
      </c>
      <c r="AG93" s="79" cm="1">
        <f t="array" ref="AG93">IF(AND(AG$4&gt;=INDEX(plan!$J:$J, $B93), AG$4&lt;=INDEX(plan!$K:$K, $B93)),1,0)</f>
        <v>0</v>
      </c>
      <c r="AH93" s="74" cm="1">
        <f t="array" ref="AH93">IF(AND(AH$4&gt;=INDEX(plan!$J:$J, $B93), AH$4&lt;=INDEX(plan!$K:$K, $B93)),1,0)</f>
        <v>0</v>
      </c>
      <c r="AI93" s="78" cm="1">
        <f t="array" ref="AI93">IF(AND(AI$4&gt;=INDEX(plan!$J:$J, $B93), AI$4&lt;=INDEX(plan!$K:$K, $B93)),1,0)</f>
        <v>0</v>
      </c>
      <c r="AJ93" s="78" cm="1">
        <f t="array" ref="AJ93">IF(AND(AJ$4&gt;=INDEX(plan!$J:$J, $B93), AJ$4&lt;=INDEX(plan!$K:$K, $B93)),1,0)</f>
        <v>0</v>
      </c>
      <c r="AK93" s="78" cm="1">
        <f t="array" ref="AK93">IF(AND(AK$4&gt;=INDEX(plan!$J:$J, $B93), AK$4&lt;=INDEX(plan!$K:$K, $B93)),1,0)</f>
        <v>0</v>
      </c>
      <c r="AL93" s="78" cm="1">
        <f t="array" ref="AL93">IF(AND(AL$4&gt;=INDEX(plan!$J:$J, $B93), AL$4&lt;=INDEX(plan!$K:$K, $B93)),1,0)</f>
        <v>0</v>
      </c>
      <c r="AM93" s="78" cm="1">
        <f t="array" ref="AM93">IF(AND(AM$4&gt;=INDEX(plan!$J:$J, $B93), AM$4&lt;=INDEX(plan!$K:$K, $B93)),1,0)</f>
        <v>0</v>
      </c>
      <c r="AN93" s="79" cm="1">
        <f t="array" ref="AN93">IF(AND(AN$4&gt;=INDEX(plan!$J:$J, $B93), AN$4&lt;=INDEX(plan!$K:$K, $B93)),1,0)</f>
        <v>0</v>
      </c>
      <c r="AO93" s="74"/>
      <c r="AP93" s="78"/>
      <c r="AQ93" s="78"/>
      <c r="AR93" s="78"/>
      <c r="AS93" s="78"/>
      <c r="AT93" s="78"/>
      <c r="AU93" s="79"/>
    </row>
    <row r="94" spans="1:47" ht="12.95" hidden="1" customHeight="1" x14ac:dyDescent="0.3">
      <c r="A94" s="36"/>
      <c r="B94" s="300"/>
      <c r="C94" s="275"/>
      <c r="D94" s="279"/>
      <c r="E94" s="277"/>
      <c r="F94" s="75" cm="1">
        <f t="array" ref="F94">_xlfn.LET(
  _xlpm.act,   cronograma!$C93,
  _xlpm.fecha, cronograma!F$4,
  _xlpm.ini,   INDEX(plan!$J:$J, $B93),
  _xlpm.fin,   INDEX(plan!$K:$K, $B93),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94" s="76" cm="1">
        <f t="array" ref="G94">_xlfn.LET(
  _xlpm.act,   cronograma!$C93,
  _xlpm.fecha, cronograma!G$4,
  _xlpm.ini,   INDEX(plan!$J:$J, $B93),
  _xlpm.fin,   INDEX(plan!$K:$K, $B93),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94" s="76" cm="1">
        <f t="array" ref="H94">_xlfn.LET(
  _xlpm.act,   cronograma!$C93,
  _xlpm.fecha, cronograma!H$4,
  _xlpm.ini,   INDEX(plan!$J:$J, $B93),
  _xlpm.fin,   INDEX(plan!$K:$K, $B93),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94" s="76" cm="1">
        <f t="array" ref="I94">_xlfn.LET(
  _xlpm.act,   cronograma!$C93,
  _xlpm.fecha, cronograma!I$4,
  _xlpm.ini,   INDEX(plan!$J:$J, $B93),
  _xlpm.fin,   INDEX(plan!$K:$K, $B93),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94" s="76" cm="1">
        <f t="array" ref="J94">_xlfn.LET(
  _xlpm.act,   cronograma!$C93,
  _xlpm.fecha, cronograma!J$4,
  _xlpm.ini,   INDEX(plan!$J:$J, $B93),
  _xlpm.fin,   INDEX(plan!$K:$K, $B93),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94" s="76" cm="1">
        <f t="array" ref="K94">_xlfn.LET(
  _xlpm.act,   cronograma!$C93,
  _xlpm.fecha, cronograma!K$4,
  _xlpm.ini,   INDEX(plan!$J:$J, $B93),
  _xlpm.fin,   INDEX(plan!$K:$K, $B93),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94" s="77" cm="1">
        <f t="array" ref="L94">_xlfn.LET(
  _xlpm.act,   cronograma!$C93,
  _xlpm.fecha, cronograma!L$4,
  _xlpm.ini,   INDEX(plan!$J:$J, $B93),
  _xlpm.fin,   INDEX(plan!$K:$K, $B93),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94" s="75" cm="1">
        <f t="array" ref="M94">_xlfn.LET(
  _xlpm.act,   cronograma!$C93,
  _xlpm.fecha, cronograma!M$4,
  _xlpm.ini,   INDEX(plan!$J:$J, $B93),
  _xlpm.fin,   INDEX(plan!$K:$K, $B93),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94" s="76" cm="1">
        <f t="array" ref="N94">_xlfn.LET(
  _xlpm.act,   cronograma!$C93,
  _xlpm.fecha, cronograma!N$4,
  _xlpm.ini,   INDEX(plan!$J:$J, $B93),
  _xlpm.fin,   INDEX(plan!$K:$K, $B93),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94" s="76" cm="1">
        <f t="array" ref="O94">_xlfn.LET(
  _xlpm.act,   cronograma!$C93,
  _xlpm.fecha, cronograma!O$4,
  _xlpm.ini,   INDEX(plan!$J:$J, $B93),
  _xlpm.fin,   INDEX(plan!$K:$K, $B93),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94" s="76" cm="1">
        <f t="array" ref="P94">_xlfn.LET(
  _xlpm.act,   cronograma!$C93,
  _xlpm.fecha, cronograma!P$4,
  _xlpm.ini,   INDEX(plan!$J:$J, $B93),
  _xlpm.fin,   INDEX(plan!$K:$K, $B93),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94" s="76" cm="1">
        <f t="array" ref="Q94">_xlfn.LET(
  _xlpm.act,   cronograma!$C93,
  _xlpm.fecha, cronograma!Q$4,
  _xlpm.ini,   INDEX(plan!$J:$J, $B93),
  _xlpm.fin,   INDEX(plan!$K:$K, $B93),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94" s="76" cm="1">
        <f t="array" ref="R94">_xlfn.LET(
  _xlpm.act,   cronograma!$C93,
  _xlpm.fecha, cronograma!R$4,
  _xlpm.ini,   INDEX(plan!$J:$J, $B93),
  _xlpm.fin,   INDEX(plan!$K:$K, $B93),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94" s="77" cm="1">
        <f t="array" ref="S94">_xlfn.LET(
  _xlpm.act,   cronograma!$C93,
  _xlpm.fecha, cronograma!S$4,
  _xlpm.ini,   INDEX(plan!$J:$J, $B93),
  _xlpm.fin,   INDEX(plan!$K:$K, $B93),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94" s="75" cm="1">
        <f t="array" ref="T94">_xlfn.LET(
  _xlpm.act,   cronograma!$C93,
  _xlpm.fecha, cronograma!T$4,
  _xlpm.ini,   INDEX(plan!$J:$J, $B93),
  _xlpm.fin,   INDEX(plan!$K:$K, $B93),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94" s="76" cm="1">
        <f t="array" ref="U94">_xlfn.LET(
  _xlpm.act,   cronograma!$C93,
  _xlpm.fecha, cronograma!U$4,
  _xlpm.ini,   INDEX(plan!$J:$J, $B93),
  _xlpm.fin,   INDEX(plan!$K:$K, $B93),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94" s="76" cm="1">
        <f t="array" ref="V94">_xlfn.LET(
  _xlpm.act,   cronograma!$C93,
  _xlpm.fecha, cronograma!V$4,
  _xlpm.ini,   INDEX(plan!$J:$J, $B93),
  _xlpm.fin,   INDEX(plan!$K:$K, $B93),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94" s="76" cm="1">
        <f t="array" ref="W94">_xlfn.LET(
  _xlpm.act,   cronograma!$C93,
  _xlpm.fecha, cronograma!W$4,
  _xlpm.ini,   INDEX(plan!$J:$J, $B93),
  _xlpm.fin,   INDEX(plan!$K:$K, $B93),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94" s="76" cm="1">
        <f t="array" ref="X94">_xlfn.LET(
  _xlpm.act,   cronograma!$C93,
  _xlpm.fecha, cronograma!X$4,
  _xlpm.ini,   INDEX(plan!$J:$J, $B93),
  _xlpm.fin,   INDEX(plan!$K:$K, $B93),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94" s="76" cm="1">
        <f t="array" ref="Y94">_xlfn.LET(
  _xlpm.act,   cronograma!$C93,
  _xlpm.fecha, cronograma!Y$4,
  _xlpm.ini,   INDEX(plan!$J:$J, $B93),
  _xlpm.fin,   INDEX(plan!$K:$K, $B93),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94" s="77" cm="1">
        <f t="array" ref="Z94">_xlfn.LET(
  _xlpm.act,   cronograma!$C93,
  _xlpm.fecha, cronograma!Z$4,
  _xlpm.ini,   INDEX(plan!$J:$J, $B93),
  _xlpm.fin,   INDEX(plan!$K:$K, $B93),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94" s="75" cm="1">
        <f t="array" ref="AA94">_xlfn.LET(
  _xlpm.act,   cronograma!$C93,
  _xlpm.fecha, cronograma!AA$4,
  _xlpm.ini,   INDEX(plan!$J:$J, $B93),
  _xlpm.fin,   INDEX(plan!$K:$K, $B93),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94" s="76" cm="1">
        <f t="array" ref="AB94">_xlfn.LET(
  _xlpm.act,   cronograma!$C93,
  _xlpm.fecha, cronograma!AB$4,
  _xlpm.ini,   INDEX(plan!$J:$J, $B93),
  _xlpm.fin,   INDEX(plan!$K:$K, $B93),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94" s="76" cm="1">
        <f t="array" ref="AC94">_xlfn.LET(
  _xlpm.act,   cronograma!$C93,
  _xlpm.fecha, cronograma!AC$4,
  _xlpm.ini,   INDEX(plan!$J:$J, $B93),
  _xlpm.fin,   INDEX(plan!$K:$K, $B93),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94" s="76" cm="1">
        <f t="array" ref="AD94">_xlfn.LET(
  _xlpm.act,   cronograma!$C93,
  _xlpm.fecha, cronograma!AD$4,
  _xlpm.ini,   INDEX(plan!$J:$J, $B93),
  _xlpm.fin,   INDEX(plan!$K:$K, $B93),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94" s="76" cm="1">
        <f t="array" ref="AE94">_xlfn.LET(
  _xlpm.act,   cronograma!$C93,
  _xlpm.fecha, cronograma!AE$4,
  _xlpm.ini,   INDEX(plan!$J:$J, $B93),
  _xlpm.fin,   INDEX(plan!$K:$K, $B93),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94" s="76" cm="1">
        <f t="array" ref="AF94">_xlfn.LET(
  _xlpm.act,   cronograma!$C93,
  _xlpm.fecha, cronograma!AF$4,
  _xlpm.ini,   INDEX(plan!$J:$J, $B93),
  _xlpm.fin,   INDEX(plan!$K:$K, $B93),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94" s="77" cm="1">
        <f t="array" ref="AG94">_xlfn.LET(
  _xlpm.act,   cronograma!$C93,
  _xlpm.fecha, cronograma!AG$4,
  _xlpm.ini,   INDEX(plan!$J:$J, $B93),
  _xlpm.fin,   INDEX(plan!$K:$K, $B93),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94" s="75" cm="1">
        <f t="array" ref="AH94">_xlfn.LET(
  _xlpm.act,   cronograma!$C93,
  _xlpm.fecha, cronograma!AH$4,
  _xlpm.ini,   INDEX(plan!$J:$J, $B93),
  _xlpm.fin,   INDEX(plan!$K:$K, $B93),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94" s="76" cm="1">
        <f t="array" ref="AI94">_xlfn.LET(
  _xlpm.act,   cronograma!$C93,
  _xlpm.fecha, cronograma!AI$4,
  _xlpm.ini,   INDEX(plan!$J:$J, $B93),
  _xlpm.fin,   INDEX(plan!$K:$K, $B93),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94" s="76" cm="1">
        <f t="array" ref="AJ94">_xlfn.LET(
  _xlpm.act,   cronograma!$C93,
  _xlpm.fecha, cronograma!AJ$4,
  _xlpm.ini,   INDEX(plan!$J:$J, $B93),
  _xlpm.fin,   INDEX(plan!$K:$K, $B93),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94" s="76" cm="1">
        <f t="array" ref="AK94">_xlfn.LET(
  _xlpm.act,   cronograma!$C93,
  _xlpm.fecha, cronograma!AK$4,
  _xlpm.ini,   INDEX(plan!$J:$J, $B93),
  _xlpm.fin,   INDEX(plan!$K:$K, $B93),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94" s="76" cm="1">
        <f t="array" ref="AL94">_xlfn.LET(
  _xlpm.act,   cronograma!$C93,
  _xlpm.fecha, cronograma!AL$4,
  _xlpm.ini,   INDEX(plan!$J:$J, $B93),
  _xlpm.fin,   INDEX(plan!$K:$K, $B93),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94" s="76" cm="1">
        <f t="array" ref="AM94">_xlfn.LET(
  _xlpm.act,   cronograma!$C93,
  _xlpm.fecha, cronograma!AM$4,
  _xlpm.ini,   INDEX(plan!$J:$J, $B93),
  _xlpm.fin,   INDEX(plan!$K:$K, $B93),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94" s="77" cm="1">
        <f t="array" ref="AN94">_xlfn.LET(
  _xlpm.act,   cronograma!$C93,
  _xlpm.fecha, cronograma!AN$4,
  _xlpm.ini,   INDEX(plan!$J:$J, $B93),
  _xlpm.fin,   INDEX(plan!$K:$K, $B93),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O94" s="75"/>
      <c r="AP94" s="76"/>
      <c r="AQ94" s="76"/>
      <c r="AR94" s="76"/>
      <c r="AS94" s="76"/>
      <c r="AT94" s="76"/>
      <c r="AU94" s="77"/>
    </row>
    <row r="95" spans="1:47" ht="12.95" hidden="1" customHeight="1" x14ac:dyDescent="0.3">
      <c r="A95" s="36"/>
      <c r="B95" s="301">
        <f>plan!B49</f>
        <v>49</v>
      </c>
      <c r="C95" s="274" t="str">
        <f>plan!C49</f>
        <v>Ficticia #3</v>
      </c>
      <c r="D95" s="278" cm="1">
        <f t="array" ref="D95">INDEX(plan!$I:$I, $B95)</f>
        <v>0</v>
      </c>
      <c r="E95" s="276" cm="1">
        <f t="array" ref="E95">INDEX(plan!$U:$U, $B95)</f>
        <v>0</v>
      </c>
      <c r="F95" s="74" cm="1">
        <f t="array" ref="F95">IF(AND(F$4&gt;=INDEX(plan!$J:$J, $B95), F$4&lt;=INDEX(plan!$K:$K, $B95)),1,0)</f>
        <v>0</v>
      </c>
      <c r="G95" s="78" cm="1">
        <f t="array" ref="G95">IF(AND(G$4&gt;=INDEX(plan!$J:$J, $B95), G$4&lt;=INDEX(plan!$K:$K, $B95)),1,0)</f>
        <v>0</v>
      </c>
      <c r="H95" s="78" cm="1">
        <f t="array" ref="H95">IF(AND(H$4&gt;=INDEX(plan!$J:$J, $B95), H$4&lt;=INDEX(plan!$K:$K, $B95)),1,0)</f>
        <v>0</v>
      </c>
      <c r="I95" s="78" cm="1">
        <f t="array" ref="I95">IF(AND(I$4&gt;=INDEX(plan!$J:$J, $B95), I$4&lt;=INDEX(plan!$K:$K, $B95)),1,0)</f>
        <v>0</v>
      </c>
      <c r="J95" s="78" cm="1">
        <f t="array" ref="J95">IF(AND(J$4&gt;=INDEX(plan!$J:$J, $B95), J$4&lt;=INDEX(plan!$K:$K, $B95)),1,0)</f>
        <v>0</v>
      </c>
      <c r="K95" s="78" cm="1">
        <f t="array" ref="K95">IF(AND(K$4&gt;=INDEX(plan!$J:$J, $B95), K$4&lt;=INDEX(plan!$K:$K, $B95)),1,0)</f>
        <v>0</v>
      </c>
      <c r="L95" s="79" cm="1">
        <f t="array" ref="L95">IF(AND(L$4&gt;=INDEX(plan!$J:$J, $B95), L$4&lt;=INDEX(plan!$K:$K, $B95)),1,0)</f>
        <v>0</v>
      </c>
      <c r="M95" s="74" cm="1">
        <f t="array" ref="M95">IF(AND(M$4&gt;=INDEX(plan!$J:$J, $B95), M$4&lt;=INDEX(plan!$K:$K, $B95)),1,0)</f>
        <v>0</v>
      </c>
      <c r="N95" s="78" cm="1">
        <f t="array" ref="N95">IF(AND(N$4&gt;=INDEX(plan!$J:$J, $B95), N$4&lt;=INDEX(plan!$K:$K, $B95)),1,0)</f>
        <v>0</v>
      </c>
      <c r="O95" s="78" cm="1">
        <f t="array" ref="O95">IF(AND(O$4&gt;=INDEX(plan!$J:$J, $B95), O$4&lt;=INDEX(plan!$K:$K, $B95)),1,0)</f>
        <v>0</v>
      </c>
      <c r="P95" s="78" cm="1">
        <f t="array" ref="P95">IF(AND(P$4&gt;=INDEX(plan!$J:$J, $B95), P$4&lt;=INDEX(plan!$K:$K, $B95)),1,0)</f>
        <v>0</v>
      </c>
      <c r="Q95" s="78" cm="1">
        <f t="array" ref="Q95">IF(AND(Q$4&gt;=INDEX(plan!$J:$J, $B95), Q$4&lt;=INDEX(plan!$K:$K, $B95)),1,0)</f>
        <v>0</v>
      </c>
      <c r="R95" s="78" cm="1">
        <f t="array" ref="R95">IF(AND(R$4&gt;=INDEX(plan!$J:$J, $B95), R$4&lt;=INDEX(plan!$K:$K, $B95)),1,0)</f>
        <v>0</v>
      </c>
      <c r="S95" s="79" cm="1">
        <f t="array" ref="S95">IF(AND(S$4&gt;=INDEX(plan!$J:$J, $B95), S$4&lt;=INDEX(plan!$K:$K, $B95)),1,0)</f>
        <v>0</v>
      </c>
      <c r="T95" s="74" cm="1">
        <f t="array" ref="T95">IF(AND(T$4&gt;=INDEX(plan!$J:$J, $B95), T$4&lt;=INDEX(plan!$K:$K, $B95)),1,0)</f>
        <v>0</v>
      </c>
      <c r="U95" s="78" cm="1">
        <f t="array" ref="U95">IF(AND(U$4&gt;=INDEX(plan!$J:$J, $B95), U$4&lt;=INDEX(plan!$K:$K, $B95)),1,0)</f>
        <v>0</v>
      </c>
      <c r="V95" s="78" cm="1">
        <f t="array" ref="V95">IF(AND(V$4&gt;=INDEX(plan!$J:$J, $B95), V$4&lt;=INDEX(plan!$K:$K, $B95)),1,0)</f>
        <v>0</v>
      </c>
      <c r="W95" s="78" cm="1">
        <f t="array" ref="W95">IF(AND(W$4&gt;=INDEX(plan!$J:$J, $B95), W$4&lt;=INDEX(plan!$K:$K, $B95)),1,0)</f>
        <v>0</v>
      </c>
      <c r="X95" s="78" cm="1">
        <f t="array" ref="X95">IF(AND(X$4&gt;=INDEX(plan!$J:$J, $B95), X$4&lt;=INDEX(plan!$K:$K, $B95)),1,0)</f>
        <v>0</v>
      </c>
      <c r="Y95" s="78" cm="1">
        <f t="array" ref="Y95">IF(AND(Y$4&gt;=INDEX(plan!$J:$J, $B95), Y$4&lt;=INDEX(plan!$K:$K, $B95)),1,0)</f>
        <v>0</v>
      </c>
      <c r="Z95" s="79" cm="1">
        <f t="array" ref="Z95">IF(AND(Z$4&gt;=INDEX(plan!$J:$J, $B95), Z$4&lt;=INDEX(plan!$K:$K, $B95)),1,0)</f>
        <v>0</v>
      </c>
      <c r="AA95" s="74" cm="1">
        <f t="array" ref="AA95">IF(AND(AA$4&gt;=INDEX(plan!$J:$J, $B95), AA$4&lt;=INDEX(plan!$K:$K, $B95)),1,0)</f>
        <v>0</v>
      </c>
      <c r="AB95" s="78" cm="1">
        <f t="array" ref="AB95">IF(AND(AB$4&gt;=INDEX(plan!$J:$J, $B95), AB$4&lt;=INDEX(plan!$K:$K, $B95)),1,0)</f>
        <v>0</v>
      </c>
      <c r="AC95" s="78" cm="1">
        <f t="array" ref="AC95">IF(AND(AC$4&gt;=INDEX(plan!$J:$J, $B95), AC$4&lt;=INDEX(plan!$K:$K, $B95)),1,0)</f>
        <v>0</v>
      </c>
      <c r="AD95" s="78" cm="1">
        <f t="array" ref="AD95">IF(AND(AD$4&gt;=INDEX(plan!$J:$J, $B95), AD$4&lt;=INDEX(plan!$K:$K, $B95)),1,0)</f>
        <v>0</v>
      </c>
      <c r="AE95" s="78" cm="1">
        <f t="array" ref="AE95">IF(AND(AE$4&gt;=INDEX(plan!$J:$J, $B95), AE$4&lt;=INDEX(plan!$K:$K, $B95)),1,0)</f>
        <v>0</v>
      </c>
      <c r="AF95" s="78" cm="1">
        <f t="array" ref="AF95">IF(AND(AF$4&gt;=INDEX(plan!$J:$J, $B95), AF$4&lt;=INDEX(plan!$K:$K, $B95)),1,0)</f>
        <v>0</v>
      </c>
      <c r="AG95" s="79" cm="1">
        <f t="array" ref="AG95">IF(AND(AG$4&gt;=INDEX(plan!$J:$J, $B95), AG$4&lt;=INDEX(plan!$K:$K, $B95)),1,0)</f>
        <v>0</v>
      </c>
      <c r="AH95" s="74" cm="1">
        <f t="array" ref="AH95">IF(AND(AH$4&gt;=INDEX(plan!$J:$J, $B95), AH$4&lt;=INDEX(plan!$K:$K, $B95)),1,0)</f>
        <v>0</v>
      </c>
      <c r="AI95" s="78" cm="1">
        <f t="array" ref="AI95">IF(AND(AI$4&gt;=INDEX(plan!$J:$J, $B95), AI$4&lt;=INDEX(plan!$K:$K, $B95)),1,0)</f>
        <v>0</v>
      </c>
      <c r="AJ95" s="78" cm="1">
        <f t="array" ref="AJ95">IF(AND(AJ$4&gt;=INDEX(plan!$J:$J, $B95), AJ$4&lt;=INDEX(plan!$K:$K, $B95)),1,0)</f>
        <v>0</v>
      </c>
      <c r="AK95" s="78" cm="1">
        <f t="array" ref="AK95">IF(AND(AK$4&gt;=INDEX(plan!$J:$J, $B95), AK$4&lt;=INDEX(plan!$K:$K, $B95)),1,0)</f>
        <v>0</v>
      </c>
      <c r="AL95" s="78" cm="1">
        <f t="array" ref="AL95">IF(AND(AL$4&gt;=INDEX(plan!$J:$J, $B95), AL$4&lt;=INDEX(plan!$K:$K, $B95)),1,0)</f>
        <v>0</v>
      </c>
      <c r="AM95" s="78" cm="1">
        <f t="array" ref="AM95">IF(AND(AM$4&gt;=INDEX(plan!$J:$J, $B95), AM$4&lt;=INDEX(plan!$K:$K, $B95)),1,0)</f>
        <v>0</v>
      </c>
      <c r="AN95" s="79" cm="1">
        <f t="array" ref="AN95">IF(AND(AN$4&gt;=INDEX(plan!$J:$J, $B95), AN$4&lt;=INDEX(plan!$K:$K, $B95)),1,0)</f>
        <v>0</v>
      </c>
      <c r="AO95" s="74"/>
      <c r="AP95" s="78"/>
      <c r="AQ95" s="78"/>
      <c r="AR95" s="78"/>
      <c r="AS95" s="78"/>
      <c r="AT95" s="78"/>
      <c r="AU95" s="79"/>
    </row>
    <row r="96" spans="1:47" ht="12.95" hidden="1" customHeight="1" x14ac:dyDescent="0.3">
      <c r="A96" s="36"/>
      <c r="B96" s="300"/>
      <c r="C96" s="275"/>
      <c r="D96" s="279"/>
      <c r="E96" s="277"/>
      <c r="F96" s="75" cm="1">
        <f t="array" ref="F96">_xlfn.LET(
  _xlpm.act,   cronograma!$C95,
  _xlpm.fecha, cronograma!F$4,
  _xlpm.ini,   INDEX(plan!$J:$J, $B95),
  _xlpm.fin,   INDEX(plan!$K:$K, $B95),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96" s="76" cm="1">
        <f t="array" ref="G96">_xlfn.LET(
  _xlpm.act,   cronograma!$C95,
  _xlpm.fecha, cronograma!G$4,
  _xlpm.ini,   INDEX(plan!$J:$J, $B95),
  _xlpm.fin,   INDEX(plan!$K:$K, $B95),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96" s="76" cm="1">
        <f t="array" ref="H96">_xlfn.LET(
  _xlpm.act,   cronograma!$C95,
  _xlpm.fecha, cronograma!H$4,
  _xlpm.ini,   INDEX(plan!$J:$J, $B95),
  _xlpm.fin,   INDEX(plan!$K:$K, $B95),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96" s="76" cm="1">
        <f t="array" ref="I96">_xlfn.LET(
  _xlpm.act,   cronograma!$C95,
  _xlpm.fecha, cronograma!I$4,
  _xlpm.ini,   INDEX(plan!$J:$J, $B95),
  _xlpm.fin,   INDEX(plan!$K:$K, $B95),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96" s="76" cm="1">
        <f t="array" ref="J96">_xlfn.LET(
  _xlpm.act,   cronograma!$C95,
  _xlpm.fecha, cronograma!J$4,
  _xlpm.ini,   INDEX(plan!$J:$J, $B95),
  _xlpm.fin,   INDEX(plan!$K:$K, $B95),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96" s="76" cm="1">
        <f t="array" ref="K96">_xlfn.LET(
  _xlpm.act,   cronograma!$C95,
  _xlpm.fecha, cronograma!K$4,
  _xlpm.ini,   INDEX(plan!$J:$J, $B95),
  _xlpm.fin,   INDEX(plan!$K:$K, $B95),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96" s="77" cm="1">
        <f t="array" ref="L96">_xlfn.LET(
  _xlpm.act,   cronograma!$C95,
  _xlpm.fecha, cronograma!L$4,
  _xlpm.ini,   INDEX(plan!$J:$J, $B95),
  _xlpm.fin,   INDEX(plan!$K:$K, $B95),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96" s="75" cm="1">
        <f t="array" ref="M96">_xlfn.LET(
  _xlpm.act,   cronograma!$C95,
  _xlpm.fecha, cronograma!M$4,
  _xlpm.ini,   INDEX(plan!$J:$J, $B95),
  _xlpm.fin,   INDEX(plan!$K:$K, $B95),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96" s="76" cm="1">
        <f t="array" ref="N96">_xlfn.LET(
  _xlpm.act,   cronograma!$C95,
  _xlpm.fecha, cronograma!N$4,
  _xlpm.ini,   INDEX(plan!$J:$J, $B95),
  _xlpm.fin,   INDEX(plan!$K:$K, $B95),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96" s="76" cm="1">
        <f t="array" ref="O96">_xlfn.LET(
  _xlpm.act,   cronograma!$C95,
  _xlpm.fecha, cronograma!O$4,
  _xlpm.ini,   INDEX(plan!$J:$J, $B95),
  _xlpm.fin,   INDEX(plan!$K:$K, $B95),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96" s="76" cm="1">
        <f t="array" ref="P96">_xlfn.LET(
  _xlpm.act,   cronograma!$C95,
  _xlpm.fecha, cronograma!P$4,
  _xlpm.ini,   INDEX(plan!$J:$J, $B95),
  _xlpm.fin,   INDEX(plan!$K:$K, $B95),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96" s="76" cm="1">
        <f t="array" ref="Q96">_xlfn.LET(
  _xlpm.act,   cronograma!$C95,
  _xlpm.fecha, cronograma!Q$4,
  _xlpm.ini,   INDEX(plan!$J:$J, $B95),
  _xlpm.fin,   INDEX(plan!$K:$K, $B95),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96" s="76" cm="1">
        <f t="array" ref="R96">_xlfn.LET(
  _xlpm.act,   cronograma!$C95,
  _xlpm.fecha, cronograma!R$4,
  _xlpm.ini,   INDEX(plan!$J:$J, $B95),
  _xlpm.fin,   INDEX(plan!$K:$K, $B95),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96" s="77" cm="1">
        <f t="array" ref="S96">_xlfn.LET(
  _xlpm.act,   cronograma!$C95,
  _xlpm.fecha, cronograma!S$4,
  _xlpm.ini,   INDEX(plan!$J:$J, $B95),
  _xlpm.fin,   INDEX(plan!$K:$K, $B95),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96" s="75" cm="1">
        <f t="array" ref="T96">_xlfn.LET(
  _xlpm.act,   cronograma!$C95,
  _xlpm.fecha, cronograma!T$4,
  _xlpm.ini,   INDEX(plan!$J:$J, $B95),
  _xlpm.fin,   INDEX(plan!$K:$K, $B95),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96" s="76" cm="1">
        <f t="array" ref="U96">_xlfn.LET(
  _xlpm.act,   cronograma!$C95,
  _xlpm.fecha, cronograma!U$4,
  _xlpm.ini,   INDEX(plan!$J:$J, $B95),
  _xlpm.fin,   INDEX(plan!$K:$K, $B95),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96" s="76" cm="1">
        <f t="array" ref="V96">_xlfn.LET(
  _xlpm.act,   cronograma!$C95,
  _xlpm.fecha, cronograma!V$4,
  _xlpm.ini,   INDEX(plan!$J:$J, $B95),
  _xlpm.fin,   INDEX(plan!$K:$K, $B95),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96" s="76" cm="1">
        <f t="array" ref="W96">_xlfn.LET(
  _xlpm.act,   cronograma!$C95,
  _xlpm.fecha, cronograma!W$4,
  _xlpm.ini,   INDEX(plan!$J:$J, $B95),
  _xlpm.fin,   INDEX(plan!$K:$K, $B95),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96" s="76" cm="1">
        <f t="array" ref="X96">_xlfn.LET(
  _xlpm.act,   cronograma!$C95,
  _xlpm.fecha, cronograma!X$4,
  _xlpm.ini,   INDEX(plan!$J:$J, $B95),
  _xlpm.fin,   INDEX(plan!$K:$K, $B95),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96" s="76" cm="1">
        <f t="array" ref="Y96">_xlfn.LET(
  _xlpm.act,   cronograma!$C95,
  _xlpm.fecha, cronograma!Y$4,
  _xlpm.ini,   INDEX(plan!$J:$J, $B95),
  _xlpm.fin,   INDEX(plan!$K:$K, $B95),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96" s="77" cm="1">
        <f t="array" ref="Z96">_xlfn.LET(
  _xlpm.act,   cronograma!$C95,
  _xlpm.fecha, cronograma!Z$4,
  _xlpm.ini,   INDEX(plan!$J:$J, $B95),
  _xlpm.fin,   INDEX(plan!$K:$K, $B95),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96" s="75" cm="1">
        <f t="array" ref="AA96">_xlfn.LET(
  _xlpm.act,   cronograma!$C95,
  _xlpm.fecha, cronograma!AA$4,
  _xlpm.ini,   INDEX(plan!$J:$J, $B95),
  _xlpm.fin,   INDEX(plan!$K:$K, $B95),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96" s="76" cm="1">
        <f t="array" ref="AB96">_xlfn.LET(
  _xlpm.act,   cronograma!$C95,
  _xlpm.fecha, cronograma!AB$4,
  _xlpm.ini,   INDEX(plan!$J:$J, $B95),
  _xlpm.fin,   INDEX(plan!$K:$K, $B95),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96" s="76" cm="1">
        <f t="array" ref="AC96">_xlfn.LET(
  _xlpm.act,   cronograma!$C95,
  _xlpm.fecha, cronograma!AC$4,
  _xlpm.ini,   INDEX(plan!$J:$J, $B95),
  _xlpm.fin,   INDEX(plan!$K:$K, $B95),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96" s="76" cm="1">
        <f t="array" ref="AD96">_xlfn.LET(
  _xlpm.act,   cronograma!$C95,
  _xlpm.fecha, cronograma!AD$4,
  _xlpm.ini,   INDEX(plan!$J:$J, $B95),
  _xlpm.fin,   INDEX(plan!$K:$K, $B95),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96" s="76" cm="1">
        <f t="array" ref="AE96">_xlfn.LET(
  _xlpm.act,   cronograma!$C95,
  _xlpm.fecha, cronograma!AE$4,
  _xlpm.ini,   INDEX(plan!$J:$J, $B95),
  _xlpm.fin,   INDEX(plan!$K:$K, $B95),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96" s="76" cm="1">
        <f t="array" ref="AF96">_xlfn.LET(
  _xlpm.act,   cronograma!$C95,
  _xlpm.fecha, cronograma!AF$4,
  _xlpm.ini,   INDEX(plan!$J:$J, $B95),
  _xlpm.fin,   INDEX(plan!$K:$K, $B95),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96" s="77" cm="1">
        <f t="array" ref="AG96">_xlfn.LET(
  _xlpm.act,   cronograma!$C95,
  _xlpm.fecha, cronograma!AG$4,
  _xlpm.ini,   INDEX(plan!$J:$J, $B95),
  _xlpm.fin,   INDEX(plan!$K:$K, $B95),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96" s="75" cm="1">
        <f t="array" ref="AH96">_xlfn.LET(
  _xlpm.act,   cronograma!$C95,
  _xlpm.fecha, cronograma!AH$4,
  _xlpm.ini,   INDEX(plan!$J:$J, $B95),
  _xlpm.fin,   INDEX(plan!$K:$K, $B95),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96" s="76" cm="1">
        <f t="array" ref="AI96">_xlfn.LET(
  _xlpm.act,   cronograma!$C95,
  _xlpm.fecha, cronograma!AI$4,
  _xlpm.ini,   INDEX(plan!$J:$J, $B95),
  _xlpm.fin,   INDEX(plan!$K:$K, $B95),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96" s="76" cm="1">
        <f t="array" ref="AJ96">_xlfn.LET(
  _xlpm.act,   cronograma!$C95,
  _xlpm.fecha, cronograma!AJ$4,
  _xlpm.ini,   INDEX(plan!$J:$J, $B95),
  _xlpm.fin,   INDEX(plan!$K:$K, $B95),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96" s="76" cm="1">
        <f t="array" ref="AK96">_xlfn.LET(
  _xlpm.act,   cronograma!$C95,
  _xlpm.fecha, cronograma!AK$4,
  _xlpm.ini,   INDEX(plan!$J:$J, $B95),
  _xlpm.fin,   INDEX(plan!$K:$K, $B95),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96" s="76" cm="1">
        <f t="array" ref="AL96">_xlfn.LET(
  _xlpm.act,   cronograma!$C95,
  _xlpm.fecha, cronograma!AL$4,
  _xlpm.ini,   INDEX(plan!$J:$J, $B95),
  _xlpm.fin,   INDEX(plan!$K:$K, $B95),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96" s="76" cm="1">
        <f t="array" ref="AM96">_xlfn.LET(
  _xlpm.act,   cronograma!$C95,
  _xlpm.fecha, cronograma!AM$4,
  _xlpm.ini,   INDEX(plan!$J:$J, $B95),
  _xlpm.fin,   INDEX(plan!$K:$K, $B95),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96" s="77" cm="1">
        <f t="array" ref="AN96">_xlfn.LET(
  _xlpm.act,   cronograma!$C95,
  _xlpm.fecha, cronograma!AN$4,
  _xlpm.ini,   INDEX(plan!$J:$J, $B95),
  _xlpm.fin,   INDEX(plan!$K:$K, $B95),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O96" s="75"/>
      <c r="AP96" s="76"/>
      <c r="AQ96" s="76"/>
      <c r="AR96" s="76"/>
      <c r="AS96" s="76"/>
      <c r="AT96" s="76"/>
      <c r="AU96" s="77"/>
    </row>
    <row r="97" spans="1:47" ht="12.95" hidden="1" customHeight="1" x14ac:dyDescent="0.3">
      <c r="A97" s="36"/>
      <c r="B97" s="301">
        <f>plan!B50</f>
        <v>50</v>
      </c>
      <c r="C97" s="274" t="str">
        <f>plan!C50</f>
        <v>Ficticia #4</v>
      </c>
      <c r="D97" s="278" cm="1">
        <f t="array" ref="D97">INDEX(plan!$I:$I, $B97)</f>
        <v>0</v>
      </c>
      <c r="E97" s="276" cm="1">
        <f t="array" ref="E97">INDEX(plan!$U:$U, $B97)</f>
        <v>0</v>
      </c>
      <c r="F97" s="74" cm="1">
        <f t="array" ref="F97">IF(AND(F$4&gt;=INDEX(plan!$J:$J, $B97), F$4&lt;=INDEX(plan!$K:$K, $B97)),1,0)</f>
        <v>0</v>
      </c>
      <c r="G97" s="78" cm="1">
        <f t="array" ref="G97">IF(AND(G$4&gt;=INDEX(plan!$J:$J, $B97), G$4&lt;=INDEX(plan!$K:$K, $B97)),1,0)</f>
        <v>0</v>
      </c>
      <c r="H97" s="78" cm="1">
        <f t="array" ref="H97">IF(AND(H$4&gt;=INDEX(plan!$J:$J, $B97), H$4&lt;=INDEX(plan!$K:$K, $B97)),1,0)</f>
        <v>0</v>
      </c>
      <c r="I97" s="78" cm="1">
        <f t="array" ref="I97">IF(AND(I$4&gt;=INDEX(plan!$J:$J, $B97), I$4&lt;=INDEX(plan!$K:$K, $B97)),1,0)</f>
        <v>0</v>
      </c>
      <c r="J97" s="78" cm="1">
        <f t="array" ref="J97">IF(AND(J$4&gt;=INDEX(plan!$J:$J, $B97), J$4&lt;=INDEX(plan!$K:$K, $B97)),1,0)</f>
        <v>0</v>
      </c>
      <c r="K97" s="78" cm="1">
        <f t="array" ref="K97">IF(AND(K$4&gt;=INDEX(plan!$J:$J, $B97), K$4&lt;=INDEX(plan!$K:$K, $B97)),1,0)</f>
        <v>0</v>
      </c>
      <c r="L97" s="79" cm="1">
        <f t="array" ref="L97">IF(AND(L$4&gt;=INDEX(plan!$J:$J, $B97), L$4&lt;=INDEX(plan!$K:$K, $B97)),1,0)</f>
        <v>0</v>
      </c>
      <c r="M97" s="74" cm="1">
        <f t="array" ref="M97">IF(AND(M$4&gt;=INDEX(plan!$J:$J, $B97), M$4&lt;=INDEX(plan!$K:$K, $B97)),1,0)</f>
        <v>0</v>
      </c>
      <c r="N97" s="78" cm="1">
        <f t="array" ref="N97">IF(AND(N$4&gt;=INDEX(plan!$J:$J, $B97), N$4&lt;=INDEX(plan!$K:$K, $B97)),1,0)</f>
        <v>0</v>
      </c>
      <c r="O97" s="78" cm="1">
        <f t="array" ref="O97">IF(AND(O$4&gt;=INDEX(plan!$J:$J, $B97), O$4&lt;=INDEX(plan!$K:$K, $B97)),1,0)</f>
        <v>0</v>
      </c>
      <c r="P97" s="78" cm="1">
        <f t="array" ref="P97">IF(AND(P$4&gt;=INDEX(plan!$J:$J, $B97), P$4&lt;=INDEX(plan!$K:$K, $B97)),1,0)</f>
        <v>0</v>
      </c>
      <c r="Q97" s="78" cm="1">
        <f t="array" ref="Q97">IF(AND(Q$4&gt;=INDEX(plan!$J:$J, $B97), Q$4&lt;=INDEX(plan!$K:$K, $B97)),1,0)</f>
        <v>0</v>
      </c>
      <c r="R97" s="78" cm="1">
        <f t="array" ref="R97">IF(AND(R$4&gt;=INDEX(plan!$J:$J, $B97), R$4&lt;=INDEX(plan!$K:$K, $B97)),1,0)</f>
        <v>0</v>
      </c>
      <c r="S97" s="79" cm="1">
        <f t="array" ref="S97">IF(AND(S$4&gt;=INDEX(plan!$J:$J, $B97), S$4&lt;=INDEX(plan!$K:$K, $B97)),1,0)</f>
        <v>0</v>
      </c>
      <c r="T97" s="74" cm="1">
        <f t="array" ref="T97">IF(AND(T$4&gt;=INDEX(plan!$J:$J, $B97), T$4&lt;=INDEX(plan!$K:$K, $B97)),1,0)</f>
        <v>0</v>
      </c>
      <c r="U97" s="78" cm="1">
        <f t="array" ref="U97">IF(AND(U$4&gt;=INDEX(plan!$J:$J, $B97), U$4&lt;=INDEX(plan!$K:$K, $B97)),1,0)</f>
        <v>0</v>
      </c>
      <c r="V97" s="78" cm="1">
        <f t="array" ref="V97">IF(AND(V$4&gt;=INDEX(plan!$J:$J, $B97), V$4&lt;=INDEX(plan!$K:$K, $B97)),1,0)</f>
        <v>0</v>
      </c>
      <c r="W97" s="78" cm="1">
        <f t="array" ref="W97">IF(AND(W$4&gt;=INDEX(plan!$J:$J, $B97), W$4&lt;=INDEX(plan!$K:$K, $B97)),1,0)</f>
        <v>0</v>
      </c>
      <c r="X97" s="78" cm="1">
        <f t="array" ref="X97">IF(AND(X$4&gt;=INDEX(plan!$J:$J, $B97), X$4&lt;=INDEX(plan!$K:$K, $B97)),1,0)</f>
        <v>0</v>
      </c>
      <c r="Y97" s="78" cm="1">
        <f t="array" ref="Y97">IF(AND(Y$4&gt;=INDEX(plan!$J:$J, $B97), Y$4&lt;=INDEX(plan!$K:$K, $B97)),1,0)</f>
        <v>0</v>
      </c>
      <c r="Z97" s="79" cm="1">
        <f t="array" ref="Z97">IF(AND(Z$4&gt;=INDEX(plan!$J:$J, $B97), Z$4&lt;=INDEX(plan!$K:$K, $B97)),1,0)</f>
        <v>0</v>
      </c>
      <c r="AA97" s="74" cm="1">
        <f t="array" ref="AA97">IF(AND(AA$4&gt;=INDEX(plan!$J:$J, $B97), AA$4&lt;=INDEX(plan!$K:$K, $B97)),1,0)</f>
        <v>0</v>
      </c>
      <c r="AB97" s="78" cm="1">
        <f t="array" ref="AB97">IF(AND(AB$4&gt;=INDEX(plan!$J:$J, $B97), AB$4&lt;=INDEX(plan!$K:$K, $B97)),1,0)</f>
        <v>0</v>
      </c>
      <c r="AC97" s="78" cm="1">
        <f t="array" ref="AC97">IF(AND(AC$4&gt;=INDEX(plan!$J:$J, $B97), AC$4&lt;=INDEX(plan!$K:$K, $B97)),1,0)</f>
        <v>0</v>
      </c>
      <c r="AD97" s="78" cm="1">
        <f t="array" ref="AD97">IF(AND(AD$4&gt;=INDEX(plan!$J:$J, $B97), AD$4&lt;=INDEX(plan!$K:$K, $B97)),1,0)</f>
        <v>0</v>
      </c>
      <c r="AE97" s="78" cm="1">
        <f t="array" ref="AE97">IF(AND(AE$4&gt;=INDEX(plan!$J:$J, $B97), AE$4&lt;=INDEX(plan!$K:$K, $B97)),1,0)</f>
        <v>0</v>
      </c>
      <c r="AF97" s="78" cm="1">
        <f t="array" ref="AF97">IF(AND(AF$4&gt;=INDEX(plan!$J:$J, $B97), AF$4&lt;=INDEX(plan!$K:$K, $B97)),1,0)</f>
        <v>0</v>
      </c>
      <c r="AG97" s="79" cm="1">
        <f t="array" ref="AG97">IF(AND(AG$4&gt;=INDEX(plan!$J:$J, $B97), AG$4&lt;=INDEX(plan!$K:$K, $B97)),1,0)</f>
        <v>0</v>
      </c>
      <c r="AH97" s="74" cm="1">
        <f t="array" ref="AH97">IF(AND(AH$4&gt;=INDEX(plan!$J:$J, $B97), AH$4&lt;=INDEX(plan!$K:$K, $B97)),1,0)</f>
        <v>0</v>
      </c>
      <c r="AI97" s="78" cm="1">
        <f t="array" ref="AI97">IF(AND(AI$4&gt;=INDEX(plan!$J:$J, $B97), AI$4&lt;=INDEX(plan!$K:$K, $B97)),1,0)</f>
        <v>0</v>
      </c>
      <c r="AJ97" s="78" cm="1">
        <f t="array" ref="AJ97">IF(AND(AJ$4&gt;=INDEX(plan!$J:$J, $B97), AJ$4&lt;=INDEX(plan!$K:$K, $B97)),1,0)</f>
        <v>0</v>
      </c>
      <c r="AK97" s="78" cm="1">
        <f t="array" ref="AK97">IF(AND(AK$4&gt;=INDEX(plan!$J:$J, $B97), AK$4&lt;=INDEX(plan!$K:$K, $B97)),1,0)</f>
        <v>0</v>
      </c>
      <c r="AL97" s="78" cm="1">
        <f t="array" ref="AL97">IF(AND(AL$4&gt;=INDEX(plan!$J:$J, $B97), AL$4&lt;=INDEX(plan!$K:$K, $B97)),1,0)</f>
        <v>0</v>
      </c>
      <c r="AM97" s="78" cm="1">
        <f t="array" ref="AM97">IF(AND(AM$4&gt;=INDEX(plan!$J:$J, $B97), AM$4&lt;=INDEX(plan!$K:$K, $B97)),1,0)</f>
        <v>0</v>
      </c>
      <c r="AN97" s="79" cm="1">
        <f t="array" ref="AN97">IF(AND(AN$4&gt;=INDEX(plan!$J:$J, $B97), AN$4&lt;=INDEX(plan!$K:$K, $B97)),1,0)</f>
        <v>0</v>
      </c>
      <c r="AO97" s="74"/>
      <c r="AP97" s="78"/>
      <c r="AQ97" s="78"/>
      <c r="AR97" s="78"/>
      <c r="AS97" s="78"/>
      <c r="AT97" s="78"/>
      <c r="AU97" s="79"/>
    </row>
    <row r="98" spans="1:47" ht="12.95" hidden="1" customHeight="1" x14ac:dyDescent="0.3">
      <c r="A98" s="36"/>
      <c r="B98" s="300"/>
      <c r="C98" s="275"/>
      <c r="D98" s="279"/>
      <c r="E98" s="277"/>
      <c r="F98" s="75" cm="1">
        <f t="array" ref="F98">_xlfn.LET(
  _xlpm.act,   cronograma!$C97,
  _xlpm.fecha, cronograma!F$4,
  _xlpm.ini,   INDEX(plan!$J:$J, $B97),
  _xlpm.fin,   INDEX(plan!$K:$K, $B97),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98" s="76" cm="1">
        <f t="array" ref="G98">_xlfn.LET(
  _xlpm.act,   cronograma!$C97,
  _xlpm.fecha, cronograma!G$4,
  _xlpm.ini,   INDEX(plan!$J:$J, $B97),
  _xlpm.fin,   INDEX(plan!$K:$K, $B97),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98" s="76" cm="1">
        <f t="array" ref="H98">_xlfn.LET(
  _xlpm.act,   cronograma!$C97,
  _xlpm.fecha, cronograma!H$4,
  _xlpm.ini,   INDEX(plan!$J:$J, $B97),
  _xlpm.fin,   INDEX(plan!$K:$K, $B97),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98" s="76" cm="1">
        <f t="array" ref="I98">_xlfn.LET(
  _xlpm.act,   cronograma!$C97,
  _xlpm.fecha, cronograma!I$4,
  _xlpm.ini,   INDEX(plan!$J:$J, $B97),
  _xlpm.fin,   INDEX(plan!$K:$K, $B97),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98" s="76" cm="1">
        <f t="array" ref="J98">_xlfn.LET(
  _xlpm.act,   cronograma!$C97,
  _xlpm.fecha, cronograma!J$4,
  _xlpm.ini,   INDEX(plan!$J:$J, $B97),
  _xlpm.fin,   INDEX(plan!$K:$K, $B97),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98" s="76" cm="1">
        <f t="array" ref="K98">_xlfn.LET(
  _xlpm.act,   cronograma!$C97,
  _xlpm.fecha, cronograma!K$4,
  _xlpm.ini,   INDEX(plan!$J:$J, $B97),
  _xlpm.fin,   INDEX(plan!$K:$K, $B97),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98" s="77" cm="1">
        <f t="array" ref="L98">_xlfn.LET(
  _xlpm.act,   cronograma!$C97,
  _xlpm.fecha, cronograma!L$4,
  _xlpm.ini,   INDEX(plan!$J:$J, $B97),
  _xlpm.fin,   INDEX(plan!$K:$K, $B97),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98" s="75" cm="1">
        <f t="array" ref="M98">_xlfn.LET(
  _xlpm.act,   cronograma!$C97,
  _xlpm.fecha, cronograma!M$4,
  _xlpm.ini,   INDEX(plan!$J:$J, $B97),
  _xlpm.fin,   INDEX(plan!$K:$K, $B97),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98" s="76" cm="1">
        <f t="array" ref="N98">_xlfn.LET(
  _xlpm.act,   cronograma!$C97,
  _xlpm.fecha, cronograma!N$4,
  _xlpm.ini,   INDEX(plan!$J:$J, $B97),
  _xlpm.fin,   INDEX(plan!$K:$K, $B97),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98" s="76" cm="1">
        <f t="array" ref="O98">_xlfn.LET(
  _xlpm.act,   cronograma!$C97,
  _xlpm.fecha, cronograma!O$4,
  _xlpm.ini,   INDEX(plan!$J:$J, $B97),
  _xlpm.fin,   INDEX(plan!$K:$K, $B97),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98" s="76" cm="1">
        <f t="array" ref="P98">_xlfn.LET(
  _xlpm.act,   cronograma!$C97,
  _xlpm.fecha, cronograma!P$4,
  _xlpm.ini,   INDEX(plan!$J:$J, $B97),
  _xlpm.fin,   INDEX(plan!$K:$K, $B97),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98" s="76" cm="1">
        <f t="array" ref="Q98">_xlfn.LET(
  _xlpm.act,   cronograma!$C97,
  _xlpm.fecha, cronograma!Q$4,
  _xlpm.ini,   INDEX(plan!$J:$J, $B97),
  _xlpm.fin,   INDEX(plan!$K:$K, $B97),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98" s="76" cm="1">
        <f t="array" ref="R98">_xlfn.LET(
  _xlpm.act,   cronograma!$C97,
  _xlpm.fecha, cronograma!R$4,
  _xlpm.ini,   INDEX(plan!$J:$J, $B97),
  _xlpm.fin,   INDEX(plan!$K:$K, $B97),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98" s="77" cm="1">
        <f t="array" ref="S98">_xlfn.LET(
  _xlpm.act,   cronograma!$C97,
  _xlpm.fecha, cronograma!S$4,
  _xlpm.ini,   INDEX(plan!$J:$J, $B97),
  _xlpm.fin,   INDEX(plan!$K:$K, $B97),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98" s="75" cm="1">
        <f t="array" ref="T98">_xlfn.LET(
  _xlpm.act,   cronograma!$C97,
  _xlpm.fecha, cronograma!T$4,
  _xlpm.ini,   INDEX(plan!$J:$J, $B97),
  _xlpm.fin,   INDEX(plan!$K:$K, $B97),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98" s="76" cm="1">
        <f t="array" ref="U98">_xlfn.LET(
  _xlpm.act,   cronograma!$C97,
  _xlpm.fecha, cronograma!U$4,
  _xlpm.ini,   INDEX(plan!$J:$J, $B97),
  _xlpm.fin,   INDEX(plan!$K:$K, $B97),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98" s="76" cm="1">
        <f t="array" ref="V98">_xlfn.LET(
  _xlpm.act,   cronograma!$C97,
  _xlpm.fecha, cronograma!V$4,
  _xlpm.ini,   INDEX(plan!$J:$J, $B97),
  _xlpm.fin,   INDEX(plan!$K:$K, $B97),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98" s="76" cm="1">
        <f t="array" ref="W98">_xlfn.LET(
  _xlpm.act,   cronograma!$C97,
  _xlpm.fecha, cronograma!W$4,
  _xlpm.ini,   INDEX(plan!$J:$J, $B97),
  _xlpm.fin,   INDEX(plan!$K:$K, $B97),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98" s="76" cm="1">
        <f t="array" ref="X98">_xlfn.LET(
  _xlpm.act,   cronograma!$C97,
  _xlpm.fecha, cronograma!X$4,
  _xlpm.ini,   INDEX(plan!$J:$J, $B97),
  _xlpm.fin,   INDEX(plan!$K:$K, $B97),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98" s="76" cm="1">
        <f t="array" ref="Y98">_xlfn.LET(
  _xlpm.act,   cronograma!$C97,
  _xlpm.fecha, cronograma!Y$4,
  _xlpm.ini,   INDEX(plan!$J:$J, $B97),
  _xlpm.fin,   INDEX(plan!$K:$K, $B97),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98" s="77" cm="1">
        <f t="array" ref="Z98">_xlfn.LET(
  _xlpm.act,   cronograma!$C97,
  _xlpm.fecha, cronograma!Z$4,
  _xlpm.ini,   INDEX(plan!$J:$J, $B97),
  _xlpm.fin,   INDEX(plan!$K:$K, $B97),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98" s="75" cm="1">
        <f t="array" ref="AA98">_xlfn.LET(
  _xlpm.act,   cronograma!$C97,
  _xlpm.fecha, cronograma!AA$4,
  _xlpm.ini,   INDEX(plan!$J:$J, $B97),
  _xlpm.fin,   INDEX(plan!$K:$K, $B97),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98" s="76" cm="1">
        <f t="array" ref="AB98">_xlfn.LET(
  _xlpm.act,   cronograma!$C97,
  _xlpm.fecha, cronograma!AB$4,
  _xlpm.ini,   INDEX(plan!$J:$J, $B97),
  _xlpm.fin,   INDEX(plan!$K:$K, $B97),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98" s="76" cm="1">
        <f t="array" ref="AC98">_xlfn.LET(
  _xlpm.act,   cronograma!$C97,
  _xlpm.fecha, cronograma!AC$4,
  _xlpm.ini,   INDEX(plan!$J:$J, $B97),
  _xlpm.fin,   INDEX(plan!$K:$K, $B97),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98" s="76" cm="1">
        <f t="array" ref="AD98">_xlfn.LET(
  _xlpm.act,   cronograma!$C97,
  _xlpm.fecha, cronograma!AD$4,
  _xlpm.ini,   INDEX(plan!$J:$J, $B97),
  _xlpm.fin,   INDEX(plan!$K:$K, $B97),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98" s="76" cm="1">
        <f t="array" ref="AE98">_xlfn.LET(
  _xlpm.act,   cronograma!$C97,
  _xlpm.fecha, cronograma!AE$4,
  _xlpm.ini,   INDEX(plan!$J:$J, $B97),
  _xlpm.fin,   INDEX(plan!$K:$K, $B97),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98" s="76" cm="1">
        <f t="array" ref="AF98">_xlfn.LET(
  _xlpm.act,   cronograma!$C97,
  _xlpm.fecha, cronograma!AF$4,
  _xlpm.ini,   INDEX(plan!$J:$J, $B97),
  _xlpm.fin,   INDEX(plan!$K:$K, $B97),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98" s="77" cm="1">
        <f t="array" ref="AG98">_xlfn.LET(
  _xlpm.act,   cronograma!$C97,
  _xlpm.fecha, cronograma!AG$4,
  _xlpm.ini,   INDEX(plan!$J:$J, $B97),
  _xlpm.fin,   INDEX(plan!$K:$K, $B97),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98" s="75" cm="1">
        <f t="array" ref="AH98">_xlfn.LET(
  _xlpm.act,   cronograma!$C97,
  _xlpm.fecha, cronograma!AH$4,
  _xlpm.ini,   INDEX(plan!$J:$J, $B97),
  _xlpm.fin,   INDEX(plan!$K:$K, $B97),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98" s="76" cm="1">
        <f t="array" ref="AI98">_xlfn.LET(
  _xlpm.act,   cronograma!$C97,
  _xlpm.fecha, cronograma!AI$4,
  _xlpm.ini,   INDEX(plan!$J:$J, $B97),
  _xlpm.fin,   INDEX(plan!$K:$K, $B97),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98" s="76" cm="1">
        <f t="array" ref="AJ98">_xlfn.LET(
  _xlpm.act,   cronograma!$C97,
  _xlpm.fecha, cronograma!AJ$4,
  _xlpm.ini,   INDEX(plan!$J:$J, $B97),
  _xlpm.fin,   INDEX(plan!$K:$K, $B97),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98" s="76" cm="1">
        <f t="array" ref="AK98">_xlfn.LET(
  _xlpm.act,   cronograma!$C97,
  _xlpm.fecha, cronograma!AK$4,
  _xlpm.ini,   INDEX(plan!$J:$J, $B97),
  _xlpm.fin,   INDEX(plan!$K:$K, $B97),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98" s="76" cm="1">
        <f t="array" ref="AL98">_xlfn.LET(
  _xlpm.act,   cronograma!$C97,
  _xlpm.fecha, cronograma!AL$4,
  _xlpm.ini,   INDEX(plan!$J:$J, $B97),
  _xlpm.fin,   INDEX(plan!$K:$K, $B97),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98" s="76" cm="1">
        <f t="array" ref="AM98">_xlfn.LET(
  _xlpm.act,   cronograma!$C97,
  _xlpm.fecha, cronograma!AM$4,
  _xlpm.ini,   INDEX(plan!$J:$J, $B97),
  _xlpm.fin,   INDEX(plan!$K:$K, $B97),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98" s="77" cm="1">
        <f t="array" ref="AN98">_xlfn.LET(
  _xlpm.act,   cronograma!$C97,
  _xlpm.fecha, cronograma!AN$4,
  _xlpm.ini,   INDEX(plan!$J:$J, $B97),
  _xlpm.fin,   INDEX(plan!$K:$K, $B97),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O98" s="75"/>
      <c r="AP98" s="76"/>
      <c r="AQ98" s="76"/>
      <c r="AR98" s="76"/>
      <c r="AS98" s="76"/>
      <c r="AT98" s="76"/>
      <c r="AU98" s="77"/>
    </row>
    <row r="99" spans="1:47" ht="12.95" hidden="1" customHeight="1" x14ac:dyDescent="0.3">
      <c r="A99" s="36"/>
      <c r="B99" s="301">
        <f>plan!B51</f>
        <v>51</v>
      </c>
      <c r="C99" s="274" t="str">
        <f>plan!C51</f>
        <v>Ficticia #5</v>
      </c>
      <c r="D99" s="278" cm="1">
        <f t="array" ref="D99">INDEX(plan!$I:$I, $B99)</f>
        <v>0</v>
      </c>
      <c r="E99" s="276" cm="1">
        <f t="array" ref="E99">INDEX(plan!$U:$U, $B99)</f>
        <v>0</v>
      </c>
      <c r="F99" s="74" cm="1">
        <f t="array" ref="F99">IF(AND(F$4&gt;=INDEX(plan!$J:$J, $B99), F$4&lt;=INDEX(plan!$K:$K, $B99)),1,0)</f>
        <v>0</v>
      </c>
      <c r="G99" s="78" cm="1">
        <f t="array" ref="G99">IF(AND(G$4&gt;=INDEX(plan!$J:$J, $B99), G$4&lt;=INDEX(plan!$K:$K, $B99)),1,0)</f>
        <v>0</v>
      </c>
      <c r="H99" s="78" cm="1">
        <f t="array" ref="H99">IF(AND(H$4&gt;=INDEX(plan!$J:$J, $B99), H$4&lt;=INDEX(plan!$K:$K, $B99)),1,0)</f>
        <v>0</v>
      </c>
      <c r="I99" s="78" cm="1">
        <f t="array" ref="I99">IF(AND(I$4&gt;=INDEX(plan!$J:$J, $B99), I$4&lt;=INDEX(plan!$K:$K, $B99)),1,0)</f>
        <v>0</v>
      </c>
      <c r="J99" s="78" cm="1">
        <f t="array" ref="J99">IF(AND(J$4&gt;=INDEX(plan!$J:$J, $B99), J$4&lt;=INDEX(plan!$K:$K, $B99)),1,0)</f>
        <v>0</v>
      </c>
      <c r="K99" s="78" cm="1">
        <f t="array" ref="K99">IF(AND(K$4&gt;=INDEX(plan!$J:$J, $B99), K$4&lt;=INDEX(plan!$K:$K, $B99)),1,0)</f>
        <v>0</v>
      </c>
      <c r="L99" s="79" cm="1">
        <f t="array" ref="L99">IF(AND(L$4&gt;=INDEX(plan!$J:$J, $B99), L$4&lt;=INDEX(plan!$K:$K, $B99)),1,0)</f>
        <v>0</v>
      </c>
      <c r="M99" s="74" cm="1">
        <f t="array" ref="M99">IF(AND(M$4&gt;=INDEX(plan!$J:$J, $B99), M$4&lt;=INDEX(plan!$K:$K, $B99)),1,0)</f>
        <v>0</v>
      </c>
      <c r="N99" s="78" cm="1">
        <f t="array" ref="N99">IF(AND(N$4&gt;=INDEX(plan!$J:$J, $B99), N$4&lt;=INDEX(plan!$K:$K, $B99)),1,0)</f>
        <v>0</v>
      </c>
      <c r="O99" s="78" cm="1">
        <f t="array" ref="O99">IF(AND(O$4&gt;=INDEX(plan!$J:$J, $B99), O$4&lt;=INDEX(plan!$K:$K, $B99)),1,0)</f>
        <v>0</v>
      </c>
      <c r="P99" s="78" cm="1">
        <f t="array" ref="P99">IF(AND(P$4&gt;=INDEX(plan!$J:$J, $B99), P$4&lt;=INDEX(plan!$K:$K, $B99)),1,0)</f>
        <v>0</v>
      </c>
      <c r="Q99" s="78" cm="1">
        <f t="array" ref="Q99">IF(AND(Q$4&gt;=INDEX(plan!$J:$J, $B99), Q$4&lt;=INDEX(plan!$K:$K, $B99)),1,0)</f>
        <v>0</v>
      </c>
      <c r="R99" s="78" cm="1">
        <f t="array" ref="R99">IF(AND(R$4&gt;=INDEX(plan!$J:$J, $B99), R$4&lt;=INDEX(plan!$K:$K, $B99)),1,0)</f>
        <v>0</v>
      </c>
      <c r="S99" s="79" cm="1">
        <f t="array" ref="S99">IF(AND(S$4&gt;=INDEX(plan!$J:$J, $B99), S$4&lt;=INDEX(plan!$K:$K, $B99)),1,0)</f>
        <v>0</v>
      </c>
      <c r="T99" s="74" cm="1">
        <f t="array" ref="T99">IF(AND(T$4&gt;=INDEX(plan!$J:$J, $B99), T$4&lt;=INDEX(plan!$K:$K, $B99)),1,0)</f>
        <v>0</v>
      </c>
      <c r="U99" s="78" cm="1">
        <f t="array" ref="U99">IF(AND(U$4&gt;=INDEX(plan!$J:$J, $B99), U$4&lt;=INDEX(plan!$K:$K, $B99)),1,0)</f>
        <v>0</v>
      </c>
      <c r="V99" s="78" cm="1">
        <f t="array" ref="V99">IF(AND(V$4&gt;=INDEX(plan!$J:$J, $B99), V$4&lt;=INDEX(plan!$K:$K, $B99)),1,0)</f>
        <v>0</v>
      </c>
      <c r="W99" s="78" cm="1">
        <f t="array" ref="W99">IF(AND(W$4&gt;=INDEX(plan!$J:$J, $B99), W$4&lt;=INDEX(plan!$K:$K, $B99)),1,0)</f>
        <v>0</v>
      </c>
      <c r="X99" s="78" cm="1">
        <f t="array" ref="X99">IF(AND(X$4&gt;=INDEX(plan!$J:$J, $B99), X$4&lt;=INDEX(plan!$K:$K, $B99)),1,0)</f>
        <v>0</v>
      </c>
      <c r="Y99" s="78" cm="1">
        <f t="array" ref="Y99">IF(AND(Y$4&gt;=INDEX(plan!$J:$J, $B99), Y$4&lt;=INDEX(plan!$K:$K, $B99)),1,0)</f>
        <v>0</v>
      </c>
      <c r="Z99" s="79" cm="1">
        <f t="array" ref="Z99">IF(AND(Z$4&gt;=INDEX(plan!$J:$J, $B99), Z$4&lt;=INDEX(plan!$K:$K, $B99)),1,0)</f>
        <v>0</v>
      </c>
      <c r="AA99" s="74" cm="1">
        <f t="array" ref="AA99">IF(AND(AA$4&gt;=INDEX(plan!$J:$J, $B99), AA$4&lt;=INDEX(plan!$K:$K, $B99)),1,0)</f>
        <v>0</v>
      </c>
      <c r="AB99" s="78" cm="1">
        <f t="array" ref="AB99">IF(AND(AB$4&gt;=INDEX(plan!$J:$J, $B99), AB$4&lt;=INDEX(plan!$K:$K, $B99)),1,0)</f>
        <v>0</v>
      </c>
      <c r="AC99" s="78" cm="1">
        <f t="array" ref="AC99">IF(AND(AC$4&gt;=INDEX(plan!$J:$J, $B99), AC$4&lt;=INDEX(plan!$K:$K, $B99)),1,0)</f>
        <v>0</v>
      </c>
      <c r="AD99" s="78" cm="1">
        <f t="array" ref="AD99">IF(AND(AD$4&gt;=INDEX(plan!$J:$J, $B99), AD$4&lt;=INDEX(plan!$K:$K, $B99)),1,0)</f>
        <v>0</v>
      </c>
      <c r="AE99" s="78" cm="1">
        <f t="array" ref="AE99">IF(AND(AE$4&gt;=INDEX(plan!$J:$J, $B99), AE$4&lt;=INDEX(plan!$K:$K, $B99)),1,0)</f>
        <v>0</v>
      </c>
      <c r="AF99" s="78" cm="1">
        <f t="array" ref="AF99">IF(AND(AF$4&gt;=INDEX(plan!$J:$J, $B99), AF$4&lt;=INDEX(plan!$K:$K, $B99)),1,0)</f>
        <v>0</v>
      </c>
      <c r="AG99" s="79" cm="1">
        <f t="array" ref="AG99">IF(AND(AG$4&gt;=INDEX(plan!$J:$J, $B99), AG$4&lt;=INDEX(plan!$K:$K, $B99)),1,0)</f>
        <v>0</v>
      </c>
      <c r="AH99" s="74" cm="1">
        <f t="array" ref="AH99">IF(AND(AH$4&gt;=INDEX(plan!$J:$J, $B99), AH$4&lt;=INDEX(plan!$K:$K, $B99)),1,0)</f>
        <v>0</v>
      </c>
      <c r="AI99" s="78" cm="1">
        <f t="array" ref="AI99">IF(AND(AI$4&gt;=INDEX(plan!$J:$J, $B99), AI$4&lt;=INDEX(plan!$K:$K, $B99)),1,0)</f>
        <v>0</v>
      </c>
      <c r="AJ99" s="78" cm="1">
        <f t="array" ref="AJ99">IF(AND(AJ$4&gt;=INDEX(plan!$J:$J, $B99), AJ$4&lt;=INDEX(plan!$K:$K, $B99)),1,0)</f>
        <v>0</v>
      </c>
      <c r="AK99" s="78" cm="1">
        <f t="array" ref="AK99">IF(AND(AK$4&gt;=INDEX(plan!$J:$J, $B99), AK$4&lt;=INDEX(plan!$K:$K, $B99)),1,0)</f>
        <v>0</v>
      </c>
      <c r="AL99" s="78" cm="1">
        <f t="array" ref="AL99">IF(AND(AL$4&gt;=INDEX(plan!$J:$J, $B99), AL$4&lt;=INDEX(plan!$K:$K, $B99)),1,0)</f>
        <v>0</v>
      </c>
      <c r="AM99" s="78" cm="1">
        <f t="array" ref="AM99">IF(AND(AM$4&gt;=INDEX(plan!$J:$J, $B99), AM$4&lt;=INDEX(plan!$K:$K, $B99)),1,0)</f>
        <v>0</v>
      </c>
      <c r="AN99" s="79" cm="1">
        <f t="array" ref="AN99">IF(AND(AN$4&gt;=INDEX(plan!$J:$J, $B99), AN$4&lt;=INDEX(plan!$K:$K, $B99)),1,0)</f>
        <v>0</v>
      </c>
      <c r="AO99" s="74"/>
      <c r="AP99" s="78"/>
      <c r="AQ99" s="78"/>
      <c r="AR99" s="78"/>
      <c r="AS99" s="78"/>
      <c r="AT99" s="78"/>
      <c r="AU99" s="79"/>
    </row>
    <row r="100" spans="1:47" ht="12.95" hidden="1" customHeight="1" x14ac:dyDescent="0.3">
      <c r="A100" s="36"/>
      <c r="B100" s="300"/>
      <c r="C100" s="275"/>
      <c r="D100" s="279"/>
      <c r="E100" s="277"/>
      <c r="F100" s="75" cm="1">
        <f t="array" ref="F100">_xlfn.LET(
  _xlpm.act,   cronograma!$C99,
  _xlpm.fecha, cronograma!F$4,
  _xlpm.ini,   INDEX(plan!$J:$J, $B99),
  _xlpm.fin,   INDEX(plan!$K:$K, $B99),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100" s="76" cm="1">
        <f t="array" ref="G100">_xlfn.LET(
  _xlpm.act,   cronograma!$C99,
  _xlpm.fecha, cronograma!G$4,
  _xlpm.ini,   INDEX(plan!$J:$J, $B99),
  _xlpm.fin,   INDEX(plan!$K:$K, $B99),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100" s="76" cm="1">
        <f t="array" ref="H100">_xlfn.LET(
  _xlpm.act,   cronograma!$C99,
  _xlpm.fecha, cronograma!H$4,
  _xlpm.ini,   INDEX(plan!$J:$J, $B99),
  _xlpm.fin,   INDEX(plan!$K:$K, $B99),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100" s="76" cm="1">
        <f t="array" ref="I100">_xlfn.LET(
  _xlpm.act,   cronograma!$C99,
  _xlpm.fecha, cronograma!I$4,
  _xlpm.ini,   INDEX(plan!$J:$J, $B99),
  _xlpm.fin,   INDEX(plan!$K:$K, $B99),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100" s="76" cm="1">
        <f t="array" ref="J100">_xlfn.LET(
  _xlpm.act,   cronograma!$C99,
  _xlpm.fecha, cronograma!J$4,
  _xlpm.ini,   INDEX(plan!$J:$J, $B99),
  _xlpm.fin,   INDEX(plan!$K:$K, $B99),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100" s="76" cm="1">
        <f t="array" ref="K100">_xlfn.LET(
  _xlpm.act,   cronograma!$C99,
  _xlpm.fecha, cronograma!K$4,
  _xlpm.ini,   INDEX(plan!$J:$J, $B99),
  _xlpm.fin,   INDEX(plan!$K:$K, $B99),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100" s="77" cm="1">
        <f t="array" ref="L100">_xlfn.LET(
  _xlpm.act,   cronograma!$C99,
  _xlpm.fecha, cronograma!L$4,
  _xlpm.ini,   INDEX(plan!$J:$J, $B99),
  _xlpm.fin,   INDEX(plan!$K:$K, $B99),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100" s="75" cm="1">
        <f t="array" ref="M100">_xlfn.LET(
  _xlpm.act,   cronograma!$C99,
  _xlpm.fecha, cronograma!M$4,
  _xlpm.ini,   INDEX(plan!$J:$J, $B99),
  _xlpm.fin,   INDEX(plan!$K:$K, $B99),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100" s="76" cm="1">
        <f t="array" ref="N100">_xlfn.LET(
  _xlpm.act,   cronograma!$C99,
  _xlpm.fecha, cronograma!N$4,
  _xlpm.ini,   INDEX(plan!$J:$J, $B99),
  _xlpm.fin,   INDEX(plan!$K:$K, $B99),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100" s="76" cm="1">
        <f t="array" ref="O100">_xlfn.LET(
  _xlpm.act,   cronograma!$C99,
  _xlpm.fecha, cronograma!O$4,
  _xlpm.ini,   INDEX(plan!$J:$J, $B99),
  _xlpm.fin,   INDEX(plan!$K:$K, $B99),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100" s="76" cm="1">
        <f t="array" ref="P100">_xlfn.LET(
  _xlpm.act,   cronograma!$C99,
  _xlpm.fecha, cronograma!P$4,
  _xlpm.ini,   INDEX(plan!$J:$J, $B99),
  _xlpm.fin,   INDEX(plan!$K:$K, $B99),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100" s="76" cm="1">
        <f t="array" ref="Q100">_xlfn.LET(
  _xlpm.act,   cronograma!$C99,
  _xlpm.fecha, cronograma!Q$4,
  _xlpm.ini,   INDEX(plan!$J:$J, $B99),
  _xlpm.fin,   INDEX(plan!$K:$K, $B99),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100" s="76" cm="1">
        <f t="array" ref="R100">_xlfn.LET(
  _xlpm.act,   cronograma!$C99,
  _xlpm.fecha, cronograma!R$4,
  _xlpm.ini,   INDEX(plan!$J:$J, $B99),
  _xlpm.fin,   INDEX(plan!$K:$K, $B99),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100" s="77" cm="1">
        <f t="array" ref="S100">_xlfn.LET(
  _xlpm.act,   cronograma!$C99,
  _xlpm.fecha, cronograma!S$4,
  _xlpm.ini,   INDEX(plan!$J:$J, $B99),
  _xlpm.fin,   INDEX(plan!$K:$K, $B99),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100" s="75" cm="1">
        <f t="array" ref="T100">_xlfn.LET(
  _xlpm.act,   cronograma!$C99,
  _xlpm.fecha, cronograma!T$4,
  _xlpm.ini,   INDEX(plan!$J:$J, $B99),
  _xlpm.fin,   INDEX(plan!$K:$K, $B99),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100" s="76" cm="1">
        <f t="array" ref="U100">_xlfn.LET(
  _xlpm.act,   cronograma!$C99,
  _xlpm.fecha, cronograma!U$4,
  _xlpm.ini,   INDEX(plan!$J:$J, $B99),
  _xlpm.fin,   INDEX(plan!$K:$K, $B99),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100" s="76" cm="1">
        <f t="array" ref="V100">_xlfn.LET(
  _xlpm.act,   cronograma!$C99,
  _xlpm.fecha, cronograma!V$4,
  _xlpm.ini,   INDEX(plan!$J:$J, $B99),
  _xlpm.fin,   INDEX(plan!$K:$K, $B99),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100" s="76" cm="1">
        <f t="array" ref="W100">_xlfn.LET(
  _xlpm.act,   cronograma!$C99,
  _xlpm.fecha, cronograma!W$4,
  _xlpm.ini,   INDEX(plan!$J:$J, $B99),
  _xlpm.fin,   INDEX(plan!$K:$K, $B99),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100" s="76" cm="1">
        <f t="array" ref="X100">_xlfn.LET(
  _xlpm.act,   cronograma!$C99,
  _xlpm.fecha, cronograma!X$4,
  _xlpm.ini,   INDEX(plan!$J:$J, $B99),
  _xlpm.fin,   INDEX(plan!$K:$K, $B99),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100" s="76" cm="1">
        <f t="array" ref="Y100">_xlfn.LET(
  _xlpm.act,   cronograma!$C99,
  _xlpm.fecha, cronograma!Y$4,
  _xlpm.ini,   INDEX(plan!$J:$J, $B99),
  _xlpm.fin,   INDEX(plan!$K:$K, $B99),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100" s="77" cm="1">
        <f t="array" ref="Z100">_xlfn.LET(
  _xlpm.act,   cronograma!$C99,
  _xlpm.fecha, cronograma!Z$4,
  _xlpm.ini,   INDEX(plan!$J:$J, $B99),
  _xlpm.fin,   INDEX(plan!$K:$K, $B99),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100" s="75" cm="1">
        <f t="array" ref="AA100">_xlfn.LET(
  _xlpm.act,   cronograma!$C99,
  _xlpm.fecha, cronograma!AA$4,
  _xlpm.ini,   INDEX(plan!$J:$J, $B99),
  _xlpm.fin,   INDEX(plan!$K:$K, $B99),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100" s="76" cm="1">
        <f t="array" ref="AB100">_xlfn.LET(
  _xlpm.act,   cronograma!$C99,
  _xlpm.fecha, cronograma!AB$4,
  _xlpm.ini,   INDEX(plan!$J:$J, $B99),
  _xlpm.fin,   INDEX(plan!$K:$K, $B99),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100" s="76" cm="1">
        <f t="array" ref="AC100">_xlfn.LET(
  _xlpm.act,   cronograma!$C99,
  _xlpm.fecha, cronograma!AC$4,
  _xlpm.ini,   INDEX(plan!$J:$J, $B99),
  _xlpm.fin,   INDEX(plan!$K:$K, $B99),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100" s="76" cm="1">
        <f t="array" ref="AD100">_xlfn.LET(
  _xlpm.act,   cronograma!$C99,
  _xlpm.fecha, cronograma!AD$4,
  _xlpm.ini,   INDEX(plan!$J:$J, $B99),
  _xlpm.fin,   INDEX(plan!$K:$K, $B99),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100" s="76" cm="1">
        <f t="array" ref="AE100">_xlfn.LET(
  _xlpm.act,   cronograma!$C99,
  _xlpm.fecha, cronograma!AE$4,
  _xlpm.ini,   INDEX(plan!$J:$J, $B99),
  _xlpm.fin,   INDEX(plan!$K:$K, $B99),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100" s="76" cm="1">
        <f t="array" ref="AF100">_xlfn.LET(
  _xlpm.act,   cronograma!$C99,
  _xlpm.fecha, cronograma!AF$4,
  _xlpm.ini,   INDEX(plan!$J:$J, $B99),
  _xlpm.fin,   INDEX(plan!$K:$K, $B99),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100" s="77" cm="1">
        <f t="array" ref="AG100">_xlfn.LET(
  _xlpm.act,   cronograma!$C99,
  _xlpm.fecha, cronograma!AG$4,
  _xlpm.ini,   INDEX(plan!$J:$J, $B99),
  _xlpm.fin,   INDEX(plan!$K:$K, $B99),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100" s="75" cm="1">
        <f t="array" ref="AH100">_xlfn.LET(
  _xlpm.act,   cronograma!$C99,
  _xlpm.fecha, cronograma!AH$4,
  _xlpm.ini,   INDEX(plan!$J:$J, $B99),
  _xlpm.fin,   INDEX(plan!$K:$K, $B99),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100" s="76" cm="1">
        <f t="array" ref="AI100">_xlfn.LET(
  _xlpm.act,   cronograma!$C99,
  _xlpm.fecha, cronograma!AI$4,
  _xlpm.ini,   INDEX(plan!$J:$J, $B99),
  _xlpm.fin,   INDEX(plan!$K:$K, $B99),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100" s="76" cm="1">
        <f t="array" ref="AJ100">_xlfn.LET(
  _xlpm.act,   cronograma!$C99,
  _xlpm.fecha, cronograma!AJ$4,
  _xlpm.ini,   INDEX(plan!$J:$J, $B99),
  _xlpm.fin,   INDEX(plan!$K:$K, $B99),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100" s="76" cm="1">
        <f t="array" ref="AK100">_xlfn.LET(
  _xlpm.act,   cronograma!$C99,
  _xlpm.fecha, cronograma!AK$4,
  _xlpm.ini,   INDEX(plan!$J:$J, $B99),
  _xlpm.fin,   INDEX(plan!$K:$K, $B99),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100" s="76" cm="1">
        <f t="array" ref="AL100">_xlfn.LET(
  _xlpm.act,   cronograma!$C99,
  _xlpm.fecha, cronograma!AL$4,
  _xlpm.ini,   INDEX(plan!$J:$J, $B99),
  _xlpm.fin,   INDEX(plan!$K:$K, $B99),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100" s="76" cm="1">
        <f t="array" ref="AM100">_xlfn.LET(
  _xlpm.act,   cronograma!$C99,
  _xlpm.fecha, cronograma!AM$4,
  _xlpm.ini,   INDEX(plan!$J:$J, $B99),
  _xlpm.fin,   INDEX(plan!$K:$K, $B99),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100" s="77" cm="1">
        <f t="array" ref="AN100">_xlfn.LET(
  _xlpm.act,   cronograma!$C99,
  _xlpm.fecha, cronograma!AN$4,
  _xlpm.ini,   INDEX(plan!$J:$J, $B99),
  _xlpm.fin,   INDEX(plan!$K:$K, $B99),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O100" s="75"/>
      <c r="AP100" s="76"/>
      <c r="AQ100" s="76"/>
      <c r="AR100" s="76"/>
      <c r="AS100" s="76"/>
      <c r="AT100" s="76"/>
      <c r="AU100" s="77"/>
    </row>
    <row r="101" spans="1:47" ht="12.95" hidden="1" customHeight="1" x14ac:dyDescent="0.3">
      <c r="A101" s="36"/>
      <c r="B101" s="301">
        <f>plan!B52</f>
        <v>52</v>
      </c>
      <c r="C101" s="274" t="str">
        <f>plan!C52</f>
        <v>Ficticia #6</v>
      </c>
      <c r="D101" s="278" cm="1">
        <f t="array" ref="D101">INDEX(plan!$I:$I, $B101)</f>
        <v>0</v>
      </c>
      <c r="E101" s="276" cm="1">
        <f t="array" ref="E101">INDEX(plan!$U:$U, $B101)</f>
        <v>0</v>
      </c>
      <c r="F101" s="74" cm="1">
        <f t="array" ref="F101">IF(AND(F$4&gt;=INDEX(plan!$J:$J, $B101), F$4&lt;=INDEX(plan!$K:$K, $B101)),1,0)</f>
        <v>0</v>
      </c>
      <c r="G101" s="78" cm="1">
        <f t="array" ref="G101">IF(AND(G$4&gt;=INDEX(plan!$J:$J, $B101), G$4&lt;=INDEX(plan!$K:$K, $B101)),1,0)</f>
        <v>0</v>
      </c>
      <c r="H101" s="78" cm="1">
        <f t="array" ref="H101">IF(AND(H$4&gt;=INDEX(plan!$J:$J, $B101), H$4&lt;=INDEX(plan!$K:$K, $B101)),1,0)</f>
        <v>0</v>
      </c>
      <c r="I101" s="78" cm="1">
        <f t="array" ref="I101">IF(AND(I$4&gt;=INDEX(plan!$J:$J, $B101), I$4&lt;=INDEX(plan!$K:$K, $B101)),1,0)</f>
        <v>0</v>
      </c>
      <c r="J101" s="78" cm="1">
        <f t="array" ref="J101">IF(AND(J$4&gt;=INDEX(plan!$J:$J, $B101), J$4&lt;=INDEX(plan!$K:$K, $B101)),1,0)</f>
        <v>0</v>
      </c>
      <c r="K101" s="78" cm="1">
        <f t="array" ref="K101">IF(AND(K$4&gt;=INDEX(plan!$J:$J, $B101), K$4&lt;=INDEX(plan!$K:$K, $B101)),1,0)</f>
        <v>0</v>
      </c>
      <c r="L101" s="79" cm="1">
        <f t="array" ref="L101">IF(AND(L$4&gt;=INDEX(plan!$J:$J, $B101), L$4&lt;=INDEX(plan!$K:$K, $B101)),1,0)</f>
        <v>0</v>
      </c>
      <c r="M101" s="74" cm="1">
        <f t="array" ref="M101">IF(AND(M$4&gt;=INDEX(plan!$J:$J, $B101), M$4&lt;=INDEX(plan!$K:$K, $B101)),1,0)</f>
        <v>0</v>
      </c>
      <c r="N101" s="78" cm="1">
        <f t="array" ref="N101">IF(AND(N$4&gt;=INDEX(plan!$J:$J, $B101), N$4&lt;=INDEX(plan!$K:$K, $B101)),1,0)</f>
        <v>0</v>
      </c>
      <c r="O101" s="78" cm="1">
        <f t="array" ref="O101">IF(AND(O$4&gt;=INDEX(plan!$J:$J, $B101), O$4&lt;=INDEX(plan!$K:$K, $B101)),1,0)</f>
        <v>0</v>
      </c>
      <c r="P101" s="78" cm="1">
        <f t="array" ref="P101">IF(AND(P$4&gt;=INDEX(plan!$J:$J, $B101), P$4&lt;=INDEX(plan!$K:$K, $B101)),1,0)</f>
        <v>0</v>
      </c>
      <c r="Q101" s="78" cm="1">
        <f t="array" ref="Q101">IF(AND(Q$4&gt;=INDEX(plan!$J:$J, $B101), Q$4&lt;=INDEX(plan!$K:$K, $B101)),1,0)</f>
        <v>0</v>
      </c>
      <c r="R101" s="78" cm="1">
        <f t="array" ref="R101">IF(AND(R$4&gt;=INDEX(plan!$J:$J, $B101), R$4&lt;=INDEX(plan!$K:$K, $B101)),1,0)</f>
        <v>0</v>
      </c>
      <c r="S101" s="79" cm="1">
        <f t="array" ref="S101">IF(AND(S$4&gt;=INDEX(plan!$J:$J, $B101), S$4&lt;=INDEX(plan!$K:$K, $B101)),1,0)</f>
        <v>0</v>
      </c>
      <c r="T101" s="74" cm="1">
        <f t="array" ref="T101">IF(AND(T$4&gt;=INDEX(plan!$J:$J, $B101), T$4&lt;=INDEX(plan!$K:$K, $B101)),1,0)</f>
        <v>0</v>
      </c>
      <c r="U101" s="78" cm="1">
        <f t="array" ref="U101">IF(AND(U$4&gt;=INDEX(plan!$J:$J, $B101), U$4&lt;=INDEX(plan!$K:$K, $B101)),1,0)</f>
        <v>0</v>
      </c>
      <c r="V101" s="78" cm="1">
        <f t="array" ref="V101">IF(AND(V$4&gt;=INDEX(plan!$J:$J, $B101), V$4&lt;=INDEX(plan!$K:$K, $B101)),1,0)</f>
        <v>0</v>
      </c>
      <c r="W101" s="78" cm="1">
        <f t="array" ref="W101">IF(AND(W$4&gt;=INDEX(plan!$J:$J, $B101), W$4&lt;=INDEX(plan!$K:$K, $B101)),1,0)</f>
        <v>0</v>
      </c>
      <c r="X101" s="78" cm="1">
        <f t="array" ref="X101">IF(AND(X$4&gt;=INDEX(plan!$J:$J, $B101), X$4&lt;=INDEX(plan!$K:$K, $B101)),1,0)</f>
        <v>0</v>
      </c>
      <c r="Y101" s="78" cm="1">
        <f t="array" ref="Y101">IF(AND(Y$4&gt;=INDEX(plan!$J:$J, $B101), Y$4&lt;=INDEX(plan!$K:$K, $B101)),1,0)</f>
        <v>0</v>
      </c>
      <c r="Z101" s="79" cm="1">
        <f t="array" ref="Z101">IF(AND(Z$4&gt;=INDEX(plan!$J:$J, $B101), Z$4&lt;=INDEX(plan!$K:$K, $B101)),1,0)</f>
        <v>0</v>
      </c>
      <c r="AA101" s="74" cm="1">
        <f t="array" ref="AA101">IF(AND(AA$4&gt;=INDEX(plan!$J:$J, $B101), AA$4&lt;=INDEX(plan!$K:$K, $B101)),1,0)</f>
        <v>0</v>
      </c>
      <c r="AB101" s="78" cm="1">
        <f t="array" ref="AB101">IF(AND(AB$4&gt;=INDEX(plan!$J:$J, $B101), AB$4&lt;=INDEX(plan!$K:$K, $B101)),1,0)</f>
        <v>0</v>
      </c>
      <c r="AC101" s="78" cm="1">
        <f t="array" ref="AC101">IF(AND(AC$4&gt;=INDEX(plan!$J:$J, $B101), AC$4&lt;=INDEX(plan!$K:$K, $B101)),1,0)</f>
        <v>0</v>
      </c>
      <c r="AD101" s="78" cm="1">
        <f t="array" ref="AD101">IF(AND(AD$4&gt;=INDEX(plan!$J:$J, $B101), AD$4&lt;=INDEX(plan!$K:$K, $B101)),1,0)</f>
        <v>0</v>
      </c>
      <c r="AE101" s="78" cm="1">
        <f t="array" ref="AE101">IF(AND(AE$4&gt;=INDEX(plan!$J:$J, $B101), AE$4&lt;=INDEX(plan!$K:$K, $B101)),1,0)</f>
        <v>0</v>
      </c>
      <c r="AF101" s="78" cm="1">
        <f t="array" ref="AF101">IF(AND(AF$4&gt;=INDEX(plan!$J:$J, $B101), AF$4&lt;=INDEX(plan!$K:$K, $B101)),1,0)</f>
        <v>0</v>
      </c>
      <c r="AG101" s="79" cm="1">
        <f t="array" ref="AG101">IF(AND(AG$4&gt;=INDEX(plan!$J:$J, $B101), AG$4&lt;=INDEX(plan!$K:$K, $B101)),1,0)</f>
        <v>0</v>
      </c>
      <c r="AH101" s="74" cm="1">
        <f t="array" ref="AH101">IF(AND(AH$4&gt;=INDEX(plan!$J:$J, $B101), AH$4&lt;=INDEX(plan!$K:$K, $B101)),1,0)</f>
        <v>0</v>
      </c>
      <c r="AI101" s="78" cm="1">
        <f t="array" ref="AI101">IF(AND(AI$4&gt;=INDEX(plan!$J:$J, $B101), AI$4&lt;=INDEX(plan!$K:$K, $B101)),1,0)</f>
        <v>0</v>
      </c>
      <c r="AJ101" s="78" cm="1">
        <f t="array" ref="AJ101">IF(AND(AJ$4&gt;=INDEX(plan!$J:$J, $B101), AJ$4&lt;=INDEX(plan!$K:$K, $B101)),1,0)</f>
        <v>0</v>
      </c>
      <c r="AK101" s="78" cm="1">
        <f t="array" ref="AK101">IF(AND(AK$4&gt;=INDEX(plan!$J:$J, $B101), AK$4&lt;=INDEX(plan!$K:$K, $B101)),1,0)</f>
        <v>0</v>
      </c>
      <c r="AL101" s="78" cm="1">
        <f t="array" ref="AL101">IF(AND(AL$4&gt;=INDEX(plan!$J:$J, $B101), AL$4&lt;=INDEX(plan!$K:$K, $B101)),1,0)</f>
        <v>0</v>
      </c>
      <c r="AM101" s="78" cm="1">
        <f t="array" ref="AM101">IF(AND(AM$4&gt;=INDEX(plan!$J:$J, $B101), AM$4&lt;=INDEX(plan!$K:$K, $B101)),1,0)</f>
        <v>0</v>
      </c>
      <c r="AN101" s="79" cm="1">
        <f t="array" ref="AN101">IF(AND(AN$4&gt;=INDEX(plan!$J:$J, $B101), AN$4&lt;=INDEX(plan!$K:$K, $B101)),1,0)</f>
        <v>0</v>
      </c>
      <c r="AO101" s="74"/>
      <c r="AP101" s="78"/>
      <c r="AQ101" s="78"/>
      <c r="AR101" s="78"/>
      <c r="AS101" s="78"/>
      <c r="AT101" s="78"/>
      <c r="AU101" s="79"/>
    </row>
    <row r="102" spans="1:47" ht="12.95" hidden="1" customHeight="1" thickBot="1" x14ac:dyDescent="0.35">
      <c r="A102" s="36"/>
      <c r="B102" s="300"/>
      <c r="C102" s="275"/>
      <c r="D102" s="279"/>
      <c r="E102" s="277"/>
      <c r="F102" s="75" cm="1">
        <f t="array" ref="F102">_xlfn.LET(
  _xlpm.act,   cronograma!$C101,
  _xlpm.fecha, cronograma!F$4,
  _xlpm.ini,   INDEX(plan!$J:$J, $B101),
  _xlpm.fin,   INDEX(plan!$K:$K, $B101),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102" s="76" cm="1">
        <f t="array" ref="G102">_xlfn.LET(
  _xlpm.act,   cronograma!$C101,
  _xlpm.fecha, cronograma!G$4,
  _xlpm.ini,   INDEX(plan!$J:$J, $B101),
  _xlpm.fin,   INDEX(plan!$K:$K, $B101),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102" s="76" cm="1">
        <f t="array" ref="H102">_xlfn.LET(
  _xlpm.act,   cronograma!$C101,
  _xlpm.fecha, cronograma!H$4,
  _xlpm.ini,   INDEX(plan!$J:$J, $B101),
  _xlpm.fin,   INDEX(plan!$K:$K, $B101),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102" s="76" cm="1">
        <f t="array" ref="I102">_xlfn.LET(
  _xlpm.act,   cronograma!$C101,
  _xlpm.fecha, cronograma!I$4,
  _xlpm.ini,   INDEX(plan!$J:$J, $B101),
  _xlpm.fin,   INDEX(plan!$K:$K, $B101),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102" s="76" cm="1">
        <f t="array" ref="J102">_xlfn.LET(
  _xlpm.act,   cronograma!$C101,
  _xlpm.fecha, cronograma!J$4,
  _xlpm.ini,   INDEX(plan!$J:$J, $B101),
  _xlpm.fin,   INDEX(plan!$K:$K, $B101),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102" s="76" cm="1">
        <f t="array" ref="K102">_xlfn.LET(
  _xlpm.act,   cronograma!$C101,
  _xlpm.fecha, cronograma!K$4,
  _xlpm.ini,   INDEX(plan!$J:$J, $B101),
  _xlpm.fin,   INDEX(plan!$K:$K, $B101),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102" s="77" cm="1">
        <f t="array" ref="L102">_xlfn.LET(
  _xlpm.act,   cronograma!$C101,
  _xlpm.fecha, cronograma!L$4,
  _xlpm.ini,   INDEX(plan!$J:$J, $B101),
  _xlpm.fin,   INDEX(plan!$K:$K, $B101),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102" s="75" cm="1">
        <f t="array" ref="M102">_xlfn.LET(
  _xlpm.act,   cronograma!$C101,
  _xlpm.fecha, cronograma!M$4,
  _xlpm.ini,   INDEX(plan!$J:$J, $B101),
  _xlpm.fin,   INDEX(plan!$K:$K, $B101),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102" s="76" cm="1">
        <f t="array" ref="N102">_xlfn.LET(
  _xlpm.act,   cronograma!$C101,
  _xlpm.fecha, cronograma!N$4,
  _xlpm.ini,   INDEX(plan!$J:$J, $B101),
  _xlpm.fin,   INDEX(plan!$K:$K, $B101),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102" s="76" cm="1">
        <f t="array" ref="O102">_xlfn.LET(
  _xlpm.act,   cronograma!$C101,
  _xlpm.fecha, cronograma!O$4,
  _xlpm.ini,   INDEX(plan!$J:$J, $B101),
  _xlpm.fin,   INDEX(plan!$K:$K, $B101),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102" s="76" cm="1">
        <f t="array" ref="P102">_xlfn.LET(
  _xlpm.act,   cronograma!$C101,
  _xlpm.fecha, cronograma!P$4,
  _xlpm.ini,   INDEX(plan!$J:$J, $B101),
  _xlpm.fin,   INDEX(plan!$K:$K, $B101),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102" s="76" cm="1">
        <f t="array" ref="Q102">_xlfn.LET(
  _xlpm.act,   cronograma!$C101,
  _xlpm.fecha, cronograma!Q$4,
  _xlpm.ini,   INDEX(plan!$J:$J, $B101),
  _xlpm.fin,   INDEX(plan!$K:$K, $B101),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102" s="76" cm="1">
        <f t="array" ref="R102">_xlfn.LET(
  _xlpm.act,   cronograma!$C101,
  _xlpm.fecha, cronograma!R$4,
  _xlpm.ini,   INDEX(plan!$J:$J, $B101),
  _xlpm.fin,   INDEX(plan!$K:$K, $B101),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102" s="77" cm="1">
        <f t="array" ref="S102">_xlfn.LET(
  _xlpm.act,   cronograma!$C101,
  _xlpm.fecha, cronograma!S$4,
  _xlpm.ini,   INDEX(plan!$J:$J, $B101),
  _xlpm.fin,   INDEX(plan!$K:$K, $B101),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102" s="75" cm="1">
        <f t="array" ref="T102">_xlfn.LET(
  _xlpm.act,   cronograma!$C101,
  _xlpm.fecha, cronograma!T$4,
  _xlpm.ini,   INDEX(plan!$J:$J, $B101),
  _xlpm.fin,   INDEX(plan!$K:$K, $B101),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102" s="76" cm="1">
        <f t="array" ref="U102">_xlfn.LET(
  _xlpm.act,   cronograma!$C101,
  _xlpm.fecha, cronograma!U$4,
  _xlpm.ini,   INDEX(plan!$J:$J, $B101),
  _xlpm.fin,   INDEX(plan!$K:$K, $B101),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102" s="76" cm="1">
        <f t="array" ref="V102">_xlfn.LET(
  _xlpm.act,   cronograma!$C101,
  _xlpm.fecha, cronograma!V$4,
  _xlpm.ini,   INDEX(plan!$J:$J, $B101),
  _xlpm.fin,   INDEX(plan!$K:$K, $B101),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102" s="76" cm="1">
        <f t="array" ref="W102">_xlfn.LET(
  _xlpm.act,   cronograma!$C101,
  _xlpm.fecha, cronograma!W$4,
  _xlpm.ini,   INDEX(plan!$J:$J, $B101),
  _xlpm.fin,   INDEX(plan!$K:$K, $B101),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102" s="76" cm="1">
        <f t="array" ref="X102">_xlfn.LET(
  _xlpm.act,   cronograma!$C101,
  _xlpm.fecha, cronograma!X$4,
  _xlpm.ini,   INDEX(plan!$J:$J, $B101),
  _xlpm.fin,   INDEX(plan!$K:$K, $B101),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102" s="76" cm="1">
        <f t="array" ref="Y102">_xlfn.LET(
  _xlpm.act,   cronograma!$C101,
  _xlpm.fecha, cronograma!Y$4,
  _xlpm.ini,   INDEX(plan!$J:$J, $B101),
  _xlpm.fin,   INDEX(plan!$K:$K, $B101),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102" s="77" cm="1">
        <f t="array" ref="Z102">_xlfn.LET(
  _xlpm.act,   cronograma!$C101,
  _xlpm.fecha, cronograma!Z$4,
  _xlpm.ini,   INDEX(plan!$J:$J, $B101),
  _xlpm.fin,   INDEX(plan!$K:$K, $B101),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102" s="75" cm="1">
        <f t="array" ref="AA102">_xlfn.LET(
  _xlpm.act,   cronograma!$C101,
  _xlpm.fecha, cronograma!AA$4,
  _xlpm.ini,   INDEX(plan!$J:$J, $B101),
  _xlpm.fin,   INDEX(plan!$K:$K, $B101),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102" s="76" cm="1">
        <f t="array" ref="AB102">_xlfn.LET(
  _xlpm.act,   cronograma!$C101,
  _xlpm.fecha, cronograma!AB$4,
  _xlpm.ini,   INDEX(plan!$J:$J, $B101),
  _xlpm.fin,   INDEX(plan!$K:$K, $B101),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102" s="76" cm="1">
        <f t="array" ref="AC102">_xlfn.LET(
  _xlpm.act,   cronograma!$C101,
  _xlpm.fecha, cronograma!AC$4,
  _xlpm.ini,   INDEX(plan!$J:$J, $B101),
  _xlpm.fin,   INDEX(plan!$K:$K, $B101),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102" s="76" cm="1">
        <f t="array" ref="AD102">_xlfn.LET(
  _xlpm.act,   cronograma!$C101,
  _xlpm.fecha, cronograma!AD$4,
  _xlpm.ini,   INDEX(plan!$J:$J, $B101),
  _xlpm.fin,   INDEX(plan!$K:$K, $B101),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102" s="76" cm="1">
        <f t="array" ref="AE102">_xlfn.LET(
  _xlpm.act,   cronograma!$C101,
  _xlpm.fecha, cronograma!AE$4,
  _xlpm.ini,   INDEX(plan!$J:$J, $B101),
  _xlpm.fin,   INDEX(plan!$K:$K, $B101),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102" s="76" cm="1">
        <f t="array" ref="AF102">_xlfn.LET(
  _xlpm.act,   cronograma!$C101,
  _xlpm.fecha, cronograma!AF$4,
  _xlpm.ini,   INDEX(plan!$J:$J, $B101),
  _xlpm.fin,   INDEX(plan!$K:$K, $B101),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102" s="77" cm="1">
        <f t="array" ref="AG102">_xlfn.LET(
  _xlpm.act,   cronograma!$C101,
  _xlpm.fecha, cronograma!AG$4,
  _xlpm.ini,   INDEX(plan!$J:$J, $B101),
  _xlpm.fin,   INDEX(plan!$K:$K, $B101),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102" s="75" cm="1">
        <f t="array" ref="AH102">_xlfn.LET(
  _xlpm.act,   cronograma!$C101,
  _xlpm.fecha, cronograma!AH$4,
  _xlpm.ini,   INDEX(plan!$J:$J, $B101),
  _xlpm.fin,   INDEX(plan!$K:$K, $B101),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102" s="76" cm="1">
        <f t="array" ref="AI102">_xlfn.LET(
  _xlpm.act,   cronograma!$C101,
  _xlpm.fecha, cronograma!AI$4,
  _xlpm.ini,   INDEX(plan!$J:$J, $B101),
  _xlpm.fin,   INDEX(plan!$K:$K, $B101),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102" s="76" cm="1">
        <f t="array" ref="AJ102">_xlfn.LET(
  _xlpm.act,   cronograma!$C101,
  _xlpm.fecha, cronograma!AJ$4,
  _xlpm.ini,   INDEX(plan!$J:$J, $B101),
  _xlpm.fin,   INDEX(plan!$K:$K, $B101),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102" s="76" cm="1">
        <f t="array" ref="AK102">_xlfn.LET(
  _xlpm.act,   cronograma!$C101,
  _xlpm.fecha, cronograma!AK$4,
  _xlpm.ini,   INDEX(plan!$J:$J, $B101),
  _xlpm.fin,   INDEX(plan!$K:$K, $B101),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102" s="76" cm="1">
        <f t="array" ref="AL102">_xlfn.LET(
  _xlpm.act,   cronograma!$C101,
  _xlpm.fecha, cronograma!AL$4,
  _xlpm.ini,   INDEX(plan!$J:$J, $B101),
  _xlpm.fin,   INDEX(plan!$K:$K, $B101),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102" s="76" cm="1">
        <f t="array" ref="AM102">_xlfn.LET(
  _xlpm.act,   cronograma!$C101,
  _xlpm.fecha, cronograma!AM$4,
  _xlpm.ini,   INDEX(plan!$J:$J, $B101),
  _xlpm.fin,   INDEX(plan!$K:$K, $B101),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102" s="77" cm="1">
        <f t="array" ref="AN102">_xlfn.LET(
  _xlpm.act,   cronograma!$C101,
  _xlpm.fecha, cronograma!AN$4,
  _xlpm.ini,   INDEX(plan!$J:$J, $B101),
  _xlpm.fin,   INDEX(plan!$K:$K, $B101),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O102" s="75"/>
      <c r="AP102" s="76"/>
      <c r="AQ102" s="76"/>
      <c r="AR102" s="76"/>
      <c r="AS102" s="76"/>
      <c r="AT102" s="76"/>
      <c r="AU102" s="77"/>
    </row>
    <row r="103" spans="1:47" x14ac:dyDescent="0.3"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  <c r="AC103" s="46"/>
      <c r="AD103" s="46"/>
      <c r="AE103" s="46"/>
      <c r="AF103" s="46"/>
      <c r="AG103" s="46"/>
      <c r="AH103" s="46"/>
      <c r="AI103" s="46"/>
      <c r="AJ103" s="46"/>
      <c r="AK103" s="46"/>
      <c r="AL103" s="46"/>
      <c r="AM103" s="46"/>
      <c r="AN103" s="46"/>
      <c r="AO103" s="46"/>
      <c r="AP103" s="46"/>
      <c r="AQ103" s="46"/>
      <c r="AR103" s="46"/>
      <c r="AS103" s="46"/>
      <c r="AT103" s="46"/>
      <c r="AU103" s="46"/>
    </row>
  </sheetData>
  <sheetProtection algorithmName="SHA-512" hashValue="Qi8AjvMywGZvuD2JKmvEedQ1lo9HPAIHIuWC7rd39VYVC4aQhz/h2c6KXQSLEnkXunlXyiysTHFbIEKAyHHt5g==" saltValue="ou26eMxQQ23l7dHsa3x+ew==" spinCount="100000" sheet="1" objects="1" scenarios="1" selectLockedCells="1" selectUnlockedCells="1"/>
  <mergeCells count="205">
    <mergeCell ref="AO2:AU3"/>
    <mergeCell ref="B73:B74"/>
    <mergeCell ref="B75:B76"/>
    <mergeCell ref="B95:B96"/>
    <mergeCell ref="B97:B98"/>
    <mergeCell ref="B99:B100"/>
    <mergeCell ref="B101:B102"/>
    <mergeCell ref="B77:B78"/>
    <mergeCell ref="B79:B80"/>
    <mergeCell ref="B81:B82"/>
    <mergeCell ref="B83:B84"/>
    <mergeCell ref="B85:B86"/>
    <mergeCell ref="B87:B88"/>
    <mergeCell ref="B89:B90"/>
    <mergeCell ref="B91:B92"/>
    <mergeCell ref="B93:B94"/>
    <mergeCell ref="B55:B56"/>
    <mergeCell ref="B57:B58"/>
    <mergeCell ref="B59:B60"/>
    <mergeCell ref="B61:B62"/>
    <mergeCell ref="B63:B64"/>
    <mergeCell ref="B65:B66"/>
    <mergeCell ref="B67:B68"/>
    <mergeCell ref="B69:B70"/>
    <mergeCell ref="B71:B72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D89:D90"/>
    <mergeCell ref="D91:D92"/>
    <mergeCell ref="D93:D94"/>
    <mergeCell ref="D95:D96"/>
    <mergeCell ref="D97:D98"/>
    <mergeCell ref="D99:D100"/>
    <mergeCell ref="D101:D102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D71:D72"/>
    <mergeCell ref="D73:D74"/>
    <mergeCell ref="D75:D76"/>
    <mergeCell ref="D77:D78"/>
    <mergeCell ref="D79:D80"/>
    <mergeCell ref="D81:D82"/>
    <mergeCell ref="D83:D84"/>
    <mergeCell ref="D85:D86"/>
    <mergeCell ref="D87:D88"/>
    <mergeCell ref="D43:D44"/>
    <mergeCell ref="D45:D46"/>
    <mergeCell ref="D47:D48"/>
    <mergeCell ref="D49:D50"/>
    <mergeCell ref="D51:D52"/>
    <mergeCell ref="D53:D54"/>
    <mergeCell ref="D55:D56"/>
    <mergeCell ref="D57:D58"/>
    <mergeCell ref="D69:D70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E43:E44"/>
    <mergeCell ref="C45:C46"/>
    <mergeCell ref="E45:E46"/>
    <mergeCell ref="C29:C30"/>
    <mergeCell ref="E29:E30"/>
    <mergeCell ref="C31:C32"/>
    <mergeCell ref="E31:E32"/>
    <mergeCell ref="C33:C34"/>
    <mergeCell ref="E33:E34"/>
    <mergeCell ref="C35:C36"/>
    <mergeCell ref="E35:E36"/>
    <mergeCell ref="C39:C40"/>
    <mergeCell ref="E39:E40"/>
    <mergeCell ref="C41:C42"/>
    <mergeCell ref="E41:E42"/>
    <mergeCell ref="C37:C38"/>
    <mergeCell ref="E37:E38"/>
    <mergeCell ref="D29:D30"/>
    <mergeCell ref="D31:D32"/>
    <mergeCell ref="D33:D34"/>
    <mergeCell ref="D35:D36"/>
    <mergeCell ref="D37:D38"/>
    <mergeCell ref="D39:D40"/>
    <mergeCell ref="D41:D42"/>
    <mergeCell ref="E23:E24"/>
    <mergeCell ref="E25:E26"/>
    <mergeCell ref="C19:C20"/>
    <mergeCell ref="C21:C22"/>
    <mergeCell ref="C23:C24"/>
    <mergeCell ref="C25:C26"/>
    <mergeCell ref="C27:C28"/>
    <mergeCell ref="E27:E28"/>
    <mergeCell ref="D25:D26"/>
    <mergeCell ref="D27:D28"/>
    <mergeCell ref="C5:C6"/>
    <mergeCell ref="F2:L3"/>
    <mergeCell ref="M2:S3"/>
    <mergeCell ref="T2:Z3"/>
    <mergeCell ref="E5:E6"/>
    <mergeCell ref="D5:D6"/>
    <mergeCell ref="D2:D3"/>
    <mergeCell ref="E2:E3"/>
    <mergeCell ref="C2:C4"/>
    <mergeCell ref="C47:C48"/>
    <mergeCell ref="C49:C50"/>
    <mergeCell ref="C51:C52"/>
    <mergeCell ref="C53:C54"/>
    <mergeCell ref="C7:C8"/>
    <mergeCell ref="C9:C10"/>
    <mergeCell ref="C11:C12"/>
    <mergeCell ref="C13:C14"/>
    <mergeCell ref="C15:C16"/>
    <mergeCell ref="C17:C18"/>
    <mergeCell ref="C43:C44"/>
    <mergeCell ref="AA2:AG3"/>
    <mergeCell ref="AH2:AN3"/>
    <mergeCell ref="E85:E86"/>
    <mergeCell ref="E87:E88"/>
    <mergeCell ref="E89:E90"/>
    <mergeCell ref="E91:E92"/>
    <mergeCell ref="E93:E94"/>
    <mergeCell ref="E75:E76"/>
    <mergeCell ref="E77:E78"/>
    <mergeCell ref="E79:E80"/>
    <mergeCell ref="E81:E82"/>
    <mergeCell ref="E83:E84"/>
    <mergeCell ref="E47:E48"/>
    <mergeCell ref="E49:E50"/>
    <mergeCell ref="E51:E52"/>
    <mergeCell ref="E53:E54"/>
    <mergeCell ref="E7:E8"/>
    <mergeCell ref="E9:E10"/>
    <mergeCell ref="E11:E12"/>
    <mergeCell ref="E13:E14"/>
    <mergeCell ref="E15:E16"/>
    <mergeCell ref="E17:E18"/>
    <mergeCell ref="E19:E20"/>
    <mergeCell ref="E21:E22"/>
    <mergeCell ref="C55:C56"/>
    <mergeCell ref="C57:C58"/>
    <mergeCell ref="C59:C60"/>
    <mergeCell ref="C61:C62"/>
    <mergeCell ref="C63:C64"/>
    <mergeCell ref="E95:E96"/>
    <mergeCell ref="E97:E98"/>
    <mergeCell ref="E99:E100"/>
    <mergeCell ref="E101:E102"/>
    <mergeCell ref="E65:E66"/>
    <mergeCell ref="E67:E68"/>
    <mergeCell ref="E69:E70"/>
    <mergeCell ref="E71:E72"/>
    <mergeCell ref="E73:E74"/>
    <mergeCell ref="E55:E56"/>
    <mergeCell ref="E57:E58"/>
    <mergeCell ref="E59:E60"/>
    <mergeCell ref="E61:E62"/>
    <mergeCell ref="E63:E64"/>
    <mergeCell ref="D59:D60"/>
    <mergeCell ref="D61:D62"/>
    <mergeCell ref="D63:D64"/>
    <mergeCell ref="D65:D66"/>
    <mergeCell ref="D67:D68"/>
    <mergeCell ref="C75:C76"/>
    <mergeCell ref="C77:C78"/>
    <mergeCell ref="C79:C80"/>
    <mergeCell ref="C81:C82"/>
    <mergeCell ref="C83:C84"/>
    <mergeCell ref="C65:C66"/>
    <mergeCell ref="C67:C68"/>
    <mergeCell ref="C69:C70"/>
    <mergeCell ref="C71:C72"/>
    <mergeCell ref="C73:C74"/>
    <mergeCell ref="C95:C96"/>
    <mergeCell ref="C97:C98"/>
    <mergeCell ref="C99:C100"/>
    <mergeCell ref="C101:C102"/>
    <mergeCell ref="C85:C86"/>
    <mergeCell ref="C87:C88"/>
    <mergeCell ref="C89:C90"/>
    <mergeCell ref="C91:C92"/>
    <mergeCell ref="C93:C94"/>
  </mergeCells>
  <conditionalFormatting sqref="F5:AU5 F7:AU7 F9:AU9 F11:AU11 F13:AU13 F15:AU15 F17:AU17 F19:AU19 F21:AU21 F23:AU23 F25:AU25 F27:AU27 F29:AU29 F31:AU31 F33:AU33 F35:AU35 F37:AU37 F39:AU39 F41:AU41 F43:AU43 F45:AU45 F47:AU47 F49:AU49 F51:AU51 F53:AU53 F55:AU55 F57:AU57 F59:AU59 F61:AU61 F63:AU63 F65:AU65 F67:AU67 F69:AU69 F71:AU71 F73:AU73 F75:AU75 F77:AU77 F79:AU79 F81:AU81 F83:AU83 F85:AU85 F87:AU87 F89:AU89 F91:AU91 F93:AU93 F95:AU95 F97:AU97 F99:AU99 F101:AU101">
    <cfRule type="cellIs" dxfId="22" priority="20" operator="equal">
      <formula>1</formula>
    </cfRule>
  </conditionalFormatting>
  <conditionalFormatting sqref="F5:AU102">
    <cfRule type="cellIs" dxfId="21" priority="1" operator="equal">
      <formula>0</formula>
    </cfRule>
  </conditionalFormatting>
  <conditionalFormatting sqref="F6:AU6 F8:AU8 F10:AU10 F12:AU12 F14:AU14 F16:AU16 F18:AU18 F20:AU20 F22:AU22 F24:AU24 F26:AU26 F28:AU28 F30:AU30 F32:AU32 F34:AU34 F36:AU36 F38:AU38 F40:AU40 F42:AU42 F44:AU44 F46:AU46 F48:AU48 F50:AU50 F52:AU52 F54:AU54 F56:AU56 F58:AU58 F60:AU60 F62:AU62 F64:AU64 F66:AU66 F68:AU68 F70:AU70 F72:AU72 F74:AU74 F76:AU76 F78:AU78 F80:AU80 F82:AU82 F84:AU84 F86:AU86 F88:AU88 F90:AU90 F92:AU92 F94:AU94 F96:AU96 F98:AU98 F100:AU100 F102:AU102">
    <cfRule type="cellIs" dxfId="20" priority="42" operator="lessThan">
      <formula>0</formula>
    </cfRule>
    <cfRule type="cellIs" dxfId="19" priority="43" operator="greaterThan">
      <formula>0</formula>
    </cfRule>
  </conditionalFormatting>
  <pageMargins left="0.7" right="0.7" top="0.75" bottom="0.75" header="0.3" footer="0.3"/>
  <ignoredErrors>
    <ignoredError sqref="F6:AO6 F8:AN8 F10:AN10 F12:AN12 F14:AN14 F16:AN16 F18:AN18 F20:AN20 F22:AN22 F24:AN24 F26:AN26 F28:AN28 F30:AN30 F32:AN32 F34:AN34 F36:AN36 F38:AN38 F40:AN40 F42:AN42 F44:AN44 F46:AN46 F48:AN48 F50:AN50 F52:AN52 F54:AN54 F56:AN56 F58:AN58 F60:AN60 F62:AN62 F64:AN64 F66:AN66 F68:AN68 F70:AN70 F72:AN72 F74:AN74 F76:AN76 F78:AN78 F80:AN80 F82:AN82 F84:AN84 F86:AN86 F88:AN88 F90:AN90 F92:AN92 F94:AN94 F96:AN96 F98:AN98 F100:AN100 F102:AN102 AO8:AU40 AP6:AU6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41DAF-7887-4C83-AC1F-024C09CBE5C3}">
  <sheetPr codeName="Hoja3"/>
  <dimension ref="B1:BH250"/>
  <sheetViews>
    <sheetView workbookViewId="0">
      <selection activeCell="B4" sqref="B4"/>
    </sheetView>
  </sheetViews>
  <sheetFormatPr baseColWidth="10" defaultColWidth="11.44140625" defaultRowHeight="15.05" x14ac:dyDescent="0.3"/>
  <cols>
    <col min="1" max="1" width="2.5546875" style="2" customWidth="1"/>
    <col min="2" max="2" width="11.44140625" style="2"/>
    <col min="3" max="3" width="33.88671875" style="2" customWidth="1"/>
    <col min="4" max="4" width="15.109375" style="2" hidden="1" customWidth="1"/>
    <col min="5" max="5" width="16.6640625" style="2" hidden="1" customWidth="1"/>
    <col min="6" max="6" width="24.6640625" style="2" customWidth="1"/>
    <col min="7" max="7" width="38.5546875" style="2" customWidth="1"/>
    <col min="8" max="8" width="16.5546875" style="2" customWidth="1"/>
    <col min="9" max="9" width="60.109375" style="2" customWidth="1"/>
    <col min="10" max="10" width="2.5546875" style="2" customWidth="1"/>
    <col min="11" max="11" width="19.5546875" style="2" hidden="1" customWidth="1"/>
    <col min="12" max="60" width="11.44140625" style="2" hidden="1" customWidth="1"/>
    <col min="61" max="16384" width="11.44140625" style="2"/>
  </cols>
  <sheetData>
    <row r="1" spans="2:60" x14ac:dyDescent="0.3"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</row>
    <row r="2" spans="2:60" x14ac:dyDescent="0.3">
      <c r="B2" s="5" t="s">
        <v>0</v>
      </c>
      <c r="C2" s="5" t="s">
        <v>11</v>
      </c>
      <c r="D2" s="5" t="s">
        <v>49</v>
      </c>
      <c r="E2" s="5" t="s">
        <v>50</v>
      </c>
      <c r="F2" s="5" t="s">
        <v>45</v>
      </c>
      <c r="G2" s="5" t="s">
        <v>14</v>
      </c>
      <c r="H2" s="5" t="s">
        <v>1</v>
      </c>
      <c r="I2" s="5" t="s">
        <v>52</v>
      </c>
      <c r="K2" s="12"/>
      <c r="BH2" s="4"/>
    </row>
    <row r="3" spans="2:60" hidden="1" x14ac:dyDescent="0.3">
      <c r="B3" s="6">
        <f>Indice_Plan_FechaInicio</f>
        <v>46097</v>
      </c>
      <c r="C3" s="10" t="s">
        <v>113</v>
      </c>
      <c r="D3" s="48" t="str">
        <f>IF(Tabla_Registro_Tareas1[[#This Row],[Actividad]]=Indice_Aux_Vacio,"",IFERROR(INDEX(plan!$D$4:$D$52,MATCH(Tabla_Registro_Tareas1[[#This Row],[Actividad]],plan!$C$4:$C$52,0)),""))</f>
        <v>Ciclo de vida</v>
      </c>
      <c r="E3" s="48" t="str">
        <f>IFERROR(INDEX(plan!$E$4:$E$52,MATCH(Tabla_Registro_Tareas1[[#This Row],[Actividad]],plan!$C$4:$C$52,0)),"")</f>
        <v>Ficticia #1</v>
      </c>
      <c r="F3" s="49" t="str">
        <f>IF(Tabla_Registro_Tareas1[[#This Row],[Actividad]]=Indice_Aux_Vacio,"",Indice_PROBLAM_Estudiante1)</f>
        <v>Nombre#1 Apellido#11 Apellido#12</v>
      </c>
      <c r="G3" s="7" t="s">
        <v>96</v>
      </c>
      <c r="H3" s="8">
        <v>0</v>
      </c>
      <c r="I3" s="9"/>
      <c r="K3" s="12" t="str" cm="1">
        <f t="array" ref="K3:M3">IF($B3&lt;&gt;"",TRANSPOSE(_xlfn._xlws.FILTER(plan!$C$4:$C$52, ($B3 &gt;= (plan!$J$4:$J$52-Indice_Plan_ExtensionPlazo))*($B3 &lt;= (plan!$K$4:$K$52+Indice_Plan_ExtensionPlazo)), "")), "")</f>
        <v>Comprensión del pliego técnico</v>
      </c>
      <c r="L3" s="2" t="str">
        <v>Reunión de inicio</v>
      </c>
      <c r="M3" s="2" t="str">
        <v>Gestión de cambios Diccionario</v>
      </c>
      <c r="BH3" s="4"/>
    </row>
    <row r="4" spans="2:60" x14ac:dyDescent="0.3">
      <c r="B4" s="6"/>
      <c r="C4" s="10"/>
      <c r="D4" s="48"/>
      <c r="E4" s="48"/>
      <c r="F4" s="49" t="str">
        <f>IF(Tabla_Registro_Tareas1[[#This Row],[Actividad]]=Indice_Aux_Vacio,"",Indice_PROBLAM_Estudiante1)</f>
        <v/>
      </c>
      <c r="G4" s="7"/>
      <c r="H4" s="8"/>
      <c r="I4" s="9"/>
      <c r="K4" s="12" t="str" cm="1">
        <f t="array" ref="K4">IF($B4&lt;&gt;"",TRANSPOSE(_xlfn._xlws.FILTER(plan!$C$4:$C$52, ($B4 &gt;= (plan!$J$4:$J$52-Indice_Plan_ExtensionPlazo))*($B4 &lt;= (plan!$K$4:$K$52+Indice_Plan_ExtensionPlazo)), "")), "")</f>
        <v/>
      </c>
      <c r="BH4" s="4"/>
    </row>
    <row r="5" spans="2:60" x14ac:dyDescent="0.3">
      <c r="B5" s="6"/>
      <c r="C5" s="10"/>
      <c r="D5" s="48" t="str">
        <f>IF(Tabla_Registro_Tareas1[[#This Row],[Actividad]]=Indice_Aux_Vacio,"",IFERROR(INDEX(plan!$D$4:$D$52,MATCH(Tabla_Registro_Tareas1[[#This Row],[Actividad]],plan!$C$4:$C$52,0)),""))</f>
        <v/>
      </c>
      <c r="E5" s="48" t="str">
        <f>IFERROR(INDEX(plan!$E$4:$E$52,MATCH(Tabla_Registro_Tareas1[[#This Row],[Actividad]],plan!$C$4:$C$52,0)),"")</f>
        <v/>
      </c>
      <c r="F5" s="49" t="str">
        <f>IF(Tabla_Registro_Tareas1[[#This Row],[Actividad]]=Indice_Aux_Vacio,"",Indice_PROBLAM_Estudiante1)</f>
        <v/>
      </c>
      <c r="G5" s="7"/>
      <c r="H5" s="8"/>
      <c r="I5" s="9"/>
      <c r="K5" s="12" t="str" cm="1">
        <f t="array" ref="K5">IF($B5&lt;&gt;"",TRANSPOSE(_xlfn._xlws.FILTER(plan!$C$4:$C$52, ($B5 &gt;= (plan!$J$4:$J$52-Indice_Plan_ExtensionPlazo))*($B5 &lt;= (plan!$K$4:$K$52+Indice_Plan_ExtensionPlazo)), "")), "")</f>
        <v/>
      </c>
      <c r="BH5" s="4"/>
    </row>
    <row r="6" spans="2:60" x14ac:dyDescent="0.3">
      <c r="B6" s="6"/>
      <c r="C6" s="10"/>
      <c r="D6" s="48" t="str">
        <f>IF(Tabla_Registro_Tareas1[[#This Row],[Actividad]]=Indice_Aux_Vacio,"",IFERROR(INDEX(plan!$D$4:$D$52,MATCH(Tabla_Registro_Tareas1[[#This Row],[Actividad]],plan!$C$4:$C$52,0)),""))</f>
        <v/>
      </c>
      <c r="E6" s="48" t="str">
        <f>IFERROR(INDEX(plan!$E$4:$E$52,MATCH(Tabla_Registro_Tareas1[[#This Row],[Actividad]],plan!$C$4:$C$52,0)),"")</f>
        <v/>
      </c>
      <c r="F6" s="49" t="str">
        <f>IF(Tabla_Registro_Tareas1[[#This Row],[Actividad]]=Indice_Aux_Vacio,"",Indice_PROBLAM_Estudiante1)</f>
        <v/>
      </c>
      <c r="G6" s="7"/>
      <c r="H6" s="8"/>
      <c r="I6" s="9"/>
      <c r="K6" s="12" t="str" cm="1">
        <f t="array" ref="K6">IF($B6&lt;&gt;"",TRANSPOSE(_xlfn._xlws.FILTER(plan!$C$4:$C$52, ($B6 &gt;= (plan!$J$4:$J$52-Indice_Plan_ExtensionPlazo))*($B6 &lt;= (plan!$K$4:$K$52+Indice_Plan_ExtensionPlazo)), "")), "")</f>
        <v/>
      </c>
      <c r="BH6" s="4"/>
    </row>
    <row r="7" spans="2:60" x14ac:dyDescent="0.3">
      <c r="B7" s="6"/>
      <c r="C7" s="10"/>
      <c r="D7" s="48" t="str">
        <f>IF(Tabla_Registro_Tareas1[[#This Row],[Actividad]]=Indice_Aux_Vacio,"",IFERROR(INDEX(plan!$D$4:$D$52,MATCH(Tabla_Registro_Tareas1[[#This Row],[Actividad]],plan!$C$4:$C$52,0)),""))</f>
        <v/>
      </c>
      <c r="E7" s="48" t="str">
        <f>IFERROR(INDEX(plan!$E$4:$E$52,MATCH(Tabla_Registro_Tareas1[[#This Row],[Actividad]],plan!$C$4:$C$52,0)),"")</f>
        <v/>
      </c>
      <c r="F7" s="49" t="str">
        <f>IF(Tabla_Registro_Tareas1[[#This Row],[Actividad]]=Indice_Aux_Vacio,"",Indice_PROBLAM_Estudiante1)</f>
        <v/>
      </c>
      <c r="G7" s="7"/>
      <c r="H7" s="8"/>
      <c r="I7" s="9"/>
      <c r="K7" s="12" t="str" cm="1">
        <f t="array" ref="K7">IF($B7&lt;&gt;"",TRANSPOSE(_xlfn._xlws.FILTER(plan!$C$4:$C$52, ($B7 &gt;= (plan!$J$4:$J$52-Indice_Plan_ExtensionPlazo))*($B7 &lt;= (plan!$K$4:$K$52+Indice_Plan_ExtensionPlazo)), "")), "")</f>
        <v/>
      </c>
      <c r="BH7" s="4"/>
    </row>
    <row r="8" spans="2:60" x14ac:dyDescent="0.3">
      <c r="B8" s="6"/>
      <c r="C8" s="10"/>
      <c r="D8" s="48" t="str">
        <f>IF(Tabla_Registro_Tareas1[[#This Row],[Actividad]]=Indice_Aux_Vacio,"",IFERROR(INDEX(plan!$D$4:$D$52,MATCH(Tabla_Registro_Tareas1[[#This Row],[Actividad]],plan!$C$4:$C$52,0)),""))</f>
        <v/>
      </c>
      <c r="E8" s="48" t="str">
        <f>IFERROR(INDEX(plan!$E$4:$E$52,MATCH(Tabla_Registro_Tareas1[[#This Row],[Actividad]],plan!$C$4:$C$52,0)),"")</f>
        <v/>
      </c>
      <c r="F8" s="49" t="str">
        <f>IF(Tabla_Registro_Tareas1[[#This Row],[Actividad]]=Indice_Aux_Vacio,"",Indice_PROBLAM_Estudiante1)</f>
        <v/>
      </c>
      <c r="G8" s="7"/>
      <c r="H8" s="8"/>
      <c r="I8" s="9"/>
      <c r="K8" s="12" t="str" cm="1">
        <f t="array" ref="K8">IF($B8&lt;&gt;"",TRANSPOSE(_xlfn._xlws.FILTER(plan!$C$4:$C$52, ($B8 &gt;= (plan!$J$4:$J$52-Indice_Plan_ExtensionPlazo))*($B8 &lt;= (plan!$K$4:$K$52+Indice_Plan_ExtensionPlazo)), "")), "")</f>
        <v/>
      </c>
      <c r="BH8" s="4"/>
    </row>
    <row r="9" spans="2:60" x14ac:dyDescent="0.3">
      <c r="B9" s="6"/>
      <c r="C9" s="10"/>
      <c r="D9" s="48" t="str">
        <f>IF(Tabla_Registro_Tareas1[[#This Row],[Actividad]]=Indice_Aux_Vacio,"",IFERROR(INDEX(plan!$D$4:$D$52,MATCH(Tabla_Registro_Tareas1[[#This Row],[Actividad]],plan!$C$4:$C$52,0)),""))</f>
        <v/>
      </c>
      <c r="E9" s="48" t="str">
        <f>IFERROR(INDEX(plan!$E$4:$E$52,MATCH(Tabla_Registro_Tareas1[[#This Row],[Actividad]],plan!$C$4:$C$52,0)),"")</f>
        <v/>
      </c>
      <c r="F9" s="49" t="str">
        <f>IF(Tabla_Registro_Tareas1[[#This Row],[Actividad]]=Indice_Aux_Vacio,"",Indice_PROBLAM_Estudiante1)</f>
        <v/>
      </c>
      <c r="G9" s="7"/>
      <c r="H9" s="8"/>
      <c r="I9" s="9"/>
      <c r="K9" s="12" t="str" cm="1">
        <f t="array" ref="K9">IF($B9&lt;&gt;"",TRANSPOSE(_xlfn._xlws.FILTER(plan!$C$4:$C$52, ($B9 &gt;= (plan!$J$4:$J$52-Indice_Plan_ExtensionPlazo))*($B9 &lt;= (plan!$K$4:$K$52+Indice_Plan_ExtensionPlazo)), "")), "")</f>
        <v/>
      </c>
      <c r="BH9" s="4"/>
    </row>
    <row r="10" spans="2:60" x14ac:dyDescent="0.3">
      <c r="B10" s="6"/>
      <c r="C10" s="10"/>
      <c r="D10" s="48" t="str">
        <f>IF(Tabla_Registro_Tareas1[[#This Row],[Actividad]]=Indice_Aux_Vacio,"",IFERROR(INDEX(plan!$D$4:$D$52,MATCH(Tabla_Registro_Tareas1[[#This Row],[Actividad]],plan!$C$4:$C$52,0)),""))</f>
        <v/>
      </c>
      <c r="E10" s="48" t="str">
        <f>IFERROR(INDEX(plan!$E$4:$E$52,MATCH(Tabla_Registro_Tareas1[[#This Row],[Actividad]],plan!$C$4:$C$52,0)),"")</f>
        <v/>
      </c>
      <c r="F10" s="49" t="str">
        <f>IF(Tabla_Registro_Tareas1[[#This Row],[Actividad]]=Indice_Aux_Vacio,"",Indice_PROBLAM_Estudiante1)</f>
        <v/>
      </c>
      <c r="G10" s="7"/>
      <c r="H10" s="8"/>
      <c r="I10" s="9"/>
      <c r="K10" s="12" t="str" cm="1">
        <f t="array" ref="K10">IF($B10&lt;&gt;"",TRANSPOSE(_xlfn._xlws.FILTER(plan!$C$4:$C$52, ($B10 &gt;= (plan!$J$4:$J$52-Indice_Plan_ExtensionPlazo))*($B10 &lt;= (plan!$K$4:$K$52+Indice_Plan_ExtensionPlazo)), "")), "")</f>
        <v/>
      </c>
      <c r="BH10" s="4"/>
    </row>
    <row r="11" spans="2:60" x14ac:dyDescent="0.3">
      <c r="B11" s="6"/>
      <c r="C11" s="10"/>
      <c r="D11" s="48" t="str">
        <f>IF(Tabla_Registro_Tareas1[[#This Row],[Actividad]]=Indice_Aux_Vacio,"",IFERROR(INDEX(plan!$D$4:$D$52,MATCH(Tabla_Registro_Tareas1[[#This Row],[Actividad]],plan!$C$4:$C$52,0)),""))</f>
        <v/>
      </c>
      <c r="E11" s="48" t="str">
        <f>IFERROR(INDEX(plan!$E$4:$E$52,MATCH(Tabla_Registro_Tareas1[[#This Row],[Actividad]],plan!$C$4:$C$52,0)),"")</f>
        <v/>
      </c>
      <c r="F11" s="49" t="str">
        <f>IF(Tabla_Registro_Tareas1[[#This Row],[Actividad]]=Indice_Aux_Vacio,"",Indice_PROBLAM_Estudiante1)</f>
        <v/>
      </c>
      <c r="G11" s="7"/>
      <c r="H11" s="8"/>
      <c r="I11" s="9"/>
      <c r="K11" s="12" t="str" cm="1">
        <f t="array" ref="K11">IF($B11&lt;&gt;"",TRANSPOSE(_xlfn._xlws.FILTER(plan!$C$4:$C$52, ($B11 &gt;= (plan!$J$4:$J$52-Indice_Plan_ExtensionPlazo))*($B11 &lt;= (plan!$K$4:$K$52+Indice_Plan_ExtensionPlazo)), "")), "")</f>
        <v/>
      </c>
      <c r="BH11" s="4"/>
    </row>
    <row r="12" spans="2:60" x14ac:dyDescent="0.3">
      <c r="B12" s="6"/>
      <c r="C12" s="10"/>
      <c r="D12" s="48" t="str">
        <f>IF(Tabla_Registro_Tareas1[[#This Row],[Actividad]]=Indice_Aux_Vacio,"",IFERROR(INDEX(plan!$D$4:$D$52,MATCH(Tabla_Registro_Tareas1[[#This Row],[Actividad]],plan!$C$4:$C$52,0)),""))</f>
        <v/>
      </c>
      <c r="E12" s="48" t="str">
        <f>IFERROR(INDEX(plan!$E$4:$E$52,MATCH(Tabla_Registro_Tareas1[[#This Row],[Actividad]],plan!$C$4:$C$52,0)),"")</f>
        <v/>
      </c>
      <c r="F12" s="49" t="str">
        <f>IF(Tabla_Registro_Tareas1[[#This Row],[Actividad]]=Indice_Aux_Vacio,"",Indice_PROBLAM_Estudiante1)</f>
        <v/>
      </c>
      <c r="G12" s="7"/>
      <c r="H12" s="8"/>
      <c r="I12" s="9"/>
      <c r="K12" s="12" t="str" cm="1">
        <f t="array" ref="K12">IF($B12&lt;&gt;"",TRANSPOSE(_xlfn._xlws.FILTER(plan!$C$4:$C$52, ($B12 &gt;= (plan!$J$4:$J$52-Indice_Plan_ExtensionPlazo))*($B12 &lt;= (plan!$K$4:$K$52+Indice_Plan_ExtensionPlazo)), "")), "")</f>
        <v/>
      </c>
      <c r="BH12" s="4"/>
    </row>
    <row r="13" spans="2:60" x14ac:dyDescent="0.3">
      <c r="B13" s="6"/>
      <c r="C13" s="10"/>
      <c r="D13" s="48" t="str">
        <f>IF(Tabla_Registro_Tareas1[[#This Row],[Actividad]]=Indice_Aux_Vacio,"",IFERROR(INDEX(plan!$D$4:$D$52,MATCH(Tabla_Registro_Tareas1[[#This Row],[Actividad]],plan!$C$4:$C$52,0)),""))</f>
        <v/>
      </c>
      <c r="E13" s="48" t="str">
        <f>IFERROR(INDEX(plan!$E$4:$E$52,MATCH(Tabla_Registro_Tareas1[[#This Row],[Actividad]],plan!$C$4:$C$52,0)),"")</f>
        <v/>
      </c>
      <c r="F13" s="49" t="str">
        <f>IF(Tabla_Registro_Tareas1[[#This Row],[Actividad]]=Indice_Aux_Vacio,"",Indice_PROBLAM_Estudiante1)</f>
        <v/>
      </c>
      <c r="G13" s="7"/>
      <c r="H13" s="8"/>
      <c r="I13" s="9"/>
      <c r="K13" s="12" t="str" cm="1">
        <f t="array" ref="K13">IF($B13&lt;&gt;"",TRANSPOSE(_xlfn._xlws.FILTER(plan!$C$4:$C$52, ($B13 &gt;= (plan!$J$4:$J$52-Indice_Plan_ExtensionPlazo))*($B13 &lt;= (plan!$K$4:$K$52+Indice_Plan_ExtensionPlazo)), "")), "")</f>
        <v/>
      </c>
      <c r="BH13" s="4"/>
    </row>
    <row r="14" spans="2:60" x14ac:dyDescent="0.3">
      <c r="B14" s="6"/>
      <c r="C14" s="10"/>
      <c r="D14" s="48" t="str">
        <f>IF(Tabla_Registro_Tareas1[[#This Row],[Actividad]]=Indice_Aux_Vacio,"",IFERROR(INDEX(plan!$D$4:$D$52,MATCH(Tabla_Registro_Tareas1[[#This Row],[Actividad]],plan!$C$4:$C$52,0)),""))</f>
        <v/>
      </c>
      <c r="E14" s="48" t="str">
        <f>IFERROR(INDEX(plan!$E$4:$E$52,MATCH(Tabla_Registro_Tareas1[[#This Row],[Actividad]],plan!$C$4:$C$52,0)),"")</f>
        <v/>
      </c>
      <c r="F14" s="49" t="str">
        <f>IF(Tabla_Registro_Tareas1[[#This Row],[Actividad]]=Indice_Aux_Vacio,"",Indice_PROBLAM_Estudiante1)</f>
        <v/>
      </c>
      <c r="G14" s="7"/>
      <c r="H14" s="8"/>
      <c r="I14" s="9"/>
      <c r="K14" s="12" t="str" cm="1">
        <f t="array" ref="K14">IF($B14&lt;&gt;"",TRANSPOSE(_xlfn._xlws.FILTER(plan!$C$4:$C$52, ($B14 &gt;= (plan!$J$4:$J$52-Indice_Plan_ExtensionPlazo))*($B14 &lt;= (plan!$K$4:$K$52+Indice_Plan_ExtensionPlazo)), "")), "")</f>
        <v/>
      </c>
      <c r="BH14" s="4"/>
    </row>
    <row r="15" spans="2:60" x14ac:dyDescent="0.3">
      <c r="B15" s="6"/>
      <c r="C15" s="10"/>
      <c r="D15" s="48" t="str">
        <f>IF(Tabla_Registro_Tareas1[[#This Row],[Actividad]]=Indice_Aux_Vacio,"",IFERROR(INDEX(plan!$D$4:$D$52,MATCH(Tabla_Registro_Tareas1[[#This Row],[Actividad]],plan!$C$4:$C$52,0)),""))</f>
        <v/>
      </c>
      <c r="E15" s="48" t="str">
        <f>IFERROR(INDEX(plan!$E$4:$E$52,MATCH(Tabla_Registro_Tareas1[[#This Row],[Actividad]],plan!$C$4:$C$52,0)),"")</f>
        <v/>
      </c>
      <c r="F15" s="49" t="str">
        <f>IF(Tabla_Registro_Tareas1[[#This Row],[Actividad]]=Indice_Aux_Vacio,"",Indice_PROBLAM_Estudiante1)</f>
        <v/>
      </c>
      <c r="G15" s="7"/>
      <c r="H15" s="8"/>
      <c r="I15" s="9"/>
      <c r="K15" s="12" t="str" cm="1">
        <f t="array" ref="K15">IF($B15&lt;&gt;"",TRANSPOSE(_xlfn._xlws.FILTER(plan!$C$4:$C$52, ($B15 &gt;= (plan!$J$4:$J$52-Indice_Plan_ExtensionPlazo))*($B15 &lt;= (plan!$K$4:$K$52+Indice_Plan_ExtensionPlazo)), "")), "")</f>
        <v/>
      </c>
      <c r="BH15" s="4"/>
    </row>
    <row r="16" spans="2:60" x14ac:dyDescent="0.3">
      <c r="B16" s="6"/>
      <c r="C16" s="10"/>
      <c r="D16" s="48" t="str">
        <f>IF(Tabla_Registro_Tareas1[[#This Row],[Actividad]]=Indice_Aux_Vacio,"",IFERROR(INDEX(plan!$D$4:$D$52,MATCH(Tabla_Registro_Tareas1[[#This Row],[Actividad]],plan!$C$4:$C$52,0)),""))</f>
        <v/>
      </c>
      <c r="E16" s="48" t="str">
        <f>IFERROR(INDEX(plan!$E$4:$E$52,MATCH(Tabla_Registro_Tareas1[[#This Row],[Actividad]],plan!$C$4:$C$52,0)),"")</f>
        <v/>
      </c>
      <c r="F16" s="49" t="str">
        <f>IF(Tabla_Registro_Tareas1[[#This Row],[Actividad]]=Indice_Aux_Vacio,"",Indice_PROBLAM_Estudiante1)</f>
        <v/>
      </c>
      <c r="G16" s="7"/>
      <c r="H16" s="8"/>
      <c r="I16" s="9"/>
      <c r="K16" s="12" t="str" cm="1">
        <f t="array" ref="K16">IF($B16&lt;&gt;"",TRANSPOSE(_xlfn._xlws.FILTER(plan!$C$4:$C$52, ($B16 &gt;= (plan!$J$4:$J$52-Indice_Plan_ExtensionPlazo))*($B16 &lt;= (plan!$K$4:$K$52+Indice_Plan_ExtensionPlazo)), "")), "")</f>
        <v/>
      </c>
      <c r="BH16" s="4"/>
    </row>
    <row r="17" spans="2:60" x14ac:dyDescent="0.3">
      <c r="B17" s="6"/>
      <c r="C17" s="10"/>
      <c r="D17" s="48" t="str">
        <f>IF(Tabla_Registro_Tareas1[[#This Row],[Actividad]]=Indice_Aux_Vacio,"",IFERROR(INDEX(plan!$D$4:$D$52,MATCH(Tabla_Registro_Tareas1[[#This Row],[Actividad]],plan!$C$4:$C$52,0)),""))</f>
        <v/>
      </c>
      <c r="E17" s="48" t="str">
        <f>IFERROR(INDEX(plan!$E$4:$E$52,MATCH(Tabla_Registro_Tareas1[[#This Row],[Actividad]],plan!$C$4:$C$52,0)),"")</f>
        <v/>
      </c>
      <c r="F17" s="49" t="str">
        <f>IF(Tabla_Registro_Tareas1[[#This Row],[Actividad]]=Indice_Aux_Vacio,"",Indice_PROBLAM_Estudiante1)</f>
        <v/>
      </c>
      <c r="G17" s="7"/>
      <c r="H17" s="8"/>
      <c r="I17" s="9"/>
      <c r="K17" s="12" t="str" cm="1">
        <f t="array" ref="K17">IF($B17&lt;&gt;"",TRANSPOSE(_xlfn._xlws.FILTER(plan!$C$4:$C$52, ($B17 &gt;= (plan!$J$4:$J$52-Indice_Plan_ExtensionPlazo))*($B17 &lt;= (plan!$K$4:$K$52+Indice_Plan_ExtensionPlazo)), "")), "")</f>
        <v/>
      </c>
      <c r="BH17" s="4"/>
    </row>
    <row r="18" spans="2:60" x14ac:dyDescent="0.3">
      <c r="B18" s="6"/>
      <c r="C18" s="10"/>
      <c r="D18" s="48" t="str">
        <f>IF(Tabla_Registro_Tareas1[[#This Row],[Actividad]]=Indice_Aux_Vacio,"",IFERROR(INDEX(plan!$D$4:$D$52,MATCH(Tabla_Registro_Tareas1[[#This Row],[Actividad]],plan!$C$4:$C$52,0)),""))</f>
        <v/>
      </c>
      <c r="E18" s="48" t="str">
        <f>IFERROR(INDEX(plan!$E$4:$E$52,MATCH(Tabla_Registro_Tareas1[[#This Row],[Actividad]],plan!$C$4:$C$52,0)),"")</f>
        <v/>
      </c>
      <c r="F18" s="49" t="str">
        <f>IF(Tabla_Registro_Tareas1[[#This Row],[Actividad]]=Indice_Aux_Vacio,"",Indice_PROBLAM_Estudiante1)</f>
        <v/>
      </c>
      <c r="G18" s="7"/>
      <c r="H18" s="8"/>
      <c r="I18" s="9"/>
      <c r="K18" s="12" t="str" cm="1">
        <f t="array" ref="K18">IF($B18&lt;&gt;"",TRANSPOSE(_xlfn._xlws.FILTER(plan!$C$4:$C$52, ($B18 &gt;= (plan!$J$4:$J$52-Indice_Plan_ExtensionPlazo))*($B18 &lt;= (plan!$K$4:$K$52+Indice_Plan_ExtensionPlazo)), "")), "")</f>
        <v/>
      </c>
      <c r="BH18" s="4"/>
    </row>
    <row r="19" spans="2:60" x14ac:dyDescent="0.3">
      <c r="B19" s="6"/>
      <c r="C19" s="10"/>
      <c r="D19" s="48" t="str">
        <f>IF(Tabla_Registro_Tareas1[[#This Row],[Actividad]]=Indice_Aux_Vacio,"",IFERROR(INDEX(plan!$D$4:$D$52,MATCH(Tabla_Registro_Tareas1[[#This Row],[Actividad]],plan!$C$4:$C$52,0)),""))</f>
        <v/>
      </c>
      <c r="E19" s="48" t="str">
        <f>IFERROR(INDEX(plan!$E$4:$E$52,MATCH(Tabla_Registro_Tareas1[[#This Row],[Actividad]],plan!$C$4:$C$52,0)),"")</f>
        <v/>
      </c>
      <c r="F19" s="49" t="str">
        <f>IF(Tabla_Registro_Tareas1[[#This Row],[Actividad]]=Indice_Aux_Vacio,"",Indice_PROBLAM_Estudiante1)</f>
        <v/>
      </c>
      <c r="G19" s="7"/>
      <c r="H19" s="8"/>
      <c r="I19" s="9"/>
      <c r="K19" s="12" t="str" cm="1">
        <f t="array" ref="K19">IF($B19&lt;&gt;"",TRANSPOSE(_xlfn._xlws.FILTER(plan!$C$4:$C$52, ($B19 &gt;= (plan!$J$4:$J$52-Indice_Plan_ExtensionPlazo))*($B19 &lt;= (plan!$K$4:$K$52+Indice_Plan_ExtensionPlazo)), "")), "")</f>
        <v/>
      </c>
      <c r="BH19" s="4"/>
    </row>
    <row r="20" spans="2:60" x14ac:dyDescent="0.3">
      <c r="B20" s="6"/>
      <c r="C20" s="10"/>
      <c r="D20" s="48" t="str">
        <f>IF(Tabla_Registro_Tareas1[[#This Row],[Actividad]]=Indice_Aux_Vacio,"",IFERROR(INDEX(plan!$D$4:$D$52,MATCH(Tabla_Registro_Tareas1[[#This Row],[Actividad]],plan!$C$4:$C$52,0)),""))</f>
        <v/>
      </c>
      <c r="E20" s="48" t="str">
        <f>IFERROR(INDEX(plan!$E$4:$E$52,MATCH(Tabla_Registro_Tareas1[[#This Row],[Actividad]],plan!$C$4:$C$52,0)),"")</f>
        <v/>
      </c>
      <c r="F20" s="49" t="str">
        <f>IF(Tabla_Registro_Tareas1[[#This Row],[Actividad]]=Indice_Aux_Vacio,"",Indice_PROBLAM_Estudiante1)</f>
        <v/>
      </c>
      <c r="G20" s="7"/>
      <c r="H20" s="8"/>
      <c r="I20" s="9"/>
      <c r="K20" s="12" t="str" cm="1">
        <f t="array" ref="K20">IF($B20&lt;&gt;"",TRANSPOSE(_xlfn._xlws.FILTER(plan!$C$4:$C$52, ($B20 &gt;= (plan!$J$4:$J$52-Indice_Plan_ExtensionPlazo))*($B20 &lt;= (plan!$K$4:$K$52+Indice_Plan_ExtensionPlazo)), "")), "")</f>
        <v/>
      </c>
      <c r="BH20" s="4"/>
    </row>
    <row r="21" spans="2:60" x14ac:dyDescent="0.3">
      <c r="B21" s="6"/>
      <c r="C21" s="10"/>
      <c r="D21" s="48" t="str">
        <f>IF(Tabla_Registro_Tareas1[[#This Row],[Actividad]]=Indice_Aux_Vacio,"",IFERROR(INDEX(plan!$D$4:$D$52,MATCH(Tabla_Registro_Tareas1[[#This Row],[Actividad]],plan!$C$4:$C$52,0)),""))</f>
        <v/>
      </c>
      <c r="E21" s="48" t="str">
        <f>IFERROR(INDEX(plan!$E$4:$E$52,MATCH(Tabla_Registro_Tareas1[[#This Row],[Actividad]],plan!$C$4:$C$52,0)),"")</f>
        <v/>
      </c>
      <c r="F21" s="49" t="str">
        <f>IF(Tabla_Registro_Tareas1[[#This Row],[Actividad]]=Indice_Aux_Vacio,"",Indice_PROBLAM_Estudiante1)</f>
        <v/>
      </c>
      <c r="G21" s="7"/>
      <c r="H21" s="8"/>
      <c r="I21" s="9"/>
      <c r="K21" s="12" t="str" cm="1">
        <f t="array" ref="K21">IF($B21&lt;&gt;"",TRANSPOSE(_xlfn._xlws.FILTER(plan!$C$4:$C$52, ($B21 &gt;= (plan!$J$4:$J$52-Indice_Plan_ExtensionPlazo))*($B21 &lt;= (plan!$K$4:$K$52+Indice_Plan_ExtensionPlazo)), "")), "")</f>
        <v/>
      </c>
      <c r="BH21" s="4"/>
    </row>
    <row r="22" spans="2:60" x14ac:dyDescent="0.3">
      <c r="B22" s="6"/>
      <c r="C22" s="10"/>
      <c r="D22" s="48" t="str">
        <f>IF(Tabla_Registro_Tareas1[[#This Row],[Actividad]]=Indice_Aux_Vacio,"",IFERROR(INDEX(plan!$D$4:$D$52,MATCH(Tabla_Registro_Tareas1[[#This Row],[Actividad]],plan!$C$4:$C$52,0)),""))</f>
        <v/>
      </c>
      <c r="E22" s="48" t="str">
        <f>IFERROR(INDEX(plan!$E$4:$E$52,MATCH(Tabla_Registro_Tareas1[[#This Row],[Actividad]],plan!$C$4:$C$52,0)),"")</f>
        <v/>
      </c>
      <c r="F22" s="49" t="str">
        <f>IF(Tabla_Registro_Tareas1[[#This Row],[Actividad]]=Indice_Aux_Vacio,"",Indice_PROBLAM_Estudiante1)</f>
        <v/>
      </c>
      <c r="G22" s="7"/>
      <c r="H22" s="8"/>
      <c r="I22" s="9"/>
      <c r="K22" s="12" t="str" cm="1">
        <f t="array" ref="K22">IF($B22&lt;&gt;"",TRANSPOSE(_xlfn._xlws.FILTER(plan!$C$4:$C$52, ($B22 &gt;= (plan!$J$4:$J$52-Indice_Plan_ExtensionPlazo))*($B22 &lt;= (plan!$K$4:$K$52+Indice_Plan_ExtensionPlazo)), "")), "")</f>
        <v/>
      </c>
      <c r="BH22" s="4"/>
    </row>
    <row r="23" spans="2:60" x14ac:dyDescent="0.3">
      <c r="B23" s="6"/>
      <c r="C23" s="10"/>
      <c r="D23" s="48" t="str">
        <f>IF(Tabla_Registro_Tareas1[[#This Row],[Actividad]]=Indice_Aux_Vacio,"",IFERROR(INDEX(plan!$D$4:$D$52,MATCH(Tabla_Registro_Tareas1[[#This Row],[Actividad]],plan!$C$4:$C$52,0)),""))</f>
        <v/>
      </c>
      <c r="E23" s="48" t="str">
        <f>IFERROR(INDEX(plan!$E$4:$E$52,MATCH(Tabla_Registro_Tareas1[[#This Row],[Actividad]],plan!$C$4:$C$52,0)),"")</f>
        <v/>
      </c>
      <c r="F23" s="49" t="str">
        <f>IF(Tabla_Registro_Tareas1[[#This Row],[Actividad]]=Indice_Aux_Vacio,"",Indice_PROBLAM_Estudiante1)</f>
        <v/>
      </c>
      <c r="G23" s="7"/>
      <c r="H23" s="8"/>
      <c r="I23" s="9"/>
      <c r="K23" s="12" t="str" cm="1">
        <f t="array" ref="K23">IF($B23&lt;&gt;"",TRANSPOSE(_xlfn._xlws.FILTER(plan!$C$4:$C$52, ($B23 &gt;= (plan!$J$4:$J$52-Indice_Plan_ExtensionPlazo))*($B23 &lt;= (plan!$K$4:$K$52+Indice_Plan_ExtensionPlazo)), "")), "")</f>
        <v/>
      </c>
      <c r="BH23" s="4"/>
    </row>
    <row r="24" spans="2:60" x14ac:dyDescent="0.3">
      <c r="B24" s="6"/>
      <c r="C24" s="10"/>
      <c r="D24" s="48" t="str">
        <f>IF(Tabla_Registro_Tareas1[[#This Row],[Actividad]]=Indice_Aux_Vacio,"",IFERROR(INDEX(plan!$D$4:$D$52,MATCH(Tabla_Registro_Tareas1[[#This Row],[Actividad]],plan!$C$4:$C$52,0)),""))</f>
        <v/>
      </c>
      <c r="E24" s="48" t="str">
        <f>IFERROR(INDEX(plan!$E$4:$E$52,MATCH(Tabla_Registro_Tareas1[[#This Row],[Actividad]],plan!$C$4:$C$52,0)),"")</f>
        <v/>
      </c>
      <c r="F24" s="49" t="str">
        <f>IF(Tabla_Registro_Tareas1[[#This Row],[Actividad]]=Indice_Aux_Vacio,"",Indice_PROBLAM_Estudiante1)</f>
        <v/>
      </c>
      <c r="G24" s="7"/>
      <c r="H24" s="8"/>
      <c r="I24" s="9"/>
      <c r="K24" s="12" t="str" cm="1">
        <f t="array" ref="K24">IF($B24&lt;&gt;"",TRANSPOSE(_xlfn._xlws.FILTER(plan!$C$4:$C$52, ($B24 &gt;= (plan!$J$4:$J$52-Indice_Plan_ExtensionPlazo))*($B24 &lt;= (plan!$K$4:$K$52+Indice_Plan_ExtensionPlazo)), "")), "")</f>
        <v/>
      </c>
      <c r="BH24" s="4"/>
    </row>
    <row r="25" spans="2:60" x14ac:dyDescent="0.3">
      <c r="B25" s="6"/>
      <c r="C25" s="10"/>
      <c r="D25" s="48" t="str">
        <f>IF(Tabla_Registro_Tareas1[[#This Row],[Actividad]]=Indice_Aux_Vacio,"",IFERROR(INDEX(plan!$D$4:$D$52,MATCH(Tabla_Registro_Tareas1[[#This Row],[Actividad]],plan!$C$4:$C$52,0)),""))</f>
        <v/>
      </c>
      <c r="E25" s="48" t="str">
        <f>IFERROR(INDEX(plan!$E$4:$E$52,MATCH(Tabla_Registro_Tareas1[[#This Row],[Actividad]],plan!$C$4:$C$52,0)),"")</f>
        <v/>
      </c>
      <c r="F25" s="49" t="str">
        <f>IF(Tabla_Registro_Tareas1[[#This Row],[Actividad]]=Indice_Aux_Vacio,"",Indice_PROBLAM_Estudiante1)</f>
        <v/>
      </c>
      <c r="G25" s="7"/>
      <c r="H25" s="8"/>
      <c r="I25" s="9"/>
      <c r="K25" s="12" t="str" cm="1">
        <f t="array" ref="K25">IF($B25&lt;&gt;"",TRANSPOSE(_xlfn._xlws.FILTER(plan!$C$4:$C$52, ($B25 &gt;= (plan!$J$4:$J$52-Indice_Plan_ExtensionPlazo))*($B25 &lt;= (plan!$K$4:$K$52+Indice_Plan_ExtensionPlazo)), "")), "")</f>
        <v/>
      </c>
      <c r="BH25" s="4"/>
    </row>
    <row r="26" spans="2:60" x14ac:dyDescent="0.3">
      <c r="B26" s="6"/>
      <c r="C26" s="10"/>
      <c r="D26" s="48" t="str">
        <f>IF(Tabla_Registro_Tareas1[[#This Row],[Actividad]]=Indice_Aux_Vacio,"",IFERROR(INDEX(plan!$D$4:$D$52,MATCH(Tabla_Registro_Tareas1[[#This Row],[Actividad]],plan!$C$4:$C$52,0)),""))</f>
        <v/>
      </c>
      <c r="E26" s="48" t="str">
        <f>IFERROR(INDEX(plan!$E$4:$E$52,MATCH(Tabla_Registro_Tareas1[[#This Row],[Actividad]],plan!$C$4:$C$52,0)),"")</f>
        <v/>
      </c>
      <c r="F26" s="49" t="str">
        <f>IF(Tabla_Registro_Tareas1[[#This Row],[Actividad]]=Indice_Aux_Vacio,"",Indice_PROBLAM_Estudiante1)</f>
        <v/>
      </c>
      <c r="G26" s="7"/>
      <c r="H26" s="8"/>
      <c r="I26" s="9"/>
      <c r="K26" s="12" t="str" cm="1">
        <f t="array" ref="K26">IF($B26&lt;&gt;"",TRANSPOSE(_xlfn._xlws.FILTER(plan!$C$4:$C$52, ($B26 &gt;= (plan!$J$4:$J$52-Indice_Plan_ExtensionPlazo))*($B26 &lt;= (plan!$K$4:$K$52+Indice_Plan_ExtensionPlazo)), "")), "")</f>
        <v/>
      </c>
      <c r="BH26" s="4"/>
    </row>
    <row r="27" spans="2:60" x14ac:dyDescent="0.3">
      <c r="B27" s="6"/>
      <c r="C27" s="10"/>
      <c r="D27" s="48" t="str">
        <f>IF(Tabla_Registro_Tareas1[[#This Row],[Actividad]]=Indice_Aux_Vacio,"",IFERROR(INDEX(plan!$D$4:$D$52,MATCH(Tabla_Registro_Tareas1[[#This Row],[Actividad]],plan!$C$4:$C$52,0)),""))</f>
        <v/>
      </c>
      <c r="E27" s="48" t="str">
        <f>IFERROR(INDEX(plan!$E$4:$E$52,MATCH(Tabla_Registro_Tareas1[[#This Row],[Actividad]],plan!$C$4:$C$52,0)),"")</f>
        <v/>
      </c>
      <c r="F27" s="49" t="str">
        <f>IF(Tabla_Registro_Tareas1[[#This Row],[Actividad]]=Indice_Aux_Vacio,"",Indice_PROBLAM_Estudiante1)</f>
        <v/>
      </c>
      <c r="G27" s="7"/>
      <c r="H27" s="8"/>
      <c r="I27" s="9"/>
      <c r="K27" s="12" t="str" cm="1">
        <f t="array" ref="K27">IF($B27&lt;&gt;"",TRANSPOSE(_xlfn._xlws.FILTER(plan!$C$4:$C$52, ($B27 &gt;= (plan!$J$4:$J$52-Indice_Plan_ExtensionPlazo))*($B27 &lt;= (plan!$K$4:$K$52+Indice_Plan_ExtensionPlazo)), "")), "")</f>
        <v/>
      </c>
      <c r="BH27" s="4"/>
    </row>
    <row r="28" spans="2:60" x14ac:dyDescent="0.3">
      <c r="B28" s="6"/>
      <c r="C28" s="10"/>
      <c r="D28" s="48" t="str">
        <f>IF(Tabla_Registro_Tareas1[[#This Row],[Actividad]]=Indice_Aux_Vacio,"",IFERROR(INDEX(plan!$D$4:$D$52,MATCH(Tabla_Registro_Tareas1[[#This Row],[Actividad]],plan!$C$4:$C$52,0)),""))</f>
        <v/>
      </c>
      <c r="E28" s="48" t="str">
        <f>IFERROR(INDEX(plan!$E$4:$E$52,MATCH(Tabla_Registro_Tareas1[[#This Row],[Actividad]],plan!$C$4:$C$52,0)),"")</f>
        <v/>
      </c>
      <c r="F28" s="49" t="str">
        <f>IF(Tabla_Registro_Tareas1[[#This Row],[Actividad]]=Indice_Aux_Vacio,"",Indice_PROBLAM_Estudiante1)</f>
        <v/>
      </c>
      <c r="G28" s="7"/>
      <c r="H28" s="8"/>
      <c r="I28" s="9"/>
      <c r="K28" s="12" t="str" cm="1">
        <f t="array" ref="K28">IF($B28&lt;&gt;"",TRANSPOSE(_xlfn._xlws.FILTER(plan!$C$4:$C$52, ($B28 &gt;= (plan!$J$4:$J$52-Indice_Plan_ExtensionPlazo))*($B28 &lt;= (plan!$K$4:$K$52+Indice_Plan_ExtensionPlazo)), "")), "")</f>
        <v/>
      </c>
      <c r="BH28" s="4"/>
    </row>
    <row r="29" spans="2:60" x14ac:dyDescent="0.3">
      <c r="B29" s="6"/>
      <c r="C29" s="10"/>
      <c r="D29" s="48" t="str">
        <f>IF(Tabla_Registro_Tareas1[[#This Row],[Actividad]]=Indice_Aux_Vacio,"",IFERROR(INDEX(plan!$D$4:$D$52,MATCH(Tabla_Registro_Tareas1[[#This Row],[Actividad]],plan!$C$4:$C$52,0)),""))</f>
        <v/>
      </c>
      <c r="E29" s="48" t="str">
        <f>IFERROR(INDEX(plan!$E$4:$E$52,MATCH(Tabla_Registro_Tareas1[[#This Row],[Actividad]],plan!$C$4:$C$52,0)),"")</f>
        <v/>
      </c>
      <c r="F29" s="49" t="str">
        <f>IF(Tabla_Registro_Tareas1[[#This Row],[Actividad]]=Indice_Aux_Vacio,"",Indice_PROBLAM_Estudiante1)</f>
        <v/>
      </c>
      <c r="G29" s="7"/>
      <c r="H29" s="8"/>
      <c r="I29" s="9"/>
      <c r="K29" s="12" t="str" cm="1">
        <f t="array" ref="K29">IF($B29&lt;&gt;"",TRANSPOSE(_xlfn._xlws.FILTER(plan!$C$4:$C$52, ($B29 &gt;= (plan!$J$4:$J$52-Indice_Plan_ExtensionPlazo))*($B29 &lt;= (plan!$K$4:$K$52+Indice_Plan_ExtensionPlazo)), "")), "")</f>
        <v/>
      </c>
      <c r="BH29" s="4"/>
    </row>
    <row r="30" spans="2:60" x14ac:dyDescent="0.3">
      <c r="B30" s="6"/>
      <c r="C30" s="10"/>
      <c r="D30" s="48" t="str">
        <f>IF(Tabla_Registro_Tareas1[[#This Row],[Actividad]]=Indice_Aux_Vacio,"",IFERROR(INDEX(plan!$D$4:$D$52,MATCH(Tabla_Registro_Tareas1[[#This Row],[Actividad]],plan!$C$4:$C$52,0)),""))</f>
        <v/>
      </c>
      <c r="E30" s="48" t="str">
        <f>IFERROR(INDEX(plan!$E$4:$E$52,MATCH(Tabla_Registro_Tareas1[[#This Row],[Actividad]],plan!$C$4:$C$52,0)),"")</f>
        <v/>
      </c>
      <c r="F30" s="49" t="str">
        <f>IF(Tabla_Registro_Tareas1[[#This Row],[Actividad]]=Indice_Aux_Vacio,"",Indice_PROBLAM_Estudiante1)</f>
        <v/>
      </c>
      <c r="G30" s="7"/>
      <c r="H30" s="8"/>
      <c r="I30" s="9"/>
      <c r="K30" s="12" t="str" cm="1">
        <f t="array" ref="K30">IF($B30&lt;&gt;"",TRANSPOSE(_xlfn._xlws.FILTER(plan!$C$4:$C$52, ($B30 &gt;= (plan!$J$4:$J$52-Indice_Plan_ExtensionPlazo))*($B30 &lt;= (plan!$K$4:$K$52+Indice_Plan_ExtensionPlazo)), "")), "")</f>
        <v/>
      </c>
      <c r="BH30" s="4"/>
    </row>
    <row r="31" spans="2:60" x14ac:dyDescent="0.3">
      <c r="B31" s="6"/>
      <c r="C31" s="10"/>
      <c r="D31" s="48" t="str">
        <f>IF(Tabla_Registro_Tareas1[[#This Row],[Actividad]]=Indice_Aux_Vacio,"",IFERROR(INDEX(plan!$D$4:$D$52,MATCH(Tabla_Registro_Tareas1[[#This Row],[Actividad]],plan!$C$4:$C$52,0)),""))</f>
        <v/>
      </c>
      <c r="E31" s="48" t="str">
        <f>IFERROR(INDEX(plan!$E$4:$E$52,MATCH(Tabla_Registro_Tareas1[[#This Row],[Actividad]],plan!$C$4:$C$52,0)),"")</f>
        <v/>
      </c>
      <c r="F31" s="49" t="str">
        <f>IF(Tabla_Registro_Tareas1[[#This Row],[Actividad]]=Indice_Aux_Vacio,"",Indice_PROBLAM_Estudiante1)</f>
        <v/>
      </c>
      <c r="G31" s="7"/>
      <c r="H31" s="8"/>
      <c r="I31" s="9"/>
      <c r="K31" s="12" t="str" cm="1">
        <f t="array" ref="K31">IF($B31&lt;&gt;"",TRANSPOSE(_xlfn._xlws.FILTER(plan!$C$4:$C$52, ($B31 &gt;= (plan!$J$4:$J$52-Indice_Plan_ExtensionPlazo))*($B31 &lt;= (plan!$K$4:$K$52+Indice_Plan_ExtensionPlazo)), "")), "")</f>
        <v/>
      </c>
      <c r="BH31" s="4"/>
    </row>
    <row r="32" spans="2:60" x14ac:dyDescent="0.3">
      <c r="B32" s="6"/>
      <c r="C32" s="10"/>
      <c r="D32" s="48" t="str">
        <f>IF(Tabla_Registro_Tareas1[[#This Row],[Actividad]]=Indice_Aux_Vacio,"",IFERROR(INDEX(plan!$D$4:$D$52,MATCH(Tabla_Registro_Tareas1[[#This Row],[Actividad]],plan!$C$4:$C$52,0)),""))</f>
        <v/>
      </c>
      <c r="E32" s="48" t="str">
        <f>IFERROR(INDEX(plan!$E$4:$E$52,MATCH(Tabla_Registro_Tareas1[[#This Row],[Actividad]],plan!$C$4:$C$52,0)),"")</f>
        <v/>
      </c>
      <c r="F32" s="49" t="str">
        <f>IF(Tabla_Registro_Tareas1[[#This Row],[Actividad]]=Indice_Aux_Vacio,"",Indice_PROBLAM_Estudiante1)</f>
        <v/>
      </c>
      <c r="G32" s="7"/>
      <c r="H32" s="8"/>
      <c r="I32" s="9"/>
      <c r="K32" s="12" t="str" cm="1">
        <f t="array" ref="K32">IF($B32&lt;&gt;"",TRANSPOSE(_xlfn._xlws.FILTER(plan!$C$4:$C$52, ($B32 &gt;= (plan!$J$4:$J$52-Indice_Plan_ExtensionPlazo))*($B32 &lt;= (plan!$K$4:$K$52+Indice_Plan_ExtensionPlazo)), "")), "")</f>
        <v/>
      </c>
      <c r="BH32" s="4"/>
    </row>
    <row r="33" spans="2:60" x14ac:dyDescent="0.3">
      <c r="B33" s="6"/>
      <c r="C33" s="10"/>
      <c r="D33" s="48" t="str">
        <f>IF(Tabla_Registro_Tareas1[[#This Row],[Actividad]]=Indice_Aux_Vacio,"",IFERROR(INDEX(plan!$D$4:$D$52,MATCH(Tabla_Registro_Tareas1[[#This Row],[Actividad]],plan!$C$4:$C$52,0)),""))</f>
        <v/>
      </c>
      <c r="E33" s="48" t="str">
        <f>IFERROR(INDEX(plan!$E$4:$E$52,MATCH(Tabla_Registro_Tareas1[[#This Row],[Actividad]],plan!$C$4:$C$52,0)),"")</f>
        <v/>
      </c>
      <c r="F33" s="49" t="str">
        <f>IF(Tabla_Registro_Tareas1[[#This Row],[Actividad]]=Indice_Aux_Vacio,"",Indice_PROBLAM_Estudiante1)</f>
        <v/>
      </c>
      <c r="G33" s="7"/>
      <c r="H33" s="8"/>
      <c r="I33" s="9"/>
      <c r="K33" s="12" t="str" cm="1">
        <f t="array" ref="K33">IF($B33&lt;&gt;"",TRANSPOSE(_xlfn._xlws.FILTER(plan!$C$4:$C$52, ($B33 &gt;= (plan!$J$4:$J$52-Indice_Plan_ExtensionPlazo))*($B33 &lt;= (plan!$K$4:$K$52+Indice_Plan_ExtensionPlazo)), "")), "")</f>
        <v/>
      </c>
      <c r="BH33" s="4"/>
    </row>
    <row r="34" spans="2:60" x14ac:dyDescent="0.3">
      <c r="B34" s="6"/>
      <c r="C34" s="10"/>
      <c r="D34" s="48" t="str">
        <f>IF(Tabla_Registro_Tareas1[[#This Row],[Actividad]]=Indice_Aux_Vacio,"",IFERROR(INDEX(plan!$D$4:$D$52,MATCH(Tabla_Registro_Tareas1[[#This Row],[Actividad]],plan!$C$4:$C$52,0)),""))</f>
        <v/>
      </c>
      <c r="E34" s="48" t="str">
        <f>IFERROR(INDEX(plan!$E$4:$E$52,MATCH(Tabla_Registro_Tareas1[[#This Row],[Actividad]],plan!$C$4:$C$52,0)),"")</f>
        <v/>
      </c>
      <c r="F34" s="49" t="str">
        <f>IF(Tabla_Registro_Tareas1[[#This Row],[Actividad]]=Indice_Aux_Vacio,"",Indice_PROBLAM_Estudiante1)</f>
        <v/>
      </c>
      <c r="G34" s="7"/>
      <c r="H34" s="8"/>
      <c r="I34" s="9"/>
      <c r="K34" s="12" t="str" cm="1">
        <f t="array" ref="K34">IF($B34&lt;&gt;"",TRANSPOSE(_xlfn._xlws.FILTER(plan!$C$4:$C$52, ($B34 &gt;= (plan!$J$4:$J$52-Indice_Plan_ExtensionPlazo))*($B34 &lt;= (plan!$K$4:$K$52+Indice_Plan_ExtensionPlazo)), "")), "")</f>
        <v/>
      </c>
      <c r="BH34" s="4"/>
    </row>
    <row r="35" spans="2:60" x14ac:dyDescent="0.3">
      <c r="B35" s="6"/>
      <c r="C35" s="10"/>
      <c r="D35" s="48" t="str">
        <f>IF(Tabla_Registro_Tareas1[[#This Row],[Actividad]]=Indice_Aux_Vacio,"",IFERROR(INDEX(plan!$D$4:$D$52,MATCH(Tabla_Registro_Tareas1[[#This Row],[Actividad]],plan!$C$4:$C$52,0)),""))</f>
        <v/>
      </c>
      <c r="E35" s="48" t="str">
        <f>IFERROR(INDEX(plan!$E$4:$E$52,MATCH(Tabla_Registro_Tareas1[[#This Row],[Actividad]],plan!$C$4:$C$52,0)),"")</f>
        <v/>
      </c>
      <c r="F35" s="49" t="str">
        <f>IF(Tabla_Registro_Tareas1[[#This Row],[Actividad]]=Indice_Aux_Vacio,"",Indice_PROBLAM_Estudiante1)</f>
        <v/>
      </c>
      <c r="G35" s="7"/>
      <c r="H35" s="8"/>
      <c r="I35" s="9"/>
      <c r="K35" s="12" t="str" cm="1">
        <f t="array" ref="K35">IF($B35&lt;&gt;"",TRANSPOSE(_xlfn._xlws.FILTER(plan!$C$4:$C$52, ($B35 &gt;= (plan!$J$4:$J$52-Indice_Plan_ExtensionPlazo))*($B35 &lt;= (plan!$K$4:$K$52+Indice_Plan_ExtensionPlazo)), "")), "")</f>
        <v/>
      </c>
      <c r="BH35" s="4"/>
    </row>
    <row r="36" spans="2:60" x14ac:dyDescent="0.3">
      <c r="B36" s="6"/>
      <c r="C36" s="10"/>
      <c r="D36" s="48" t="str">
        <f>IF(Tabla_Registro_Tareas1[[#This Row],[Actividad]]=Indice_Aux_Vacio,"",IFERROR(INDEX(plan!$D$4:$D$52,MATCH(Tabla_Registro_Tareas1[[#This Row],[Actividad]],plan!$C$4:$C$52,0)),""))</f>
        <v/>
      </c>
      <c r="E36" s="48" t="str">
        <f>IFERROR(INDEX(plan!$E$4:$E$52,MATCH(Tabla_Registro_Tareas1[[#This Row],[Actividad]],plan!$C$4:$C$52,0)),"")</f>
        <v/>
      </c>
      <c r="F36" s="49" t="str">
        <f>IF(Tabla_Registro_Tareas1[[#This Row],[Actividad]]=Indice_Aux_Vacio,"",Indice_PROBLAM_Estudiante1)</f>
        <v/>
      </c>
      <c r="G36" s="7"/>
      <c r="H36" s="8"/>
      <c r="I36" s="9"/>
      <c r="K36" s="12" t="str" cm="1">
        <f t="array" ref="K36">IF($B36&lt;&gt;"",TRANSPOSE(_xlfn._xlws.FILTER(plan!$C$4:$C$52, ($B36 &gt;= (plan!$J$4:$J$52-Indice_Plan_ExtensionPlazo))*($B36 &lt;= (plan!$K$4:$K$52+Indice_Plan_ExtensionPlazo)), "")), "")</f>
        <v/>
      </c>
      <c r="BH36" s="4"/>
    </row>
    <row r="37" spans="2:60" x14ac:dyDescent="0.3">
      <c r="B37" s="6"/>
      <c r="C37" s="10"/>
      <c r="D37" s="48" t="str">
        <f>IF(Tabla_Registro_Tareas1[[#This Row],[Actividad]]=Indice_Aux_Vacio,"",IFERROR(INDEX(plan!$D$4:$D$52,MATCH(Tabla_Registro_Tareas1[[#This Row],[Actividad]],plan!$C$4:$C$52,0)),""))</f>
        <v/>
      </c>
      <c r="E37" s="48" t="str">
        <f>IFERROR(INDEX(plan!$E$4:$E$52,MATCH(Tabla_Registro_Tareas1[[#This Row],[Actividad]],plan!$C$4:$C$52,0)),"")</f>
        <v/>
      </c>
      <c r="F37" s="49" t="str">
        <f>IF(Tabla_Registro_Tareas1[[#This Row],[Actividad]]=Indice_Aux_Vacio,"",Indice_PROBLAM_Estudiante1)</f>
        <v/>
      </c>
      <c r="G37" s="7"/>
      <c r="H37" s="8"/>
      <c r="I37" s="9"/>
      <c r="K37" s="12" t="str" cm="1">
        <f t="array" ref="K37">IF($B37&lt;&gt;"",TRANSPOSE(_xlfn._xlws.FILTER(plan!$C$4:$C$52, ($B37 &gt;= (plan!$J$4:$J$52-Indice_Plan_ExtensionPlazo))*($B37 &lt;= (plan!$K$4:$K$52+Indice_Plan_ExtensionPlazo)), "")), "")</f>
        <v/>
      </c>
      <c r="BH37" s="4"/>
    </row>
    <row r="38" spans="2:60" x14ac:dyDescent="0.3">
      <c r="B38" s="6"/>
      <c r="C38" s="10"/>
      <c r="D38" s="48" t="str">
        <f>IF(Tabla_Registro_Tareas1[[#This Row],[Actividad]]=Indice_Aux_Vacio,"",IFERROR(INDEX(plan!$D$4:$D$52,MATCH(Tabla_Registro_Tareas1[[#This Row],[Actividad]],plan!$C$4:$C$52,0)),""))</f>
        <v/>
      </c>
      <c r="E38" s="48" t="str">
        <f>IFERROR(INDEX(plan!$E$4:$E$52,MATCH(Tabla_Registro_Tareas1[[#This Row],[Actividad]],plan!$C$4:$C$52,0)),"")</f>
        <v/>
      </c>
      <c r="F38" s="49" t="str">
        <f>IF(Tabla_Registro_Tareas1[[#This Row],[Actividad]]=Indice_Aux_Vacio,"",Indice_PROBLAM_Estudiante1)</f>
        <v/>
      </c>
      <c r="G38" s="7"/>
      <c r="H38" s="8"/>
      <c r="I38" s="9"/>
      <c r="K38" s="12" t="str" cm="1">
        <f t="array" ref="K38">IF($B38&lt;&gt;"",TRANSPOSE(_xlfn._xlws.FILTER(plan!$C$4:$C$52, ($B38 &gt;= (plan!$J$4:$J$52-Indice_Plan_ExtensionPlazo))*($B38 &lt;= (plan!$K$4:$K$52+Indice_Plan_ExtensionPlazo)), "")), "")</f>
        <v/>
      </c>
      <c r="BH38" s="4"/>
    </row>
    <row r="39" spans="2:60" x14ac:dyDescent="0.3">
      <c r="B39" s="6"/>
      <c r="C39" s="10"/>
      <c r="D39" s="48" t="str">
        <f>IF(Tabla_Registro_Tareas1[[#This Row],[Actividad]]=Indice_Aux_Vacio,"",IFERROR(INDEX(plan!$D$4:$D$52,MATCH(Tabla_Registro_Tareas1[[#This Row],[Actividad]],plan!$C$4:$C$52,0)),""))</f>
        <v/>
      </c>
      <c r="E39" s="48" t="str">
        <f>IFERROR(INDEX(plan!$E$4:$E$52,MATCH(Tabla_Registro_Tareas1[[#This Row],[Actividad]],plan!$C$4:$C$52,0)),"")</f>
        <v/>
      </c>
      <c r="F39" s="49" t="str">
        <f>IF(Tabla_Registro_Tareas1[[#This Row],[Actividad]]=Indice_Aux_Vacio,"",Indice_PROBLAM_Estudiante1)</f>
        <v/>
      </c>
      <c r="G39" s="7"/>
      <c r="H39" s="8"/>
      <c r="I39" s="9"/>
      <c r="K39" s="12" t="str" cm="1">
        <f t="array" ref="K39">IF($B39&lt;&gt;"",TRANSPOSE(_xlfn._xlws.FILTER(plan!$C$4:$C$52, ($B39 &gt;= (plan!$J$4:$J$52-Indice_Plan_ExtensionPlazo))*($B39 &lt;= (plan!$K$4:$K$52+Indice_Plan_ExtensionPlazo)), "")), "")</f>
        <v/>
      </c>
      <c r="BH39" s="4"/>
    </row>
    <row r="40" spans="2:60" x14ac:dyDescent="0.3">
      <c r="B40" s="6"/>
      <c r="C40" s="10"/>
      <c r="D40" s="48" t="str">
        <f>IF(Tabla_Registro_Tareas1[[#This Row],[Actividad]]=Indice_Aux_Vacio,"",IFERROR(INDEX(plan!$D$4:$D$52,MATCH(Tabla_Registro_Tareas1[[#This Row],[Actividad]],plan!$C$4:$C$52,0)),""))</f>
        <v/>
      </c>
      <c r="E40" s="48" t="str">
        <f>IFERROR(INDEX(plan!$E$4:$E$52,MATCH(Tabla_Registro_Tareas1[[#This Row],[Actividad]],plan!$C$4:$C$52,0)),"")</f>
        <v/>
      </c>
      <c r="F40" s="49" t="str">
        <f>IF(Tabla_Registro_Tareas1[[#This Row],[Actividad]]=Indice_Aux_Vacio,"",Indice_PROBLAM_Estudiante1)</f>
        <v/>
      </c>
      <c r="G40" s="7"/>
      <c r="H40" s="8"/>
      <c r="I40" s="9"/>
      <c r="K40" s="12" t="str" cm="1">
        <f t="array" ref="K40">IF($B40&lt;&gt;"",TRANSPOSE(_xlfn._xlws.FILTER(plan!$C$4:$C$52, ($B40 &gt;= (plan!$J$4:$J$52-Indice_Plan_ExtensionPlazo))*($B40 &lt;= (plan!$K$4:$K$52+Indice_Plan_ExtensionPlazo)), "")), "")</f>
        <v/>
      </c>
      <c r="BH40" s="4"/>
    </row>
    <row r="41" spans="2:60" x14ac:dyDescent="0.3">
      <c r="B41" s="6"/>
      <c r="C41" s="10"/>
      <c r="D41" s="48" t="str">
        <f>IF(Tabla_Registro_Tareas1[[#This Row],[Actividad]]=Indice_Aux_Vacio,"",IFERROR(INDEX(plan!$D$4:$D$52,MATCH(Tabla_Registro_Tareas1[[#This Row],[Actividad]],plan!$C$4:$C$52,0)),""))</f>
        <v/>
      </c>
      <c r="E41" s="48" t="str">
        <f>IFERROR(INDEX(plan!$E$4:$E$52,MATCH(Tabla_Registro_Tareas1[[#This Row],[Actividad]],plan!$C$4:$C$52,0)),"")</f>
        <v/>
      </c>
      <c r="F41" s="49" t="str">
        <f>IF(Tabla_Registro_Tareas1[[#This Row],[Actividad]]=Indice_Aux_Vacio,"",Indice_PROBLAM_Estudiante1)</f>
        <v/>
      </c>
      <c r="G41" s="7"/>
      <c r="H41" s="8"/>
      <c r="I41" s="9"/>
      <c r="K41" s="12" t="str" cm="1">
        <f t="array" ref="K41">IF($B41&lt;&gt;"",TRANSPOSE(_xlfn._xlws.FILTER(plan!$C$4:$C$52, ($B41 &gt;= (plan!$J$4:$J$52-Indice_Plan_ExtensionPlazo))*($B41 &lt;= (plan!$K$4:$K$52+Indice_Plan_ExtensionPlazo)), "")), "")</f>
        <v/>
      </c>
      <c r="BH41" s="4"/>
    </row>
    <row r="42" spans="2:60" x14ac:dyDescent="0.3">
      <c r="B42" s="6"/>
      <c r="C42" s="10"/>
      <c r="D42" s="48" t="str">
        <f>IF(Tabla_Registro_Tareas1[[#This Row],[Actividad]]=Indice_Aux_Vacio,"",IFERROR(INDEX(plan!$D$4:$D$52,MATCH(Tabla_Registro_Tareas1[[#This Row],[Actividad]],plan!$C$4:$C$52,0)),""))</f>
        <v/>
      </c>
      <c r="E42" s="48" t="str">
        <f>IFERROR(INDEX(plan!$E$4:$E$52,MATCH(Tabla_Registro_Tareas1[[#This Row],[Actividad]],plan!$C$4:$C$52,0)),"")</f>
        <v/>
      </c>
      <c r="F42" s="49" t="str">
        <f>IF(Tabla_Registro_Tareas1[[#This Row],[Actividad]]=Indice_Aux_Vacio,"",Indice_PROBLAM_Estudiante1)</f>
        <v/>
      </c>
      <c r="G42" s="7"/>
      <c r="H42" s="8"/>
      <c r="I42" s="9"/>
      <c r="K42" s="12" t="str" cm="1">
        <f t="array" ref="K42">IF($B42&lt;&gt;"",TRANSPOSE(_xlfn._xlws.FILTER(plan!$C$4:$C$52, ($B42 &gt;= (plan!$J$4:$J$52-Indice_Plan_ExtensionPlazo))*($B42 &lt;= (plan!$K$4:$K$52+Indice_Plan_ExtensionPlazo)), "")), "")</f>
        <v/>
      </c>
      <c r="BH42" s="4"/>
    </row>
    <row r="43" spans="2:60" x14ac:dyDescent="0.3">
      <c r="B43" s="6"/>
      <c r="C43" s="10"/>
      <c r="D43" s="48" t="str">
        <f>IF(Tabla_Registro_Tareas1[[#This Row],[Actividad]]=Indice_Aux_Vacio,"",IFERROR(INDEX(plan!$D$4:$D$52,MATCH(Tabla_Registro_Tareas1[[#This Row],[Actividad]],plan!$C$4:$C$52,0)),""))</f>
        <v/>
      </c>
      <c r="E43" s="48" t="str">
        <f>IFERROR(INDEX(plan!$E$4:$E$52,MATCH(Tabla_Registro_Tareas1[[#This Row],[Actividad]],plan!$C$4:$C$52,0)),"")</f>
        <v/>
      </c>
      <c r="F43" s="49" t="str">
        <f>IF(Tabla_Registro_Tareas1[[#This Row],[Actividad]]=Indice_Aux_Vacio,"",Indice_PROBLAM_Estudiante1)</f>
        <v/>
      </c>
      <c r="G43" s="7"/>
      <c r="H43" s="8"/>
      <c r="I43" s="9"/>
      <c r="K43" s="12" t="str" cm="1">
        <f t="array" ref="K43">IF($B43&lt;&gt;"",TRANSPOSE(_xlfn._xlws.FILTER(plan!$C$4:$C$52, ($B43 &gt;= (plan!$J$4:$J$52-Indice_Plan_ExtensionPlazo))*($B43 &lt;= (plan!$K$4:$K$52+Indice_Plan_ExtensionPlazo)), "")), "")</f>
        <v/>
      </c>
      <c r="BH43" s="4"/>
    </row>
    <row r="44" spans="2:60" x14ac:dyDescent="0.3">
      <c r="B44" s="6"/>
      <c r="C44" s="10"/>
      <c r="D44" s="48" t="str">
        <f>IF(Tabla_Registro_Tareas1[[#This Row],[Actividad]]=Indice_Aux_Vacio,"",IFERROR(INDEX(plan!$D$4:$D$52,MATCH(Tabla_Registro_Tareas1[[#This Row],[Actividad]],plan!$C$4:$C$52,0)),""))</f>
        <v/>
      </c>
      <c r="E44" s="48" t="str">
        <f>IFERROR(INDEX(plan!$E$4:$E$52,MATCH(Tabla_Registro_Tareas1[[#This Row],[Actividad]],plan!$C$4:$C$52,0)),"")</f>
        <v/>
      </c>
      <c r="F44" s="49" t="str">
        <f>IF(Tabla_Registro_Tareas1[[#This Row],[Actividad]]=Indice_Aux_Vacio,"",Indice_PROBLAM_Estudiante1)</f>
        <v/>
      </c>
      <c r="G44" s="7"/>
      <c r="H44" s="8"/>
      <c r="I44" s="9"/>
      <c r="K44" s="12" t="str" cm="1">
        <f t="array" ref="K44">IF($B44&lt;&gt;"",TRANSPOSE(_xlfn._xlws.FILTER(plan!$C$4:$C$52, ($B44 &gt;= (plan!$J$4:$J$52-Indice_Plan_ExtensionPlazo))*($B44 &lt;= (plan!$K$4:$K$52+Indice_Plan_ExtensionPlazo)), "")), "")</f>
        <v/>
      </c>
      <c r="BH44" s="4"/>
    </row>
    <row r="45" spans="2:60" x14ac:dyDescent="0.3">
      <c r="B45" s="6"/>
      <c r="C45" s="10"/>
      <c r="D45" s="48" t="str">
        <f>IF(Tabla_Registro_Tareas1[[#This Row],[Actividad]]=Indice_Aux_Vacio,"",IFERROR(INDEX(plan!$D$4:$D$52,MATCH(Tabla_Registro_Tareas1[[#This Row],[Actividad]],plan!$C$4:$C$52,0)),""))</f>
        <v/>
      </c>
      <c r="E45" s="48" t="str">
        <f>IFERROR(INDEX(plan!$E$4:$E$52,MATCH(Tabla_Registro_Tareas1[[#This Row],[Actividad]],plan!$C$4:$C$52,0)),"")</f>
        <v/>
      </c>
      <c r="F45" s="49" t="str">
        <f>IF(Tabla_Registro_Tareas1[[#This Row],[Actividad]]=Indice_Aux_Vacio,"",Indice_PROBLAM_Estudiante1)</f>
        <v/>
      </c>
      <c r="G45" s="7"/>
      <c r="H45" s="8"/>
      <c r="I45" s="9"/>
      <c r="K45" s="12" t="str" cm="1">
        <f t="array" ref="K45">IF($B45&lt;&gt;"",TRANSPOSE(_xlfn._xlws.FILTER(plan!$C$4:$C$52, ($B45 &gt;= (plan!$J$4:$J$52-Indice_Plan_ExtensionPlazo))*($B45 &lt;= (plan!$K$4:$K$52+Indice_Plan_ExtensionPlazo)), "")), "")</f>
        <v/>
      </c>
      <c r="BH45" s="4"/>
    </row>
    <row r="46" spans="2:60" x14ac:dyDescent="0.3">
      <c r="B46" s="6"/>
      <c r="C46" s="10"/>
      <c r="D46" s="48" t="str">
        <f>IF(Tabla_Registro_Tareas1[[#This Row],[Actividad]]=Indice_Aux_Vacio,"",IFERROR(INDEX(plan!$D$4:$D$52,MATCH(Tabla_Registro_Tareas1[[#This Row],[Actividad]],plan!$C$4:$C$52,0)),""))</f>
        <v/>
      </c>
      <c r="E46" s="48" t="str">
        <f>IFERROR(INDEX(plan!$E$4:$E$52,MATCH(Tabla_Registro_Tareas1[[#This Row],[Actividad]],plan!$C$4:$C$52,0)),"")</f>
        <v/>
      </c>
      <c r="F46" s="49" t="str">
        <f>IF(Tabla_Registro_Tareas1[[#This Row],[Actividad]]=Indice_Aux_Vacio,"",Indice_PROBLAM_Estudiante1)</f>
        <v/>
      </c>
      <c r="G46" s="7"/>
      <c r="H46" s="8"/>
      <c r="I46" s="9"/>
      <c r="K46" s="12" t="str" cm="1">
        <f t="array" ref="K46">IF($B46&lt;&gt;"",TRANSPOSE(_xlfn._xlws.FILTER(plan!$C$4:$C$52, ($B46 &gt;= (plan!$J$4:$J$52-Indice_Plan_ExtensionPlazo))*($B46 &lt;= (plan!$K$4:$K$52+Indice_Plan_ExtensionPlazo)), "")), "")</f>
        <v/>
      </c>
      <c r="BH46" s="4"/>
    </row>
    <row r="47" spans="2:60" x14ac:dyDescent="0.3">
      <c r="B47" s="6"/>
      <c r="C47" s="10"/>
      <c r="D47" s="48" t="str">
        <f>IF(Tabla_Registro_Tareas1[[#This Row],[Actividad]]=Indice_Aux_Vacio,"",IFERROR(INDEX(plan!$D$4:$D$52,MATCH(Tabla_Registro_Tareas1[[#This Row],[Actividad]],plan!$C$4:$C$52,0)),""))</f>
        <v/>
      </c>
      <c r="E47" s="48" t="str">
        <f>IFERROR(INDEX(plan!$E$4:$E$52,MATCH(Tabla_Registro_Tareas1[[#This Row],[Actividad]],plan!$C$4:$C$52,0)),"")</f>
        <v/>
      </c>
      <c r="F47" s="49" t="str">
        <f>IF(Tabla_Registro_Tareas1[[#This Row],[Actividad]]=Indice_Aux_Vacio,"",Indice_PROBLAM_Estudiante1)</f>
        <v/>
      </c>
      <c r="G47" s="7"/>
      <c r="H47" s="8"/>
      <c r="I47" s="9"/>
      <c r="K47" s="12" t="str" cm="1">
        <f t="array" ref="K47">IF($B47&lt;&gt;"",TRANSPOSE(_xlfn._xlws.FILTER(plan!$C$4:$C$52, ($B47 &gt;= (plan!$J$4:$J$52-Indice_Plan_ExtensionPlazo))*($B47 &lt;= (plan!$K$4:$K$52+Indice_Plan_ExtensionPlazo)), "")), "")</f>
        <v/>
      </c>
      <c r="BH47" s="4"/>
    </row>
    <row r="48" spans="2:60" x14ac:dyDescent="0.3">
      <c r="B48" s="6"/>
      <c r="C48" s="10"/>
      <c r="D48" s="48" t="str">
        <f>IF(Tabla_Registro_Tareas1[[#This Row],[Actividad]]=Indice_Aux_Vacio,"",IFERROR(INDEX(plan!$D$4:$D$52,MATCH(Tabla_Registro_Tareas1[[#This Row],[Actividad]],plan!$C$4:$C$52,0)),""))</f>
        <v/>
      </c>
      <c r="E48" s="48" t="str">
        <f>IFERROR(INDEX(plan!$E$4:$E$52,MATCH(Tabla_Registro_Tareas1[[#This Row],[Actividad]],plan!$C$4:$C$52,0)),"")</f>
        <v/>
      </c>
      <c r="F48" s="49" t="str">
        <f>IF(Tabla_Registro_Tareas1[[#This Row],[Actividad]]=Indice_Aux_Vacio,"",Indice_PROBLAM_Estudiante1)</f>
        <v/>
      </c>
      <c r="G48" s="7"/>
      <c r="H48" s="8"/>
      <c r="I48" s="9"/>
      <c r="K48" s="12" t="str" cm="1">
        <f t="array" ref="K48">IF($B48&lt;&gt;"",TRANSPOSE(_xlfn._xlws.FILTER(plan!$C$4:$C$52, ($B48 &gt;= (plan!$J$4:$J$52-Indice_Plan_ExtensionPlazo))*($B48 &lt;= (plan!$K$4:$K$52+Indice_Plan_ExtensionPlazo)), "")), "")</f>
        <v/>
      </c>
      <c r="BH48" s="4"/>
    </row>
    <row r="49" spans="2:60" x14ac:dyDescent="0.3">
      <c r="B49" s="6"/>
      <c r="C49" s="10"/>
      <c r="D49" s="48" t="str">
        <f>IF(Tabla_Registro_Tareas1[[#This Row],[Actividad]]=Indice_Aux_Vacio,"",IFERROR(INDEX(plan!$D$4:$D$52,MATCH(Tabla_Registro_Tareas1[[#This Row],[Actividad]],plan!$C$4:$C$52,0)),""))</f>
        <v/>
      </c>
      <c r="E49" s="48" t="str">
        <f>IFERROR(INDEX(plan!$E$4:$E$52,MATCH(Tabla_Registro_Tareas1[[#This Row],[Actividad]],plan!$C$4:$C$52,0)),"")</f>
        <v/>
      </c>
      <c r="F49" s="49" t="str">
        <f>IF(Tabla_Registro_Tareas1[[#This Row],[Actividad]]=Indice_Aux_Vacio,"",Indice_PROBLAM_Estudiante1)</f>
        <v/>
      </c>
      <c r="G49" s="7"/>
      <c r="H49" s="8"/>
      <c r="I49" s="9"/>
      <c r="K49" s="12" t="str" cm="1">
        <f t="array" ref="K49">IF($B49&lt;&gt;"",TRANSPOSE(_xlfn._xlws.FILTER(plan!$C$4:$C$52, ($B49 &gt;= (plan!$J$4:$J$52-Indice_Plan_ExtensionPlazo))*($B49 &lt;= (plan!$K$4:$K$52+Indice_Plan_ExtensionPlazo)), "")), "")</f>
        <v/>
      </c>
      <c r="BH49" s="4"/>
    </row>
    <row r="50" spans="2:60" x14ac:dyDescent="0.3">
      <c r="B50" s="6"/>
      <c r="C50" s="10"/>
      <c r="D50" s="48" t="str">
        <f>IF(Tabla_Registro_Tareas1[[#This Row],[Actividad]]=Indice_Aux_Vacio,"",IFERROR(INDEX(plan!$D$4:$D$52,MATCH(Tabla_Registro_Tareas1[[#This Row],[Actividad]],plan!$C$4:$C$52,0)),""))</f>
        <v/>
      </c>
      <c r="E50" s="48" t="str">
        <f>IFERROR(INDEX(plan!$E$4:$E$52,MATCH(Tabla_Registro_Tareas1[[#This Row],[Actividad]],plan!$C$4:$C$52,0)),"")</f>
        <v/>
      </c>
      <c r="F50" s="49" t="str">
        <f>IF(Tabla_Registro_Tareas1[[#This Row],[Actividad]]=Indice_Aux_Vacio,"",Indice_PROBLAM_Estudiante1)</f>
        <v/>
      </c>
      <c r="G50" s="7"/>
      <c r="H50" s="8"/>
      <c r="I50" s="9"/>
      <c r="K50" s="12" t="str" cm="1">
        <f t="array" ref="K50">IF($B50&lt;&gt;"",TRANSPOSE(_xlfn._xlws.FILTER(plan!$C$4:$C$52, ($B50 &gt;= (plan!$J$4:$J$52-Indice_Plan_ExtensionPlazo))*($B50 &lt;= (plan!$K$4:$K$52+Indice_Plan_ExtensionPlazo)), "")), "")</f>
        <v/>
      </c>
      <c r="BH50" s="4"/>
    </row>
    <row r="51" spans="2:60" x14ac:dyDescent="0.3">
      <c r="B51" s="6"/>
      <c r="C51" s="10"/>
      <c r="D51" s="48" t="str">
        <f>IF(Tabla_Registro_Tareas1[[#This Row],[Actividad]]=Indice_Aux_Vacio,"",IFERROR(INDEX(plan!$D$4:$D$52,MATCH(Tabla_Registro_Tareas1[[#This Row],[Actividad]],plan!$C$4:$C$52,0)),""))</f>
        <v/>
      </c>
      <c r="E51" s="48" t="str">
        <f>IFERROR(INDEX(plan!$E$4:$E$52,MATCH(Tabla_Registro_Tareas1[[#This Row],[Actividad]],plan!$C$4:$C$52,0)),"")</f>
        <v/>
      </c>
      <c r="F51" s="49" t="str">
        <f>IF(Tabla_Registro_Tareas1[[#This Row],[Actividad]]=Indice_Aux_Vacio,"",Indice_PROBLAM_Estudiante1)</f>
        <v/>
      </c>
      <c r="G51" s="7"/>
      <c r="H51" s="8"/>
      <c r="I51" s="9"/>
      <c r="K51" s="12" t="str" cm="1">
        <f t="array" ref="K51">IF($B51&lt;&gt;"",TRANSPOSE(_xlfn._xlws.FILTER(plan!$C$4:$C$52, ($B51 &gt;= (plan!$J$4:$J$52-Indice_Plan_ExtensionPlazo))*($B51 &lt;= (plan!$K$4:$K$52+Indice_Plan_ExtensionPlazo)), "")), "")</f>
        <v/>
      </c>
      <c r="BH51" s="4"/>
    </row>
    <row r="52" spans="2:60" x14ac:dyDescent="0.3">
      <c r="B52" s="6"/>
      <c r="C52" s="10"/>
      <c r="D52" s="48" t="str">
        <f>IF(Tabla_Registro_Tareas1[[#This Row],[Actividad]]=Indice_Aux_Vacio,"",IFERROR(INDEX(plan!$D$4:$D$52,MATCH(Tabla_Registro_Tareas1[[#This Row],[Actividad]],plan!$C$4:$C$52,0)),""))</f>
        <v/>
      </c>
      <c r="E52" s="48" t="str">
        <f>IFERROR(INDEX(plan!$E$4:$E$52,MATCH(Tabla_Registro_Tareas1[[#This Row],[Actividad]],plan!$C$4:$C$52,0)),"")</f>
        <v/>
      </c>
      <c r="F52" s="49" t="str">
        <f>IF(Tabla_Registro_Tareas1[[#This Row],[Actividad]]=Indice_Aux_Vacio,"",Indice_PROBLAM_Estudiante1)</f>
        <v/>
      </c>
      <c r="G52" s="7"/>
      <c r="H52" s="8"/>
      <c r="I52" s="9"/>
      <c r="K52" s="12" t="str" cm="1">
        <f t="array" ref="K52">IF($B52&lt;&gt;"",TRANSPOSE(_xlfn._xlws.FILTER(plan!$C$4:$C$52, ($B52 &gt;= (plan!$J$4:$J$52-Indice_Plan_ExtensionPlazo))*($B52 &lt;= (plan!$K$4:$K$52+Indice_Plan_ExtensionPlazo)), "")), "")</f>
        <v/>
      </c>
      <c r="BH52" s="4"/>
    </row>
    <row r="53" spans="2:60" x14ac:dyDescent="0.3">
      <c r="B53" s="6"/>
      <c r="C53" s="10"/>
      <c r="D53" s="48" t="str">
        <f>IF(Tabla_Registro_Tareas1[[#This Row],[Actividad]]=Indice_Aux_Vacio,"",IFERROR(INDEX(plan!$D$4:$D$52,MATCH(Tabla_Registro_Tareas1[[#This Row],[Actividad]],plan!$C$4:$C$52,0)),""))</f>
        <v/>
      </c>
      <c r="E53" s="48" t="str">
        <f>IFERROR(INDEX(plan!$E$4:$E$52,MATCH(Tabla_Registro_Tareas1[[#This Row],[Actividad]],plan!$C$4:$C$52,0)),"")</f>
        <v/>
      </c>
      <c r="F53" s="49" t="str">
        <f>IF(Tabla_Registro_Tareas1[[#This Row],[Actividad]]=Indice_Aux_Vacio,"",Indice_PROBLAM_Estudiante1)</f>
        <v/>
      </c>
      <c r="G53" s="7"/>
      <c r="H53" s="8"/>
      <c r="I53" s="9"/>
      <c r="K53" s="12" t="str" cm="1">
        <f t="array" ref="K53">IF($B53&lt;&gt;"",TRANSPOSE(_xlfn._xlws.FILTER(plan!$C$4:$C$52, ($B53 &gt;= (plan!$J$4:$J$52-Indice_Plan_ExtensionPlazo))*($B53 &lt;= (plan!$K$4:$K$52+Indice_Plan_ExtensionPlazo)), "")), "")</f>
        <v/>
      </c>
      <c r="BH53" s="4"/>
    </row>
    <row r="54" spans="2:60" x14ac:dyDescent="0.3">
      <c r="B54" s="6"/>
      <c r="C54" s="10"/>
      <c r="D54" s="48" t="str">
        <f>IF(Tabla_Registro_Tareas1[[#This Row],[Actividad]]=Indice_Aux_Vacio,"",IFERROR(INDEX(plan!$D$4:$D$52,MATCH(Tabla_Registro_Tareas1[[#This Row],[Actividad]],plan!$C$4:$C$52,0)),""))</f>
        <v/>
      </c>
      <c r="E54" s="48" t="str">
        <f>IFERROR(INDEX(plan!$E$4:$E$52,MATCH(Tabla_Registro_Tareas1[[#This Row],[Actividad]],plan!$C$4:$C$52,0)),"")</f>
        <v/>
      </c>
      <c r="F54" s="49" t="str">
        <f>IF(Tabla_Registro_Tareas1[[#This Row],[Actividad]]=Indice_Aux_Vacio,"",Indice_PROBLAM_Estudiante1)</f>
        <v/>
      </c>
      <c r="G54" s="7"/>
      <c r="H54" s="8"/>
      <c r="I54" s="9"/>
      <c r="K54" s="12" t="str" cm="1">
        <f t="array" ref="K54">IF($B54&lt;&gt;"",TRANSPOSE(_xlfn._xlws.FILTER(plan!$C$4:$C$52, ($B54 &gt;= (plan!$J$4:$J$52-Indice_Plan_ExtensionPlazo))*($B54 &lt;= (plan!$K$4:$K$52+Indice_Plan_ExtensionPlazo)), "")), "")</f>
        <v/>
      </c>
      <c r="BH54" s="4"/>
    </row>
    <row r="55" spans="2:60" x14ac:dyDescent="0.3">
      <c r="B55" s="6"/>
      <c r="C55" s="10"/>
      <c r="D55" s="48" t="str">
        <f>IF(Tabla_Registro_Tareas1[[#This Row],[Actividad]]=Indice_Aux_Vacio,"",IFERROR(INDEX(plan!$D$4:$D$52,MATCH(Tabla_Registro_Tareas1[[#This Row],[Actividad]],plan!$C$4:$C$52,0)),""))</f>
        <v/>
      </c>
      <c r="E55" s="48" t="str">
        <f>IFERROR(INDEX(plan!$E$4:$E$52,MATCH(Tabla_Registro_Tareas1[[#This Row],[Actividad]],plan!$C$4:$C$52,0)),"")</f>
        <v/>
      </c>
      <c r="F55" s="49" t="str">
        <f>IF(Tabla_Registro_Tareas1[[#This Row],[Actividad]]=Indice_Aux_Vacio,"",Indice_PROBLAM_Estudiante1)</f>
        <v/>
      </c>
      <c r="G55" s="7"/>
      <c r="H55" s="8"/>
      <c r="I55" s="9"/>
      <c r="K55" s="12" t="str" cm="1">
        <f t="array" ref="K55">IF($B55&lt;&gt;"",TRANSPOSE(_xlfn._xlws.FILTER(plan!$C$4:$C$52, ($B55 &gt;= (plan!$J$4:$J$52-Indice_Plan_ExtensionPlazo))*($B55 &lt;= (plan!$K$4:$K$52+Indice_Plan_ExtensionPlazo)), "")), "")</f>
        <v/>
      </c>
      <c r="BH55" s="4"/>
    </row>
    <row r="56" spans="2:60" x14ac:dyDescent="0.3">
      <c r="B56" s="6"/>
      <c r="C56" s="10"/>
      <c r="D56" s="48" t="str">
        <f>IF(Tabla_Registro_Tareas1[[#This Row],[Actividad]]=Indice_Aux_Vacio,"",IFERROR(INDEX(plan!$D$4:$D$52,MATCH(Tabla_Registro_Tareas1[[#This Row],[Actividad]],plan!$C$4:$C$52,0)),""))</f>
        <v/>
      </c>
      <c r="E56" s="48" t="str">
        <f>IFERROR(INDEX(plan!$E$4:$E$52,MATCH(Tabla_Registro_Tareas1[[#This Row],[Actividad]],plan!$C$4:$C$52,0)),"")</f>
        <v/>
      </c>
      <c r="F56" s="49" t="str">
        <f>IF(Tabla_Registro_Tareas1[[#This Row],[Actividad]]=Indice_Aux_Vacio,"",Indice_PROBLAM_Estudiante1)</f>
        <v/>
      </c>
      <c r="G56" s="7"/>
      <c r="H56" s="8"/>
      <c r="I56" s="9"/>
      <c r="K56" s="12" t="str" cm="1">
        <f t="array" ref="K56">IF($B56&lt;&gt;"",TRANSPOSE(_xlfn._xlws.FILTER(plan!$C$4:$C$52, ($B56 &gt;= (plan!$J$4:$J$52-Indice_Plan_ExtensionPlazo))*($B56 &lt;= (plan!$K$4:$K$52+Indice_Plan_ExtensionPlazo)), "")), "")</f>
        <v/>
      </c>
      <c r="BH56" s="4"/>
    </row>
    <row r="57" spans="2:60" x14ac:dyDescent="0.3">
      <c r="B57" s="6"/>
      <c r="C57" s="10"/>
      <c r="D57" s="48" t="str">
        <f>IF(Tabla_Registro_Tareas1[[#This Row],[Actividad]]=Indice_Aux_Vacio,"",IFERROR(INDEX(plan!$D$4:$D$52,MATCH(Tabla_Registro_Tareas1[[#This Row],[Actividad]],plan!$C$4:$C$52,0)),""))</f>
        <v/>
      </c>
      <c r="E57" s="48" t="str">
        <f>IFERROR(INDEX(plan!$E$4:$E$52,MATCH(Tabla_Registro_Tareas1[[#This Row],[Actividad]],plan!$C$4:$C$52,0)),"")</f>
        <v/>
      </c>
      <c r="F57" s="49" t="str">
        <f>IF(Tabla_Registro_Tareas1[[#This Row],[Actividad]]=Indice_Aux_Vacio,"",Indice_PROBLAM_Estudiante1)</f>
        <v/>
      </c>
      <c r="G57" s="7"/>
      <c r="H57" s="8"/>
      <c r="I57" s="9"/>
      <c r="K57" s="12" t="str" cm="1">
        <f t="array" ref="K57">IF($B57&lt;&gt;"",TRANSPOSE(_xlfn._xlws.FILTER(plan!$C$4:$C$52, ($B57 &gt;= (plan!$J$4:$J$52-Indice_Plan_ExtensionPlazo))*($B57 &lt;= (plan!$K$4:$K$52+Indice_Plan_ExtensionPlazo)), "")), "")</f>
        <v/>
      </c>
      <c r="BH57" s="4"/>
    </row>
    <row r="58" spans="2:60" x14ac:dyDescent="0.3">
      <c r="B58" s="6"/>
      <c r="C58" s="10"/>
      <c r="D58" s="48" t="str">
        <f>IF(Tabla_Registro_Tareas1[[#This Row],[Actividad]]=Indice_Aux_Vacio,"",IFERROR(INDEX(plan!$D$4:$D$52,MATCH(Tabla_Registro_Tareas1[[#This Row],[Actividad]],plan!$C$4:$C$52,0)),""))</f>
        <v/>
      </c>
      <c r="E58" s="48" t="str">
        <f>IFERROR(INDEX(plan!$E$4:$E$52,MATCH(Tabla_Registro_Tareas1[[#This Row],[Actividad]],plan!$C$4:$C$52,0)),"")</f>
        <v/>
      </c>
      <c r="F58" s="49" t="str">
        <f>IF(Tabla_Registro_Tareas1[[#This Row],[Actividad]]=Indice_Aux_Vacio,"",Indice_PROBLAM_Estudiante1)</f>
        <v/>
      </c>
      <c r="G58" s="7"/>
      <c r="H58" s="8"/>
      <c r="I58" s="9"/>
      <c r="K58" s="12" t="str" cm="1">
        <f t="array" ref="K58">IF($B58&lt;&gt;"",TRANSPOSE(_xlfn._xlws.FILTER(plan!$C$4:$C$52, ($B58 &gt;= (plan!$J$4:$J$52-Indice_Plan_ExtensionPlazo))*($B58 &lt;= (plan!$K$4:$K$52+Indice_Plan_ExtensionPlazo)), "")), "")</f>
        <v/>
      </c>
      <c r="BH58" s="4"/>
    </row>
    <row r="59" spans="2:60" x14ac:dyDescent="0.3">
      <c r="B59" s="6"/>
      <c r="C59" s="10"/>
      <c r="D59" s="48" t="str">
        <f>IF(Tabla_Registro_Tareas1[[#This Row],[Actividad]]=Indice_Aux_Vacio,"",IFERROR(INDEX(plan!$D$4:$D$52,MATCH(Tabla_Registro_Tareas1[[#This Row],[Actividad]],plan!$C$4:$C$52,0)),""))</f>
        <v/>
      </c>
      <c r="E59" s="48" t="str">
        <f>IFERROR(INDEX(plan!$E$4:$E$52,MATCH(Tabla_Registro_Tareas1[[#This Row],[Actividad]],plan!$C$4:$C$52,0)),"")</f>
        <v/>
      </c>
      <c r="F59" s="49" t="str">
        <f>IF(Tabla_Registro_Tareas1[[#This Row],[Actividad]]=Indice_Aux_Vacio,"",Indice_PROBLAM_Estudiante1)</f>
        <v/>
      </c>
      <c r="G59" s="7"/>
      <c r="H59" s="8"/>
      <c r="I59" s="9"/>
      <c r="K59" s="12" t="str" cm="1">
        <f t="array" ref="K59">IF($B59&lt;&gt;"",TRANSPOSE(_xlfn._xlws.FILTER(plan!$C$4:$C$52, ($B59 &gt;= (plan!$J$4:$J$52-Indice_Plan_ExtensionPlazo))*($B59 &lt;= (plan!$K$4:$K$52+Indice_Plan_ExtensionPlazo)), "")), "")</f>
        <v/>
      </c>
      <c r="BH59" s="4"/>
    </row>
    <row r="60" spans="2:60" x14ac:dyDescent="0.3">
      <c r="B60" s="6"/>
      <c r="C60" s="10"/>
      <c r="D60" s="48" t="str">
        <f>IF(Tabla_Registro_Tareas1[[#This Row],[Actividad]]=Indice_Aux_Vacio,"",IFERROR(INDEX(plan!$D$4:$D$52,MATCH(Tabla_Registro_Tareas1[[#This Row],[Actividad]],plan!$C$4:$C$52,0)),""))</f>
        <v/>
      </c>
      <c r="E60" s="48" t="str">
        <f>IFERROR(INDEX(plan!$E$4:$E$52,MATCH(Tabla_Registro_Tareas1[[#This Row],[Actividad]],plan!$C$4:$C$52,0)),"")</f>
        <v/>
      </c>
      <c r="F60" s="49" t="str">
        <f>IF(Tabla_Registro_Tareas1[[#This Row],[Actividad]]=Indice_Aux_Vacio,"",Indice_PROBLAM_Estudiante1)</f>
        <v/>
      </c>
      <c r="G60" s="7"/>
      <c r="H60" s="8"/>
      <c r="I60" s="9"/>
      <c r="K60" s="12" t="str" cm="1">
        <f t="array" ref="K60">IF($B60&lt;&gt;"",TRANSPOSE(_xlfn._xlws.FILTER(plan!$C$4:$C$52, ($B60 &gt;= (plan!$J$4:$J$52-Indice_Plan_ExtensionPlazo))*($B60 &lt;= (plan!$K$4:$K$52+Indice_Plan_ExtensionPlazo)), "")), "")</f>
        <v/>
      </c>
      <c r="BH60" s="4"/>
    </row>
    <row r="61" spans="2:60" x14ac:dyDescent="0.3">
      <c r="B61" s="6"/>
      <c r="C61" s="10"/>
      <c r="D61" s="48" t="str">
        <f>IF(Tabla_Registro_Tareas1[[#This Row],[Actividad]]=Indice_Aux_Vacio,"",IFERROR(INDEX(plan!$D$4:$D$52,MATCH(Tabla_Registro_Tareas1[[#This Row],[Actividad]],plan!$C$4:$C$52,0)),""))</f>
        <v/>
      </c>
      <c r="E61" s="48" t="str">
        <f>IFERROR(INDEX(plan!$E$4:$E$52,MATCH(Tabla_Registro_Tareas1[[#This Row],[Actividad]],plan!$C$4:$C$52,0)),"")</f>
        <v/>
      </c>
      <c r="F61" s="49" t="str">
        <f>IF(Tabla_Registro_Tareas1[[#This Row],[Actividad]]=Indice_Aux_Vacio,"",Indice_PROBLAM_Estudiante1)</f>
        <v/>
      </c>
      <c r="G61" s="7"/>
      <c r="H61" s="8"/>
      <c r="I61" s="9"/>
      <c r="K61" s="12" t="str" cm="1">
        <f t="array" ref="K61">IF($B61&lt;&gt;"",TRANSPOSE(_xlfn._xlws.FILTER(plan!$C$4:$C$52, ($B61 &gt;= (plan!$J$4:$J$52-Indice_Plan_ExtensionPlazo))*($B61 &lt;= (plan!$K$4:$K$52+Indice_Plan_ExtensionPlazo)), "")), "")</f>
        <v/>
      </c>
      <c r="BH61" s="4"/>
    </row>
    <row r="62" spans="2:60" x14ac:dyDescent="0.3">
      <c r="B62" s="6"/>
      <c r="C62" s="10"/>
      <c r="D62" s="48" t="str">
        <f>IF(Tabla_Registro_Tareas1[[#This Row],[Actividad]]=Indice_Aux_Vacio,"",IFERROR(INDEX(plan!$D$4:$D$52,MATCH(Tabla_Registro_Tareas1[[#This Row],[Actividad]],plan!$C$4:$C$52,0)),""))</f>
        <v/>
      </c>
      <c r="E62" s="48" t="str">
        <f>IFERROR(INDEX(plan!$E$4:$E$52,MATCH(Tabla_Registro_Tareas1[[#This Row],[Actividad]],plan!$C$4:$C$52,0)),"")</f>
        <v/>
      </c>
      <c r="F62" s="49" t="str">
        <f>IF(Tabla_Registro_Tareas1[[#This Row],[Actividad]]=Indice_Aux_Vacio,"",Indice_PROBLAM_Estudiante1)</f>
        <v/>
      </c>
      <c r="G62" s="7"/>
      <c r="H62" s="8"/>
      <c r="I62" s="9"/>
      <c r="K62" s="12" t="str" cm="1">
        <f t="array" ref="K62">IF($B62&lt;&gt;"",TRANSPOSE(_xlfn._xlws.FILTER(plan!$C$4:$C$52, ($B62 &gt;= (plan!$J$4:$J$52-Indice_Plan_ExtensionPlazo))*($B62 &lt;= (plan!$K$4:$K$52+Indice_Plan_ExtensionPlazo)), "")), "")</f>
        <v/>
      </c>
      <c r="BH62" s="4"/>
    </row>
    <row r="63" spans="2:60" x14ac:dyDescent="0.3">
      <c r="B63" s="6"/>
      <c r="C63" s="10"/>
      <c r="D63" s="48" t="str">
        <f>IF(Tabla_Registro_Tareas1[[#This Row],[Actividad]]=Indice_Aux_Vacio,"",IFERROR(INDEX(plan!$D$4:$D$52,MATCH(Tabla_Registro_Tareas1[[#This Row],[Actividad]],plan!$C$4:$C$52,0)),""))</f>
        <v/>
      </c>
      <c r="E63" s="48" t="str">
        <f>IFERROR(INDEX(plan!$E$4:$E$52,MATCH(Tabla_Registro_Tareas1[[#This Row],[Actividad]],plan!$C$4:$C$52,0)),"")</f>
        <v/>
      </c>
      <c r="F63" s="49" t="str">
        <f>IF(Tabla_Registro_Tareas1[[#This Row],[Actividad]]=Indice_Aux_Vacio,"",Indice_PROBLAM_Estudiante1)</f>
        <v/>
      </c>
      <c r="G63" s="7"/>
      <c r="H63" s="8"/>
      <c r="I63" s="9"/>
      <c r="K63" s="12" t="str" cm="1">
        <f t="array" ref="K63">IF($B63&lt;&gt;"",TRANSPOSE(_xlfn._xlws.FILTER(plan!$C$4:$C$52, ($B63 &gt;= (plan!$J$4:$J$52-Indice_Plan_ExtensionPlazo))*($B63 &lt;= (plan!$K$4:$K$52+Indice_Plan_ExtensionPlazo)), "")), "")</f>
        <v/>
      </c>
      <c r="BH63" s="4"/>
    </row>
    <row r="64" spans="2:60" x14ac:dyDescent="0.3">
      <c r="B64" s="6"/>
      <c r="C64" s="10"/>
      <c r="D64" s="48" t="str">
        <f>IF(Tabla_Registro_Tareas1[[#This Row],[Actividad]]=Indice_Aux_Vacio,"",IFERROR(INDEX(plan!$D$4:$D$52,MATCH(Tabla_Registro_Tareas1[[#This Row],[Actividad]],plan!$C$4:$C$52,0)),""))</f>
        <v/>
      </c>
      <c r="E64" s="48" t="str">
        <f>IFERROR(INDEX(plan!$E$4:$E$52,MATCH(Tabla_Registro_Tareas1[[#This Row],[Actividad]],plan!$C$4:$C$52,0)),"")</f>
        <v/>
      </c>
      <c r="F64" s="49" t="str">
        <f>IF(Tabla_Registro_Tareas1[[#This Row],[Actividad]]=Indice_Aux_Vacio,"",Indice_PROBLAM_Estudiante1)</f>
        <v/>
      </c>
      <c r="G64" s="7"/>
      <c r="H64" s="8"/>
      <c r="I64" s="9"/>
      <c r="K64" s="12" t="str" cm="1">
        <f t="array" ref="K64">IF($B64&lt;&gt;"",TRANSPOSE(_xlfn._xlws.FILTER(plan!$C$4:$C$52, ($B64 &gt;= (plan!$J$4:$J$52-Indice_Plan_ExtensionPlazo))*($B64 &lt;= (plan!$K$4:$K$52+Indice_Plan_ExtensionPlazo)), "")), "")</f>
        <v/>
      </c>
      <c r="BH64" s="4"/>
    </row>
    <row r="65" spans="2:60" x14ac:dyDescent="0.3">
      <c r="B65" s="6"/>
      <c r="C65" s="10"/>
      <c r="D65" s="48" t="str">
        <f>IF(Tabla_Registro_Tareas1[[#This Row],[Actividad]]=Indice_Aux_Vacio,"",IFERROR(INDEX(plan!$D$4:$D$52,MATCH(Tabla_Registro_Tareas1[[#This Row],[Actividad]],plan!$C$4:$C$52,0)),""))</f>
        <v/>
      </c>
      <c r="E65" s="48" t="str">
        <f>IFERROR(INDEX(plan!$E$4:$E$52,MATCH(Tabla_Registro_Tareas1[[#This Row],[Actividad]],plan!$C$4:$C$52,0)),"")</f>
        <v/>
      </c>
      <c r="F65" s="49" t="str">
        <f>IF(Tabla_Registro_Tareas1[[#This Row],[Actividad]]=Indice_Aux_Vacio,"",Indice_PROBLAM_Estudiante1)</f>
        <v/>
      </c>
      <c r="G65" s="7"/>
      <c r="H65" s="8"/>
      <c r="I65" s="9"/>
      <c r="K65" s="12" t="str" cm="1">
        <f t="array" ref="K65">IF($B65&lt;&gt;"",TRANSPOSE(_xlfn._xlws.FILTER(plan!$C$4:$C$52, ($B65 &gt;= (plan!$J$4:$J$52-Indice_Plan_ExtensionPlazo))*($B65 &lt;= (plan!$K$4:$K$52+Indice_Plan_ExtensionPlazo)), "")), "")</f>
        <v/>
      </c>
      <c r="BH65" s="4"/>
    </row>
    <row r="66" spans="2:60" x14ac:dyDescent="0.3">
      <c r="B66" s="6"/>
      <c r="C66" s="10"/>
      <c r="D66" s="48" t="str">
        <f>IF(Tabla_Registro_Tareas1[[#This Row],[Actividad]]=Indice_Aux_Vacio,"",IFERROR(INDEX(plan!$D$4:$D$52,MATCH(Tabla_Registro_Tareas1[[#This Row],[Actividad]],plan!$C$4:$C$52,0)),""))</f>
        <v/>
      </c>
      <c r="E66" s="48" t="str">
        <f>IFERROR(INDEX(plan!$E$4:$E$52,MATCH(Tabla_Registro_Tareas1[[#This Row],[Actividad]],plan!$C$4:$C$52,0)),"")</f>
        <v/>
      </c>
      <c r="F66" s="49" t="str">
        <f>IF(Tabla_Registro_Tareas1[[#This Row],[Actividad]]=Indice_Aux_Vacio,"",Indice_PROBLAM_Estudiante1)</f>
        <v/>
      </c>
      <c r="G66" s="7"/>
      <c r="H66" s="8"/>
      <c r="I66" s="9"/>
      <c r="K66" s="12" t="str" cm="1">
        <f t="array" ref="K66">IF($B66&lt;&gt;"",TRANSPOSE(_xlfn._xlws.FILTER(plan!$C$4:$C$52, ($B66 &gt;= (plan!$J$4:$J$52-Indice_Plan_ExtensionPlazo))*($B66 &lt;= (plan!$K$4:$K$52+Indice_Plan_ExtensionPlazo)), "")), "")</f>
        <v/>
      </c>
      <c r="BH66" s="4"/>
    </row>
    <row r="67" spans="2:60" x14ac:dyDescent="0.3">
      <c r="B67" s="6"/>
      <c r="C67" s="10"/>
      <c r="D67" s="48" t="str">
        <f>IF(Tabla_Registro_Tareas1[[#This Row],[Actividad]]=Indice_Aux_Vacio,"",IFERROR(INDEX(plan!$D$4:$D$52,MATCH(Tabla_Registro_Tareas1[[#This Row],[Actividad]],plan!$C$4:$C$52,0)),""))</f>
        <v/>
      </c>
      <c r="E67" s="48" t="str">
        <f>IFERROR(INDEX(plan!$E$4:$E$52,MATCH(Tabla_Registro_Tareas1[[#This Row],[Actividad]],plan!$C$4:$C$52,0)),"")</f>
        <v/>
      </c>
      <c r="F67" s="49" t="str">
        <f>IF(Tabla_Registro_Tareas1[[#This Row],[Actividad]]=Indice_Aux_Vacio,"",Indice_PROBLAM_Estudiante1)</f>
        <v/>
      </c>
      <c r="G67" s="7"/>
      <c r="H67" s="8"/>
      <c r="I67" s="9"/>
      <c r="K67" s="12" t="str" cm="1">
        <f t="array" ref="K67">IF($B67&lt;&gt;"",TRANSPOSE(_xlfn._xlws.FILTER(plan!$C$4:$C$52, ($B67 &gt;= (plan!$J$4:$J$52-Indice_Plan_ExtensionPlazo))*($B67 &lt;= (plan!$K$4:$K$52+Indice_Plan_ExtensionPlazo)), "")), "")</f>
        <v/>
      </c>
      <c r="BH67" s="4"/>
    </row>
    <row r="68" spans="2:60" x14ac:dyDescent="0.3">
      <c r="B68" s="6"/>
      <c r="C68" s="10"/>
      <c r="D68" s="48" t="str">
        <f>IF(Tabla_Registro_Tareas1[[#This Row],[Actividad]]=Indice_Aux_Vacio,"",IFERROR(INDEX(plan!$D$4:$D$52,MATCH(Tabla_Registro_Tareas1[[#This Row],[Actividad]],plan!$C$4:$C$52,0)),""))</f>
        <v/>
      </c>
      <c r="E68" s="48" t="str">
        <f>IFERROR(INDEX(plan!$E$4:$E$52,MATCH(Tabla_Registro_Tareas1[[#This Row],[Actividad]],plan!$C$4:$C$52,0)),"")</f>
        <v/>
      </c>
      <c r="F68" s="49" t="str">
        <f>IF(Tabla_Registro_Tareas1[[#This Row],[Actividad]]=Indice_Aux_Vacio,"",Indice_PROBLAM_Estudiante1)</f>
        <v/>
      </c>
      <c r="G68" s="7"/>
      <c r="H68" s="8"/>
      <c r="I68" s="9"/>
      <c r="K68" s="12" t="str" cm="1">
        <f t="array" ref="K68">IF($B68&lt;&gt;"",TRANSPOSE(_xlfn._xlws.FILTER(plan!$C$4:$C$52, ($B68 &gt;= (plan!$J$4:$J$52-Indice_Plan_ExtensionPlazo))*($B68 &lt;= (plan!$K$4:$K$52+Indice_Plan_ExtensionPlazo)), "")), "")</f>
        <v/>
      </c>
      <c r="BH68" s="4"/>
    </row>
    <row r="69" spans="2:60" x14ac:dyDescent="0.3">
      <c r="B69" s="6"/>
      <c r="C69" s="10"/>
      <c r="D69" s="48" t="str">
        <f>IF(Tabla_Registro_Tareas1[[#This Row],[Actividad]]=Indice_Aux_Vacio,"",IFERROR(INDEX(plan!$D$4:$D$52,MATCH(Tabla_Registro_Tareas1[[#This Row],[Actividad]],plan!$C$4:$C$52,0)),""))</f>
        <v/>
      </c>
      <c r="E69" s="48" t="str">
        <f>IFERROR(INDEX(plan!$E$4:$E$52,MATCH(Tabla_Registro_Tareas1[[#This Row],[Actividad]],plan!$C$4:$C$52,0)),"")</f>
        <v/>
      </c>
      <c r="F69" s="49" t="str">
        <f>IF(Tabla_Registro_Tareas1[[#This Row],[Actividad]]=Indice_Aux_Vacio,"",Indice_PROBLAM_Estudiante1)</f>
        <v/>
      </c>
      <c r="G69" s="7"/>
      <c r="H69" s="8"/>
      <c r="I69" s="9"/>
      <c r="K69" s="12" t="str" cm="1">
        <f t="array" ref="K69">IF($B69&lt;&gt;"",TRANSPOSE(_xlfn._xlws.FILTER(plan!$C$4:$C$52, ($B69 &gt;= (plan!$J$4:$J$52-Indice_Plan_ExtensionPlazo))*($B69 &lt;= (plan!$K$4:$K$52+Indice_Plan_ExtensionPlazo)), "")), "")</f>
        <v/>
      </c>
      <c r="BH69" s="4"/>
    </row>
    <row r="70" spans="2:60" x14ac:dyDescent="0.3">
      <c r="B70" s="6"/>
      <c r="C70" s="10"/>
      <c r="D70" s="48" t="str">
        <f>IF(Tabla_Registro_Tareas1[[#This Row],[Actividad]]=Indice_Aux_Vacio,"",IFERROR(INDEX(plan!$D$4:$D$52,MATCH(Tabla_Registro_Tareas1[[#This Row],[Actividad]],plan!$C$4:$C$52,0)),""))</f>
        <v/>
      </c>
      <c r="E70" s="48" t="str">
        <f>IFERROR(INDEX(plan!$E$4:$E$52,MATCH(Tabla_Registro_Tareas1[[#This Row],[Actividad]],plan!$C$4:$C$52,0)),"")</f>
        <v/>
      </c>
      <c r="F70" s="49" t="str">
        <f>IF(Tabla_Registro_Tareas1[[#This Row],[Actividad]]=Indice_Aux_Vacio,"",Indice_PROBLAM_Estudiante1)</f>
        <v/>
      </c>
      <c r="G70" s="7"/>
      <c r="H70" s="8"/>
      <c r="I70" s="9"/>
      <c r="K70" s="12" t="str" cm="1">
        <f t="array" ref="K70">IF($B70&lt;&gt;"",TRANSPOSE(_xlfn._xlws.FILTER(plan!$C$4:$C$52, ($B70 &gt;= (plan!$J$4:$J$52-Indice_Plan_ExtensionPlazo))*($B70 &lt;= (plan!$K$4:$K$52+Indice_Plan_ExtensionPlazo)), "")), "")</f>
        <v/>
      </c>
      <c r="BH70" s="4"/>
    </row>
    <row r="71" spans="2:60" x14ac:dyDescent="0.3">
      <c r="B71" s="6"/>
      <c r="C71" s="10"/>
      <c r="D71" s="48" t="str">
        <f>IF(Tabla_Registro_Tareas1[[#This Row],[Actividad]]=Indice_Aux_Vacio,"",IFERROR(INDEX(plan!$D$4:$D$52,MATCH(Tabla_Registro_Tareas1[[#This Row],[Actividad]],plan!$C$4:$C$52,0)),""))</f>
        <v/>
      </c>
      <c r="E71" s="48" t="str">
        <f>IFERROR(INDEX(plan!$E$4:$E$52,MATCH(Tabla_Registro_Tareas1[[#This Row],[Actividad]],plan!$C$4:$C$52,0)),"")</f>
        <v/>
      </c>
      <c r="F71" s="49" t="str">
        <f>IF(Tabla_Registro_Tareas1[[#This Row],[Actividad]]=Indice_Aux_Vacio,"",Indice_PROBLAM_Estudiante1)</f>
        <v/>
      </c>
      <c r="G71" s="7"/>
      <c r="H71" s="8"/>
      <c r="I71" s="9"/>
      <c r="K71" s="12" t="str" cm="1">
        <f t="array" ref="K71">IF($B71&lt;&gt;"",TRANSPOSE(_xlfn._xlws.FILTER(plan!$C$4:$C$52, ($B71 &gt;= (plan!$J$4:$J$52-Indice_Plan_ExtensionPlazo))*($B71 &lt;= (plan!$K$4:$K$52+Indice_Plan_ExtensionPlazo)), "")), "")</f>
        <v/>
      </c>
      <c r="BH71" s="4"/>
    </row>
    <row r="72" spans="2:60" x14ac:dyDescent="0.3">
      <c r="B72" s="6"/>
      <c r="C72" s="10"/>
      <c r="D72" s="48" t="str">
        <f>IF(Tabla_Registro_Tareas1[[#This Row],[Actividad]]=Indice_Aux_Vacio,"",IFERROR(INDEX(plan!$D$4:$D$52,MATCH(Tabla_Registro_Tareas1[[#This Row],[Actividad]],plan!$C$4:$C$52,0)),""))</f>
        <v/>
      </c>
      <c r="E72" s="48" t="str">
        <f>IFERROR(INDEX(plan!$E$4:$E$52,MATCH(Tabla_Registro_Tareas1[[#This Row],[Actividad]],plan!$C$4:$C$52,0)),"")</f>
        <v/>
      </c>
      <c r="F72" s="49" t="str">
        <f>IF(Tabla_Registro_Tareas1[[#This Row],[Actividad]]=Indice_Aux_Vacio,"",Indice_PROBLAM_Estudiante1)</f>
        <v/>
      </c>
      <c r="G72" s="7"/>
      <c r="H72" s="8"/>
      <c r="I72" s="9"/>
      <c r="K72" s="12" t="str" cm="1">
        <f t="array" ref="K72">IF($B72&lt;&gt;"",TRANSPOSE(_xlfn._xlws.FILTER(plan!$C$4:$C$52, ($B72 &gt;= (plan!$J$4:$J$52-Indice_Plan_ExtensionPlazo))*($B72 &lt;= (plan!$K$4:$K$52+Indice_Plan_ExtensionPlazo)), "")), "")</f>
        <v/>
      </c>
      <c r="BH72" s="4"/>
    </row>
    <row r="73" spans="2:60" x14ac:dyDescent="0.3">
      <c r="B73" s="6"/>
      <c r="C73" s="10"/>
      <c r="D73" s="48" t="str">
        <f>IF(Tabla_Registro_Tareas1[[#This Row],[Actividad]]=Indice_Aux_Vacio,"",IFERROR(INDEX(plan!$D$4:$D$52,MATCH(Tabla_Registro_Tareas1[[#This Row],[Actividad]],plan!$C$4:$C$52,0)),""))</f>
        <v/>
      </c>
      <c r="E73" s="48" t="str">
        <f>IFERROR(INDEX(plan!$E$4:$E$52,MATCH(Tabla_Registro_Tareas1[[#This Row],[Actividad]],plan!$C$4:$C$52,0)),"")</f>
        <v/>
      </c>
      <c r="F73" s="49" t="str">
        <f>IF(Tabla_Registro_Tareas1[[#This Row],[Actividad]]=Indice_Aux_Vacio,"",Indice_PROBLAM_Estudiante1)</f>
        <v/>
      </c>
      <c r="G73" s="7"/>
      <c r="H73" s="8"/>
      <c r="I73" s="9"/>
      <c r="K73" s="12" t="str" cm="1">
        <f t="array" ref="K73">IF($B73&lt;&gt;"",TRANSPOSE(_xlfn._xlws.FILTER(plan!$C$4:$C$52, ($B73 &gt;= (plan!$J$4:$J$52-Indice_Plan_ExtensionPlazo))*($B73 &lt;= (plan!$K$4:$K$52+Indice_Plan_ExtensionPlazo)), "")), "")</f>
        <v/>
      </c>
      <c r="BH73" s="4"/>
    </row>
    <row r="74" spans="2:60" x14ac:dyDescent="0.3">
      <c r="B74" s="6"/>
      <c r="C74" s="10"/>
      <c r="D74" s="48" t="str">
        <f>IF(Tabla_Registro_Tareas1[[#This Row],[Actividad]]=Indice_Aux_Vacio,"",IFERROR(INDEX(plan!$D$4:$D$52,MATCH(Tabla_Registro_Tareas1[[#This Row],[Actividad]],plan!$C$4:$C$52,0)),""))</f>
        <v/>
      </c>
      <c r="E74" s="48" t="str">
        <f>IFERROR(INDEX(plan!$E$4:$E$52,MATCH(Tabla_Registro_Tareas1[[#This Row],[Actividad]],plan!$C$4:$C$52,0)),"")</f>
        <v/>
      </c>
      <c r="F74" s="49" t="str">
        <f>IF(Tabla_Registro_Tareas1[[#This Row],[Actividad]]=Indice_Aux_Vacio,"",Indice_PROBLAM_Estudiante1)</f>
        <v/>
      </c>
      <c r="G74" s="7"/>
      <c r="H74" s="8"/>
      <c r="I74" s="9"/>
      <c r="K74" s="12" t="str" cm="1">
        <f t="array" ref="K74">IF($B74&lt;&gt;"",TRANSPOSE(_xlfn._xlws.FILTER(plan!$C$4:$C$52, ($B74 &gt;= (plan!$J$4:$J$52-Indice_Plan_ExtensionPlazo))*($B74 &lt;= (plan!$K$4:$K$52+Indice_Plan_ExtensionPlazo)), "")), "")</f>
        <v/>
      </c>
      <c r="BH74" s="4"/>
    </row>
    <row r="75" spans="2:60" x14ac:dyDescent="0.3">
      <c r="B75" s="6"/>
      <c r="C75" s="10"/>
      <c r="D75" s="48" t="str">
        <f>IF(Tabla_Registro_Tareas1[[#This Row],[Actividad]]=Indice_Aux_Vacio,"",IFERROR(INDEX(plan!$D$4:$D$52,MATCH(Tabla_Registro_Tareas1[[#This Row],[Actividad]],plan!$C$4:$C$52,0)),""))</f>
        <v/>
      </c>
      <c r="E75" s="48" t="str">
        <f>IFERROR(INDEX(plan!$E$4:$E$52,MATCH(Tabla_Registro_Tareas1[[#This Row],[Actividad]],plan!$C$4:$C$52,0)),"")</f>
        <v/>
      </c>
      <c r="F75" s="49" t="str">
        <f>IF(Tabla_Registro_Tareas1[[#This Row],[Actividad]]=Indice_Aux_Vacio,"",Indice_PROBLAM_Estudiante1)</f>
        <v/>
      </c>
      <c r="G75" s="7"/>
      <c r="H75" s="8"/>
      <c r="I75" s="9"/>
      <c r="K75" s="12" t="str" cm="1">
        <f t="array" ref="K75">IF($B75&lt;&gt;"",TRANSPOSE(_xlfn._xlws.FILTER(plan!$C$4:$C$52, ($B75 &gt;= (plan!$J$4:$J$52-Indice_Plan_ExtensionPlazo))*($B75 &lt;= (plan!$K$4:$K$52+Indice_Plan_ExtensionPlazo)), "")), "")</f>
        <v/>
      </c>
      <c r="BH75" s="4"/>
    </row>
    <row r="76" spans="2:60" x14ac:dyDescent="0.3">
      <c r="B76" s="6"/>
      <c r="C76" s="10"/>
      <c r="D76" s="48" t="str">
        <f>IF(Tabla_Registro_Tareas1[[#This Row],[Actividad]]=Indice_Aux_Vacio,"",IFERROR(INDEX(plan!$D$4:$D$52,MATCH(Tabla_Registro_Tareas1[[#This Row],[Actividad]],plan!$C$4:$C$52,0)),""))</f>
        <v/>
      </c>
      <c r="E76" s="48" t="str">
        <f>IFERROR(INDEX(plan!$E$4:$E$52,MATCH(Tabla_Registro_Tareas1[[#This Row],[Actividad]],plan!$C$4:$C$52,0)),"")</f>
        <v/>
      </c>
      <c r="F76" s="49" t="str">
        <f>IF(Tabla_Registro_Tareas1[[#This Row],[Actividad]]=Indice_Aux_Vacio,"",Indice_PROBLAM_Estudiante1)</f>
        <v/>
      </c>
      <c r="G76" s="7"/>
      <c r="H76" s="8"/>
      <c r="I76" s="9"/>
      <c r="K76" s="12" t="str" cm="1">
        <f t="array" ref="K76">IF($B76&lt;&gt;"",TRANSPOSE(_xlfn._xlws.FILTER(plan!$C$4:$C$52, ($B76 &gt;= (plan!$J$4:$J$52-Indice_Plan_ExtensionPlazo))*($B76 &lt;= (plan!$K$4:$K$52+Indice_Plan_ExtensionPlazo)), "")), "")</f>
        <v/>
      </c>
      <c r="BH76" s="4"/>
    </row>
    <row r="77" spans="2:60" x14ac:dyDescent="0.3">
      <c r="B77" s="6"/>
      <c r="C77" s="10"/>
      <c r="D77" s="48" t="str">
        <f>IF(Tabla_Registro_Tareas1[[#This Row],[Actividad]]=Indice_Aux_Vacio,"",IFERROR(INDEX(plan!$D$4:$D$52,MATCH(Tabla_Registro_Tareas1[[#This Row],[Actividad]],plan!$C$4:$C$52,0)),""))</f>
        <v/>
      </c>
      <c r="E77" s="48" t="str">
        <f>IFERROR(INDEX(plan!$E$4:$E$52,MATCH(Tabla_Registro_Tareas1[[#This Row],[Actividad]],plan!$C$4:$C$52,0)),"")</f>
        <v/>
      </c>
      <c r="F77" s="49" t="str">
        <f>IF(Tabla_Registro_Tareas1[[#This Row],[Actividad]]=Indice_Aux_Vacio,"",Indice_PROBLAM_Estudiante1)</f>
        <v/>
      </c>
      <c r="G77" s="7"/>
      <c r="H77" s="8"/>
      <c r="I77" s="9"/>
      <c r="K77" s="12" t="str" cm="1">
        <f t="array" ref="K77">IF($B77&lt;&gt;"",TRANSPOSE(_xlfn._xlws.FILTER(plan!$C$4:$C$52, ($B77 &gt;= (plan!$J$4:$J$52-Indice_Plan_ExtensionPlazo))*($B77 &lt;= (plan!$K$4:$K$52+Indice_Plan_ExtensionPlazo)), "")), "")</f>
        <v/>
      </c>
      <c r="BH77" s="4"/>
    </row>
    <row r="78" spans="2:60" x14ac:dyDescent="0.3">
      <c r="B78" s="6"/>
      <c r="C78" s="10"/>
      <c r="D78" s="48" t="str">
        <f>IF(Tabla_Registro_Tareas1[[#This Row],[Actividad]]=Indice_Aux_Vacio,"",IFERROR(INDEX(plan!$D$4:$D$52,MATCH(Tabla_Registro_Tareas1[[#This Row],[Actividad]],plan!$C$4:$C$52,0)),""))</f>
        <v/>
      </c>
      <c r="E78" s="48" t="str">
        <f>IFERROR(INDEX(plan!$E$4:$E$52,MATCH(Tabla_Registro_Tareas1[[#This Row],[Actividad]],plan!$C$4:$C$52,0)),"")</f>
        <v/>
      </c>
      <c r="F78" s="49" t="str">
        <f>IF(Tabla_Registro_Tareas1[[#This Row],[Actividad]]=Indice_Aux_Vacio,"",Indice_PROBLAM_Estudiante1)</f>
        <v/>
      </c>
      <c r="G78" s="7"/>
      <c r="H78" s="8"/>
      <c r="I78" s="9"/>
      <c r="K78" s="12" t="str" cm="1">
        <f t="array" ref="K78">IF($B78&lt;&gt;"",TRANSPOSE(_xlfn._xlws.FILTER(plan!$C$4:$C$52, ($B78 &gt;= (plan!$J$4:$J$52-Indice_Plan_ExtensionPlazo))*($B78 &lt;= (plan!$K$4:$K$52+Indice_Plan_ExtensionPlazo)), "")), "")</f>
        <v/>
      </c>
      <c r="BH78" s="4"/>
    </row>
    <row r="79" spans="2:60" x14ac:dyDescent="0.3">
      <c r="B79" s="6"/>
      <c r="C79" s="10"/>
      <c r="D79" s="48" t="str">
        <f>IF(Tabla_Registro_Tareas1[[#This Row],[Actividad]]=Indice_Aux_Vacio,"",IFERROR(INDEX(plan!$D$4:$D$52,MATCH(Tabla_Registro_Tareas1[[#This Row],[Actividad]],plan!$C$4:$C$52,0)),""))</f>
        <v/>
      </c>
      <c r="E79" s="48" t="str">
        <f>IFERROR(INDEX(plan!$E$4:$E$52,MATCH(Tabla_Registro_Tareas1[[#This Row],[Actividad]],plan!$C$4:$C$52,0)),"")</f>
        <v/>
      </c>
      <c r="F79" s="49" t="str">
        <f>IF(Tabla_Registro_Tareas1[[#This Row],[Actividad]]=Indice_Aux_Vacio,"",Indice_PROBLAM_Estudiante1)</f>
        <v/>
      </c>
      <c r="G79" s="7"/>
      <c r="H79" s="8"/>
      <c r="I79" s="9"/>
      <c r="K79" s="12" t="str" cm="1">
        <f t="array" ref="K79">IF($B79&lt;&gt;"",TRANSPOSE(_xlfn._xlws.FILTER(plan!$C$4:$C$52, ($B79 &gt;= (plan!$J$4:$J$52-Indice_Plan_ExtensionPlazo))*($B79 &lt;= (plan!$K$4:$K$52+Indice_Plan_ExtensionPlazo)), "")), "")</f>
        <v/>
      </c>
      <c r="BH79" s="4"/>
    </row>
    <row r="80" spans="2:60" x14ac:dyDescent="0.3">
      <c r="B80" s="6"/>
      <c r="C80" s="10"/>
      <c r="D80" s="48" t="str">
        <f>IF(Tabla_Registro_Tareas1[[#This Row],[Actividad]]=Indice_Aux_Vacio,"",IFERROR(INDEX(plan!$D$4:$D$52,MATCH(Tabla_Registro_Tareas1[[#This Row],[Actividad]],plan!$C$4:$C$52,0)),""))</f>
        <v/>
      </c>
      <c r="E80" s="48" t="str">
        <f>IFERROR(INDEX(plan!$E$4:$E$52,MATCH(Tabla_Registro_Tareas1[[#This Row],[Actividad]],plan!$C$4:$C$52,0)),"")</f>
        <v/>
      </c>
      <c r="F80" s="49" t="str">
        <f>IF(Tabla_Registro_Tareas1[[#This Row],[Actividad]]=Indice_Aux_Vacio,"",Indice_PROBLAM_Estudiante1)</f>
        <v/>
      </c>
      <c r="G80" s="7"/>
      <c r="H80" s="8"/>
      <c r="I80" s="9"/>
      <c r="K80" s="12" t="str" cm="1">
        <f t="array" ref="K80">IF($B80&lt;&gt;"",TRANSPOSE(_xlfn._xlws.FILTER(plan!$C$4:$C$52, ($B80 &gt;= (plan!$J$4:$J$52-Indice_Plan_ExtensionPlazo))*($B80 &lt;= (plan!$K$4:$K$52+Indice_Plan_ExtensionPlazo)), "")), "")</f>
        <v/>
      </c>
      <c r="BH80" s="4"/>
    </row>
    <row r="81" spans="2:60" x14ac:dyDescent="0.3">
      <c r="B81" s="6"/>
      <c r="C81" s="10"/>
      <c r="D81" s="48" t="str">
        <f>IF(Tabla_Registro_Tareas1[[#This Row],[Actividad]]=Indice_Aux_Vacio,"",IFERROR(INDEX(plan!$D$4:$D$52,MATCH(Tabla_Registro_Tareas1[[#This Row],[Actividad]],plan!$C$4:$C$52,0)),""))</f>
        <v/>
      </c>
      <c r="E81" s="48" t="str">
        <f>IFERROR(INDEX(plan!$E$4:$E$52,MATCH(Tabla_Registro_Tareas1[[#This Row],[Actividad]],plan!$C$4:$C$52,0)),"")</f>
        <v/>
      </c>
      <c r="F81" s="49" t="str">
        <f>IF(Tabla_Registro_Tareas1[[#This Row],[Actividad]]=Indice_Aux_Vacio,"",Indice_PROBLAM_Estudiante1)</f>
        <v/>
      </c>
      <c r="G81" s="7"/>
      <c r="H81" s="8"/>
      <c r="I81" s="9"/>
      <c r="K81" s="12" t="str" cm="1">
        <f t="array" ref="K81">IF($B81&lt;&gt;"",TRANSPOSE(_xlfn._xlws.FILTER(plan!$C$4:$C$52, ($B81 &gt;= (plan!$J$4:$J$52-Indice_Plan_ExtensionPlazo))*($B81 &lt;= (plan!$K$4:$K$52+Indice_Plan_ExtensionPlazo)), "")), "")</f>
        <v/>
      </c>
      <c r="BH81" s="4"/>
    </row>
    <row r="82" spans="2:60" x14ac:dyDescent="0.3">
      <c r="B82" s="6"/>
      <c r="C82" s="10"/>
      <c r="D82" s="48" t="str">
        <f>IF(Tabla_Registro_Tareas1[[#This Row],[Actividad]]=Indice_Aux_Vacio,"",IFERROR(INDEX(plan!$D$4:$D$52,MATCH(Tabla_Registro_Tareas1[[#This Row],[Actividad]],plan!$C$4:$C$52,0)),""))</f>
        <v/>
      </c>
      <c r="E82" s="48" t="str">
        <f>IFERROR(INDEX(plan!$E$4:$E$52,MATCH(Tabla_Registro_Tareas1[[#This Row],[Actividad]],plan!$C$4:$C$52,0)),"")</f>
        <v/>
      </c>
      <c r="F82" s="49" t="str">
        <f>IF(Tabla_Registro_Tareas1[[#This Row],[Actividad]]=Indice_Aux_Vacio,"",Indice_PROBLAM_Estudiante1)</f>
        <v/>
      </c>
      <c r="G82" s="7"/>
      <c r="H82" s="8"/>
      <c r="I82" s="9"/>
      <c r="K82" s="12" t="str" cm="1">
        <f t="array" ref="K82">IF($B82&lt;&gt;"",TRANSPOSE(_xlfn._xlws.FILTER(plan!$C$4:$C$52, ($B82 &gt;= (plan!$J$4:$J$52-Indice_Plan_ExtensionPlazo))*($B82 &lt;= (plan!$K$4:$K$52+Indice_Plan_ExtensionPlazo)), "")), "")</f>
        <v/>
      </c>
      <c r="BH82" s="4"/>
    </row>
    <row r="83" spans="2:60" x14ac:dyDescent="0.3">
      <c r="B83" s="6"/>
      <c r="C83" s="10"/>
      <c r="D83" s="48" t="str">
        <f>IF(Tabla_Registro_Tareas1[[#This Row],[Actividad]]=Indice_Aux_Vacio,"",IFERROR(INDEX(plan!$D$4:$D$52,MATCH(Tabla_Registro_Tareas1[[#This Row],[Actividad]],plan!$C$4:$C$52,0)),""))</f>
        <v/>
      </c>
      <c r="E83" s="48" t="str">
        <f>IFERROR(INDEX(plan!$E$4:$E$52,MATCH(Tabla_Registro_Tareas1[[#This Row],[Actividad]],plan!$C$4:$C$52,0)),"")</f>
        <v/>
      </c>
      <c r="F83" s="49" t="str">
        <f>IF(Tabla_Registro_Tareas1[[#This Row],[Actividad]]=Indice_Aux_Vacio,"",Indice_PROBLAM_Estudiante1)</f>
        <v/>
      </c>
      <c r="G83" s="7"/>
      <c r="H83" s="8"/>
      <c r="I83" s="9"/>
      <c r="K83" s="12" t="str" cm="1">
        <f t="array" ref="K83">IF($B83&lt;&gt;"",TRANSPOSE(_xlfn._xlws.FILTER(plan!$C$4:$C$52, ($B83 &gt;= (plan!$J$4:$J$52-Indice_Plan_ExtensionPlazo))*($B83 &lt;= (plan!$K$4:$K$52+Indice_Plan_ExtensionPlazo)), "")), "")</f>
        <v/>
      </c>
      <c r="BH83" s="4"/>
    </row>
    <row r="84" spans="2:60" x14ac:dyDescent="0.3">
      <c r="B84" s="6"/>
      <c r="C84" s="10"/>
      <c r="D84" s="48" t="str">
        <f>IF(Tabla_Registro_Tareas1[[#This Row],[Actividad]]=Indice_Aux_Vacio,"",IFERROR(INDEX(plan!$D$4:$D$52,MATCH(Tabla_Registro_Tareas1[[#This Row],[Actividad]],plan!$C$4:$C$52,0)),""))</f>
        <v/>
      </c>
      <c r="E84" s="48" t="str">
        <f>IFERROR(INDEX(plan!$E$4:$E$52,MATCH(Tabla_Registro_Tareas1[[#This Row],[Actividad]],plan!$C$4:$C$52,0)),"")</f>
        <v/>
      </c>
      <c r="F84" s="49" t="str">
        <f>IF(Tabla_Registro_Tareas1[[#This Row],[Actividad]]=Indice_Aux_Vacio,"",Indice_PROBLAM_Estudiante1)</f>
        <v/>
      </c>
      <c r="G84" s="7"/>
      <c r="H84" s="8"/>
      <c r="I84" s="9"/>
      <c r="K84" s="12" t="str" cm="1">
        <f t="array" ref="K84">IF($B84&lt;&gt;"",TRANSPOSE(_xlfn._xlws.FILTER(plan!$C$4:$C$52, ($B84 &gt;= (plan!$J$4:$J$52-Indice_Plan_ExtensionPlazo))*($B84 &lt;= (plan!$K$4:$K$52+Indice_Plan_ExtensionPlazo)), "")), "")</f>
        <v/>
      </c>
      <c r="BH84" s="4"/>
    </row>
    <row r="85" spans="2:60" x14ac:dyDescent="0.3">
      <c r="B85" s="6"/>
      <c r="C85" s="10"/>
      <c r="D85" s="48" t="str">
        <f>IF(Tabla_Registro_Tareas1[[#This Row],[Actividad]]=Indice_Aux_Vacio,"",IFERROR(INDEX(plan!$D$4:$D$52,MATCH(Tabla_Registro_Tareas1[[#This Row],[Actividad]],plan!$C$4:$C$52,0)),""))</f>
        <v/>
      </c>
      <c r="E85" s="48" t="str">
        <f>IFERROR(INDEX(plan!$E$4:$E$52,MATCH(Tabla_Registro_Tareas1[[#This Row],[Actividad]],plan!$C$4:$C$52,0)),"")</f>
        <v/>
      </c>
      <c r="F85" s="49" t="str">
        <f>IF(Tabla_Registro_Tareas1[[#This Row],[Actividad]]=Indice_Aux_Vacio,"",Indice_PROBLAM_Estudiante1)</f>
        <v/>
      </c>
      <c r="G85" s="7"/>
      <c r="H85" s="8"/>
      <c r="I85" s="9"/>
      <c r="K85" s="12" t="str" cm="1">
        <f t="array" ref="K85">IF($B85&lt;&gt;"",TRANSPOSE(_xlfn._xlws.FILTER(plan!$C$4:$C$52, ($B85 &gt;= (plan!$J$4:$J$52-Indice_Plan_ExtensionPlazo))*($B85 &lt;= (plan!$K$4:$K$52+Indice_Plan_ExtensionPlazo)), "")), "")</f>
        <v/>
      </c>
      <c r="BH85" s="4"/>
    </row>
    <row r="86" spans="2:60" x14ac:dyDescent="0.3">
      <c r="B86" s="6"/>
      <c r="C86" s="10"/>
      <c r="D86" s="48" t="str">
        <f>IF(Tabla_Registro_Tareas1[[#This Row],[Actividad]]=Indice_Aux_Vacio,"",IFERROR(INDEX(plan!$D$4:$D$52,MATCH(Tabla_Registro_Tareas1[[#This Row],[Actividad]],plan!$C$4:$C$52,0)),""))</f>
        <v/>
      </c>
      <c r="E86" s="48" t="str">
        <f>IFERROR(INDEX(plan!$E$4:$E$52,MATCH(Tabla_Registro_Tareas1[[#This Row],[Actividad]],plan!$C$4:$C$52,0)),"")</f>
        <v/>
      </c>
      <c r="F86" s="49" t="str">
        <f>IF(Tabla_Registro_Tareas1[[#This Row],[Actividad]]=Indice_Aux_Vacio,"",Indice_PROBLAM_Estudiante1)</f>
        <v/>
      </c>
      <c r="G86" s="7"/>
      <c r="H86" s="8"/>
      <c r="I86" s="9"/>
      <c r="K86" s="12" t="str" cm="1">
        <f t="array" ref="K86">IF($B86&lt;&gt;"",TRANSPOSE(_xlfn._xlws.FILTER(plan!$C$4:$C$52, ($B86 &gt;= (plan!$J$4:$J$52-Indice_Plan_ExtensionPlazo))*($B86 &lt;= (plan!$K$4:$K$52+Indice_Plan_ExtensionPlazo)), "")), "")</f>
        <v/>
      </c>
      <c r="BH86" s="4"/>
    </row>
    <row r="87" spans="2:60" x14ac:dyDescent="0.3">
      <c r="B87" s="6"/>
      <c r="C87" s="10"/>
      <c r="D87" s="48" t="str">
        <f>IF(Tabla_Registro_Tareas1[[#This Row],[Actividad]]=Indice_Aux_Vacio,"",IFERROR(INDEX(plan!$D$4:$D$52,MATCH(Tabla_Registro_Tareas1[[#This Row],[Actividad]],plan!$C$4:$C$52,0)),""))</f>
        <v/>
      </c>
      <c r="E87" s="48" t="str">
        <f>IFERROR(INDEX(plan!$E$4:$E$52,MATCH(Tabla_Registro_Tareas1[[#This Row],[Actividad]],plan!$C$4:$C$52,0)),"")</f>
        <v/>
      </c>
      <c r="F87" s="49" t="str">
        <f>IF(Tabla_Registro_Tareas1[[#This Row],[Actividad]]=Indice_Aux_Vacio,"",Indice_PROBLAM_Estudiante1)</f>
        <v/>
      </c>
      <c r="G87" s="7"/>
      <c r="H87" s="8"/>
      <c r="I87" s="9"/>
      <c r="K87" s="12" t="str" cm="1">
        <f t="array" ref="K87">IF($B87&lt;&gt;"",TRANSPOSE(_xlfn._xlws.FILTER(plan!$C$4:$C$52, ($B87 &gt;= (plan!$J$4:$J$52-Indice_Plan_ExtensionPlazo))*($B87 &lt;= (plan!$K$4:$K$52+Indice_Plan_ExtensionPlazo)), "")), "")</f>
        <v/>
      </c>
      <c r="BH87" s="4"/>
    </row>
    <row r="88" spans="2:60" x14ac:dyDescent="0.3">
      <c r="B88" s="6"/>
      <c r="C88" s="10"/>
      <c r="D88" s="48" t="str">
        <f>IF(Tabla_Registro_Tareas1[[#This Row],[Actividad]]=Indice_Aux_Vacio,"",IFERROR(INDEX(plan!$D$4:$D$52,MATCH(Tabla_Registro_Tareas1[[#This Row],[Actividad]],plan!$C$4:$C$52,0)),""))</f>
        <v/>
      </c>
      <c r="E88" s="48" t="str">
        <f>IFERROR(INDEX(plan!$E$4:$E$52,MATCH(Tabla_Registro_Tareas1[[#This Row],[Actividad]],plan!$C$4:$C$52,0)),"")</f>
        <v/>
      </c>
      <c r="F88" s="49" t="str">
        <f>IF(Tabla_Registro_Tareas1[[#This Row],[Actividad]]=Indice_Aux_Vacio,"",Indice_PROBLAM_Estudiante1)</f>
        <v/>
      </c>
      <c r="G88" s="7"/>
      <c r="H88" s="8"/>
      <c r="I88" s="9"/>
      <c r="K88" s="12" t="str" cm="1">
        <f t="array" ref="K88">IF($B88&lt;&gt;"",TRANSPOSE(_xlfn._xlws.FILTER(plan!$C$4:$C$52, ($B88 &gt;= (plan!$J$4:$J$52-Indice_Plan_ExtensionPlazo))*($B88 &lt;= (plan!$K$4:$K$52+Indice_Plan_ExtensionPlazo)), "")), "")</f>
        <v/>
      </c>
      <c r="BH88" s="4"/>
    </row>
    <row r="89" spans="2:60" x14ac:dyDescent="0.3">
      <c r="B89" s="6"/>
      <c r="C89" s="10"/>
      <c r="D89" s="48" t="str">
        <f>IF(Tabla_Registro_Tareas1[[#This Row],[Actividad]]=Indice_Aux_Vacio,"",IFERROR(INDEX(plan!$D$4:$D$52,MATCH(Tabla_Registro_Tareas1[[#This Row],[Actividad]],plan!$C$4:$C$52,0)),""))</f>
        <v/>
      </c>
      <c r="E89" s="48" t="str">
        <f>IFERROR(INDEX(plan!$E$4:$E$52,MATCH(Tabla_Registro_Tareas1[[#This Row],[Actividad]],plan!$C$4:$C$52,0)),"")</f>
        <v/>
      </c>
      <c r="F89" s="49" t="str">
        <f>IF(Tabla_Registro_Tareas1[[#This Row],[Actividad]]=Indice_Aux_Vacio,"",Indice_PROBLAM_Estudiante1)</f>
        <v/>
      </c>
      <c r="G89" s="7"/>
      <c r="H89" s="8"/>
      <c r="I89" s="9"/>
      <c r="K89" s="12" t="str" cm="1">
        <f t="array" ref="K89">IF($B89&lt;&gt;"",TRANSPOSE(_xlfn._xlws.FILTER(plan!$C$4:$C$52, ($B89 &gt;= (plan!$J$4:$J$52-Indice_Plan_ExtensionPlazo))*($B89 &lt;= (plan!$K$4:$K$52+Indice_Plan_ExtensionPlazo)), "")), "")</f>
        <v/>
      </c>
      <c r="BH89" s="4"/>
    </row>
    <row r="90" spans="2:60" x14ac:dyDescent="0.3">
      <c r="B90" s="6"/>
      <c r="C90" s="10"/>
      <c r="D90" s="48" t="str">
        <f>IF(Tabla_Registro_Tareas1[[#This Row],[Actividad]]=Indice_Aux_Vacio,"",IFERROR(INDEX(plan!$D$4:$D$52,MATCH(Tabla_Registro_Tareas1[[#This Row],[Actividad]],plan!$C$4:$C$52,0)),""))</f>
        <v/>
      </c>
      <c r="E90" s="48" t="str">
        <f>IFERROR(INDEX(plan!$E$4:$E$52,MATCH(Tabla_Registro_Tareas1[[#This Row],[Actividad]],plan!$C$4:$C$52,0)),"")</f>
        <v/>
      </c>
      <c r="F90" s="49" t="str">
        <f>IF(Tabla_Registro_Tareas1[[#This Row],[Actividad]]=Indice_Aux_Vacio,"",Indice_PROBLAM_Estudiante1)</f>
        <v/>
      </c>
      <c r="G90" s="7"/>
      <c r="H90" s="8"/>
      <c r="I90" s="9"/>
      <c r="K90" s="12" t="str" cm="1">
        <f t="array" ref="K90">IF($B90&lt;&gt;"",TRANSPOSE(_xlfn._xlws.FILTER(plan!$C$4:$C$52, ($B90 &gt;= (plan!$J$4:$J$52-Indice_Plan_ExtensionPlazo))*($B90 &lt;= (plan!$K$4:$K$52+Indice_Plan_ExtensionPlazo)), "")), "")</f>
        <v/>
      </c>
      <c r="BH90" s="4"/>
    </row>
    <row r="91" spans="2:60" x14ac:dyDescent="0.3">
      <c r="B91" s="6"/>
      <c r="C91" s="10"/>
      <c r="D91" s="48" t="str">
        <f>IF(Tabla_Registro_Tareas1[[#This Row],[Actividad]]=Indice_Aux_Vacio,"",IFERROR(INDEX(plan!$D$4:$D$52,MATCH(Tabla_Registro_Tareas1[[#This Row],[Actividad]],plan!$C$4:$C$52,0)),""))</f>
        <v/>
      </c>
      <c r="E91" s="48" t="str">
        <f>IFERROR(INDEX(plan!$E$4:$E$52,MATCH(Tabla_Registro_Tareas1[[#This Row],[Actividad]],plan!$C$4:$C$52,0)),"")</f>
        <v/>
      </c>
      <c r="F91" s="49" t="str">
        <f>IF(Tabla_Registro_Tareas1[[#This Row],[Actividad]]=Indice_Aux_Vacio,"",Indice_PROBLAM_Estudiante1)</f>
        <v/>
      </c>
      <c r="G91" s="7"/>
      <c r="H91" s="8"/>
      <c r="I91" s="9"/>
      <c r="K91" s="12" t="str" cm="1">
        <f t="array" ref="K91">IF($B91&lt;&gt;"",TRANSPOSE(_xlfn._xlws.FILTER(plan!$C$4:$C$52, ($B91 &gt;= (plan!$J$4:$J$52-Indice_Plan_ExtensionPlazo))*($B91 &lt;= (plan!$K$4:$K$52+Indice_Plan_ExtensionPlazo)), "")), "")</f>
        <v/>
      </c>
      <c r="BH91" s="4"/>
    </row>
    <row r="92" spans="2:60" x14ac:dyDescent="0.3">
      <c r="B92" s="6"/>
      <c r="C92" s="10"/>
      <c r="D92" s="48" t="str">
        <f>IF(Tabla_Registro_Tareas1[[#This Row],[Actividad]]=Indice_Aux_Vacio,"",IFERROR(INDEX(plan!$D$4:$D$52,MATCH(Tabla_Registro_Tareas1[[#This Row],[Actividad]],plan!$C$4:$C$52,0)),""))</f>
        <v/>
      </c>
      <c r="E92" s="48" t="str">
        <f>IFERROR(INDEX(plan!$E$4:$E$52,MATCH(Tabla_Registro_Tareas1[[#This Row],[Actividad]],plan!$C$4:$C$52,0)),"")</f>
        <v/>
      </c>
      <c r="F92" s="49" t="str">
        <f>IF(Tabla_Registro_Tareas1[[#This Row],[Actividad]]=Indice_Aux_Vacio,"",Indice_PROBLAM_Estudiante1)</f>
        <v/>
      </c>
      <c r="G92" s="7"/>
      <c r="H92" s="8"/>
      <c r="I92" s="9"/>
      <c r="K92" s="12" t="str" cm="1">
        <f t="array" ref="K92">IF($B92&lt;&gt;"",TRANSPOSE(_xlfn._xlws.FILTER(plan!$C$4:$C$52, ($B92 &gt;= (plan!$J$4:$J$52-Indice_Plan_ExtensionPlazo))*($B92 &lt;= (plan!$K$4:$K$52+Indice_Plan_ExtensionPlazo)), "")), "")</f>
        <v/>
      </c>
      <c r="BH92" s="4"/>
    </row>
    <row r="93" spans="2:60" x14ac:dyDescent="0.3">
      <c r="B93" s="6"/>
      <c r="C93" s="10"/>
      <c r="D93" s="48" t="str">
        <f>IF(Tabla_Registro_Tareas1[[#This Row],[Actividad]]=Indice_Aux_Vacio,"",IFERROR(INDEX(plan!$D$4:$D$52,MATCH(Tabla_Registro_Tareas1[[#This Row],[Actividad]],plan!$C$4:$C$52,0)),""))</f>
        <v/>
      </c>
      <c r="E93" s="48" t="str">
        <f>IFERROR(INDEX(plan!$E$4:$E$52,MATCH(Tabla_Registro_Tareas1[[#This Row],[Actividad]],plan!$C$4:$C$52,0)),"")</f>
        <v/>
      </c>
      <c r="F93" s="49" t="str">
        <f>IF(Tabla_Registro_Tareas1[[#This Row],[Actividad]]=Indice_Aux_Vacio,"",Indice_PROBLAM_Estudiante1)</f>
        <v/>
      </c>
      <c r="G93" s="7"/>
      <c r="H93" s="8"/>
      <c r="I93" s="9"/>
      <c r="K93" s="12" t="str" cm="1">
        <f t="array" ref="K93">IF($B93&lt;&gt;"",TRANSPOSE(_xlfn._xlws.FILTER(plan!$C$4:$C$52, ($B93 &gt;= (plan!$J$4:$J$52-Indice_Plan_ExtensionPlazo))*($B93 &lt;= (plan!$K$4:$K$52+Indice_Plan_ExtensionPlazo)), "")), "")</f>
        <v/>
      </c>
      <c r="BH93" s="4"/>
    </row>
    <row r="94" spans="2:60" x14ac:dyDescent="0.3">
      <c r="B94" s="6"/>
      <c r="C94" s="10"/>
      <c r="D94" s="48" t="str">
        <f>IF(Tabla_Registro_Tareas1[[#This Row],[Actividad]]=Indice_Aux_Vacio,"",IFERROR(INDEX(plan!$D$4:$D$52,MATCH(Tabla_Registro_Tareas1[[#This Row],[Actividad]],plan!$C$4:$C$52,0)),""))</f>
        <v/>
      </c>
      <c r="E94" s="48" t="str">
        <f>IFERROR(INDEX(plan!$E$4:$E$52,MATCH(Tabla_Registro_Tareas1[[#This Row],[Actividad]],plan!$C$4:$C$52,0)),"")</f>
        <v/>
      </c>
      <c r="F94" s="49" t="str">
        <f>IF(Tabla_Registro_Tareas1[[#This Row],[Actividad]]=Indice_Aux_Vacio,"",Indice_PROBLAM_Estudiante1)</f>
        <v/>
      </c>
      <c r="G94" s="7"/>
      <c r="H94" s="8"/>
      <c r="I94" s="9"/>
      <c r="K94" s="12" t="str" cm="1">
        <f t="array" ref="K94">IF($B94&lt;&gt;"",TRANSPOSE(_xlfn._xlws.FILTER(plan!$C$4:$C$52, ($B94 &gt;= (plan!$J$4:$J$52-Indice_Plan_ExtensionPlazo))*($B94 &lt;= (plan!$K$4:$K$52+Indice_Plan_ExtensionPlazo)), "")), "")</f>
        <v/>
      </c>
      <c r="BH94" s="4"/>
    </row>
    <row r="95" spans="2:60" x14ac:dyDescent="0.3">
      <c r="B95" s="6"/>
      <c r="C95" s="10"/>
      <c r="D95" s="48" t="str">
        <f>IF(Tabla_Registro_Tareas1[[#This Row],[Actividad]]=Indice_Aux_Vacio,"",IFERROR(INDEX(plan!$D$4:$D$52,MATCH(Tabla_Registro_Tareas1[[#This Row],[Actividad]],plan!$C$4:$C$52,0)),""))</f>
        <v/>
      </c>
      <c r="E95" s="48" t="str">
        <f>IFERROR(INDEX(plan!$E$4:$E$52,MATCH(Tabla_Registro_Tareas1[[#This Row],[Actividad]],plan!$C$4:$C$52,0)),"")</f>
        <v/>
      </c>
      <c r="F95" s="49" t="str">
        <f>IF(Tabla_Registro_Tareas1[[#This Row],[Actividad]]=Indice_Aux_Vacio,"",Indice_PROBLAM_Estudiante1)</f>
        <v/>
      </c>
      <c r="G95" s="7"/>
      <c r="H95" s="8"/>
      <c r="I95" s="9"/>
      <c r="K95" s="12" t="str" cm="1">
        <f t="array" ref="K95">IF($B95&lt;&gt;"",TRANSPOSE(_xlfn._xlws.FILTER(plan!$C$4:$C$52, ($B95 &gt;= (plan!$J$4:$J$52-Indice_Plan_ExtensionPlazo))*($B95 &lt;= (plan!$K$4:$K$52+Indice_Plan_ExtensionPlazo)), "")), "")</f>
        <v/>
      </c>
      <c r="BH95" s="4"/>
    </row>
    <row r="96" spans="2:60" x14ac:dyDescent="0.3">
      <c r="B96" s="6"/>
      <c r="C96" s="10"/>
      <c r="D96" s="48" t="str">
        <f>IF(Tabla_Registro_Tareas1[[#This Row],[Actividad]]=Indice_Aux_Vacio,"",IFERROR(INDEX(plan!$D$4:$D$52,MATCH(Tabla_Registro_Tareas1[[#This Row],[Actividad]],plan!$C$4:$C$52,0)),""))</f>
        <v/>
      </c>
      <c r="E96" s="48" t="str">
        <f>IFERROR(INDEX(plan!$E$4:$E$52,MATCH(Tabla_Registro_Tareas1[[#This Row],[Actividad]],plan!$C$4:$C$52,0)),"")</f>
        <v/>
      </c>
      <c r="F96" s="49" t="str">
        <f>IF(Tabla_Registro_Tareas1[[#This Row],[Actividad]]=Indice_Aux_Vacio,"",Indice_PROBLAM_Estudiante1)</f>
        <v/>
      </c>
      <c r="G96" s="7"/>
      <c r="H96" s="8"/>
      <c r="I96" s="9"/>
      <c r="K96" s="12" t="str" cm="1">
        <f t="array" ref="K96">IF($B96&lt;&gt;"",TRANSPOSE(_xlfn._xlws.FILTER(plan!$C$4:$C$52, ($B96 &gt;= (plan!$J$4:$J$52-Indice_Plan_ExtensionPlazo))*($B96 &lt;= (plan!$K$4:$K$52+Indice_Plan_ExtensionPlazo)), "")), "")</f>
        <v/>
      </c>
      <c r="BH96" s="4"/>
    </row>
    <row r="97" spans="2:60" x14ac:dyDescent="0.3">
      <c r="B97" s="6"/>
      <c r="C97" s="10"/>
      <c r="D97" s="48" t="str">
        <f>IF(Tabla_Registro_Tareas1[[#This Row],[Actividad]]=Indice_Aux_Vacio,"",IFERROR(INDEX(plan!$D$4:$D$52,MATCH(Tabla_Registro_Tareas1[[#This Row],[Actividad]],plan!$C$4:$C$52,0)),""))</f>
        <v/>
      </c>
      <c r="E97" s="48" t="str">
        <f>IFERROR(INDEX(plan!$E$4:$E$52,MATCH(Tabla_Registro_Tareas1[[#This Row],[Actividad]],plan!$C$4:$C$52,0)),"")</f>
        <v/>
      </c>
      <c r="F97" s="49" t="str">
        <f>IF(Tabla_Registro_Tareas1[[#This Row],[Actividad]]=Indice_Aux_Vacio,"",Indice_PROBLAM_Estudiante1)</f>
        <v/>
      </c>
      <c r="G97" s="7"/>
      <c r="H97" s="8"/>
      <c r="I97" s="9"/>
      <c r="K97" s="12" t="str" cm="1">
        <f t="array" ref="K97">IF($B97&lt;&gt;"",TRANSPOSE(_xlfn._xlws.FILTER(plan!$C$4:$C$52, ($B97 &gt;= (plan!$J$4:$J$52-Indice_Plan_ExtensionPlazo))*($B97 &lt;= (plan!$K$4:$K$52+Indice_Plan_ExtensionPlazo)), "")), "")</f>
        <v/>
      </c>
      <c r="BH97" s="4"/>
    </row>
    <row r="98" spans="2:60" x14ac:dyDescent="0.3">
      <c r="B98" s="6"/>
      <c r="C98" s="10"/>
      <c r="D98" s="48" t="str">
        <f>IF(Tabla_Registro_Tareas1[[#This Row],[Actividad]]=Indice_Aux_Vacio,"",IFERROR(INDEX(plan!$D$4:$D$52,MATCH(Tabla_Registro_Tareas1[[#This Row],[Actividad]],plan!$C$4:$C$52,0)),""))</f>
        <v/>
      </c>
      <c r="E98" s="48" t="str">
        <f>IFERROR(INDEX(plan!$E$4:$E$52,MATCH(Tabla_Registro_Tareas1[[#This Row],[Actividad]],plan!$C$4:$C$52,0)),"")</f>
        <v/>
      </c>
      <c r="F98" s="49" t="str">
        <f>IF(Tabla_Registro_Tareas1[[#This Row],[Actividad]]=Indice_Aux_Vacio,"",Indice_PROBLAM_Estudiante1)</f>
        <v/>
      </c>
      <c r="G98" s="7"/>
      <c r="H98" s="8"/>
      <c r="I98" s="9"/>
      <c r="K98" s="12" t="str" cm="1">
        <f t="array" ref="K98">IF($B98&lt;&gt;"",TRANSPOSE(_xlfn._xlws.FILTER(plan!$C$4:$C$52, ($B98 &gt;= (plan!$J$4:$J$52-Indice_Plan_ExtensionPlazo))*($B98 &lt;= (plan!$K$4:$K$52+Indice_Plan_ExtensionPlazo)), "")), "")</f>
        <v/>
      </c>
      <c r="BH98" s="4"/>
    </row>
    <row r="99" spans="2:60" x14ac:dyDescent="0.3">
      <c r="B99" s="6"/>
      <c r="C99" s="10"/>
      <c r="D99" s="48" t="str">
        <f>IF(Tabla_Registro_Tareas1[[#This Row],[Actividad]]=Indice_Aux_Vacio,"",IFERROR(INDEX(plan!$D$4:$D$52,MATCH(Tabla_Registro_Tareas1[[#This Row],[Actividad]],plan!$C$4:$C$52,0)),""))</f>
        <v/>
      </c>
      <c r="E99" s="48" t="str">
        <f>IFERROR(INDEX(plan!$E$4:$E$52,MATCH(Tabla_Registro_Tareas1[[#This Row],[Actividad]],plan!$C$4:$C$52,0)),"")</f>
        <v/>
      </c>
      <c r="F99" s="49" t="str">
        <f>IF(Tabla_Registro_Tareas1[[#This Row],[Actividad]]=Indice_Aux_Vacio,"",Indice_PROBLAM_Estudiante1)</f>
        <v/>
      </c>
      <c r="G99" s="7"/>
      <c r="H99" s="8"/>
      <c r="I99" s="9"/>
      <c r="K99" s="12" t="str" cm="1">
        <f t="array" ref="K99">IF($B99&lt;&gt;"",TRANSPOSE(_xlfn._xlws.FILTER(plan!$C$4:$C$52, ($B99 &gt;= (plan!$J$4:$J$52-Indice_Plan_ExtensionPlazo))*($B99 &lt;= (plan!$K$4:$K$52+Indice_Plan_ExtensionPlazo)), "")), "")</f>
        <v/>
      </c>
      <c r="BH99" s="4"/>
    </row>
    <row r="100" spans="2:60" x14ac:dyDescent="0.3">
      <c r="B100" s="6"/>
      <c r="C100" s="10"/>
      <c r="D100" s="48" t="str">
        <f>IF(Tabla_Registro_Tareas1[[#This Row],[Actividad]]=Indice_Aux_Vacio,"",IFERROR(INDEX(plan!$D$4:$D$52,MATCH(Tabla_Registro_Tareas1[[#This Row],[Actividad]],plan!$C$4:$C$52,0)),""))</f>
        <v/>
      </c>
      <c r="E100" s="48" t="str">
        <f>IFERROR(INDEX(plan!$E$4:$E$52,MATCH(Tabla_Registro_Tareas1[[#This Row],[Actividad]],plan!$C$4:$C$52,0)),"")</f>
        <v/>
      </c>
      <c r="F100" s="49" t="str">
        <f>IF(Tabla_Registro_Tareas1[[#This Row],[Actividad]]=Indice_Aux_Vacio,"",Indice_PROBLAM_Estudiante1)</f>
        <v/>
      </c>
      <c r="G100" s="7"/>
      <c r="H100" s="8"/>
      <c r="I100" s="9"/>
      <c r="K100" s="12" t="str" cm="1">
        <f t="array" ref="K100">IF($B100&lt;&gt;"",TRANSPOSE(_xlfn._xlws.FILTER(plan!$C$4:$C$52, ($B100 &gt;= (plan!$J$4:$J$52-Indice_Plan_ExtensionPlazo))*($B100 &lt;= (plan!$K$4:$K$52+Indice_Plan_ExtensionPlazo)), "")), "")</f>
        <v/>
      </c>
      <c r="BH100" s="4"/>
    </row>
    <row r="101" spans="2:60" x14ac:dyDescent="0.3">
      <c r="B101" s="6"/>
      <c r="C101" s="10"/>
      <c r="D101" s="48" t="str">
        <f>IF(Tabla_Registro_Tareas1[[#This Row],[Actividad]]=Indice_Aux_Vacio,"",IFERROR(INDEX(plan!$D$4:$D$52,MATCH(Tabla_Registro_Tareas1[[#This Row],[Actividad]],plan!$C$4:$C$52,0)),""))</f>
        <v/>
      </c>
      <c r="E101" s="48" t="str">
        <f>IFERROR(INDEX(plan!$E$4:$E$52,MATCH(Tabla_Registro_Tareas1[[#This Row],[Actividad]],plan!$C$4:$C$52,0)),"")</f>
        <v/>
      </c>
      <c r="F101" s="49" t="str">
        <f>IF(Tabla_Registro_Tareas1[[#This Row],[Actividad]]=Indice_Aux_Vacio,"",Indice_PROBLAM_Estudiante1)</f>
        <v/>
      </c>
      <c r="G101" s="7"/>
      <c r="H101" s="8"/>
      <c r="I101" s="9"/>
      <c r="K101" s="12" t="str" cm="1">
        <f t="array" ref="K101">IF($B101&lt;&gt;"",TRANSPOSE(_xlfn._xlws.FILTER(plan!$C$4:$C$52, ($B101 &gt;= (plan!$J$4:$J$52-Indice_Plan_ExtensionPlazo))*($B101 &lt;= (plan!$K$4:$K$52+Indice_Plan_ExtensionPlazo)), "")), "")</f>
        <v/>
      </c>
      <c r="BH101" s="4"/>
    </row>
    <row r="102" spans="2:60" x14ac:dyDescent="0.3">
      <c r="B102" s="6"/>
      <c r="C102" s="10"/>
      <c r="D102" s="48" t="str">
        <f>IF(Tabla_Registro_Tareas1[[#This Row],[Actividad]]=Indice_Aux_Vacio,"",IFERROR(INDEX(plan!$D$4:$D$52,MATCH(Tabla_Registro_Tareas1[[#This Row],[Actividad]],plan!$C$4:$C$52,0)),""))</f>
        <v/>
      </c>
      <c r="E102" s="48" t="str">
        <f>IFERROR(INDEX(plan!$E$4:$E$52,MATCH(Tabla_Registro_Tareas1[[#This Row],[Actividad]],plan!$C$4:$C$52,0)),"")</f>
        <v/>
      </c>
      <c r="F102" s="49" t="str">
        <f>IF(Tabla_Registro_Tareas1[[#This Row],[Actividad]]=Indice_Aux_Vacio,"",Indice_PROBLAM_Estudiante1)</f>
        <v/>
      </c>
      <c r="G102" s="7"/>
      <c r="H102" s="8"/>
      <c r="I102" s="9"/>
      <c r="K102" s="12" t="str" cm="1">
        <f t="array" ref="K102">IF($B102&lt;&gt;"",TRANSPOSE(_xlfn._xlws.FILTER(plan!$C$4:$C$52, ($B102 &gt;= (plan!$J$4:$J$52-Indice_Plan_ExtensionPlazo))*($B102 &lt;= (plan!$K$4:$K$52+Indice_Plan_ExtensionPlazo)), "")), "")</f>
        <v/>
      </c>
      <c r="BH102" s="4"/>
    </row>
    <row r="103" spans="2:60" x14ac:dyDescent="0.3">
      <c r="B103" s="6"/>
      <c r="C103" s="10"/>
      <c r="D103" s="48" t="str">
        <f>IF(Tabla_Registro_Tareas1[[#This Row],[Actividad]]=Indice_Aux_Vacio,"",IFERROR(INDEX(plan!$D$4:$D$52,MATCH(Tabla_Registro_Tareas1[[#This Row],[Actividad]],plan!$C$4:$C$52,0)),""))</f>
        <v/>
      </c>
      <c r="E103" s="48" t="str">
        <f>IFERROR(INDEX(plan!$E$4:$E$52,MATCH(Tabla_Registro_Tareas1[[#This Row],[Actividad]],plan!$C$4:$C$52,0)),"")</f>
        <v/>
      </c>
      <c r="F103" s="49" t="str">
        <f>IF(Tabla_Registro_Tareas1[[#This Row],[Actividad]]=Indice_Aux_Vacio,"",Indice_PROBLAM_Estudiante1)</f>
        <v/>
      </c>
      <c r="G103" s="7"/>
      <c r="H103" s="8"/>
      <c r="I103" s="9"/>
      <c r="K103" s="12" t="str" cm="1">
        <f t="array" ref="K103">IF($B103&lt;&gt;"",TRANSPOSE(_xlfn._xlws.FILTER(plan!$C$4:$C$52, ($B103 &gt;= (plan!$J$4:$J$52-Indice_Plan_ExtensionPlazo))*($B103 &lt;= (plan!$K$4:$K$52+Indice_Plan_ExtensionPlazo)), "")), "")</f>
        <v/>
      </c>
      <c r="BH103" s="4"/>
    </row>
    <row r="104" spans="2:60" x14ac:dyDescent="0.3">
      <c r="B104" s="6"/>
      <c r="C104" s="10"/>
      <c r="D104" s="48" t="str">
        <f>IF(Tabla_Registro_Tareas1[[#This Row],[Actividad]]=Indice_Aux_Vacio,"",IFERROR(INDEX(plan!$D$4:$D$52,MATCH(Tabla_Registro_Tareas1[[#This Row],[Actividad]],plan!$C$4:$C$52,0)),""))</f>
        <v/>
      </c>
      <c r="E104" s="48" t="str">
        <f>IFERROR(INDEX(plan!$E$4:$E$52,MATCH(Tabla_Registro_Tareas1[[#This Row],[Actividad]],plan!$C$4:$C$52,0)),"")</f>
        <v/>
      </c>
      <c r="F104" s="49" t="str">
        <f>IF(Tabla_Registro_Tareas1[[#This Row],[Actividad]]=Indice_Aux_Vacio,"",Indice_PROBLAM_Estudiante1)</f>
        <v/>
      </c>
      <c r="G104" s="7"/>
      <c r="H104" s="8"/>
      <c r="I104" s="9"/>
      <c r="K104" s="12" t="str" cm="1">
        <f t="array" ref="K104">IF($B104&lt;&gt;"",TRANSPOSE(_xlfn._xlws.FILTER(plan!$C$4:$C$52, ($B104 &gt;= (plan!$J$4:$J$52-Indice_Plan_ExtensionPlazo))*($B104 &lt;= (plan!$K$4:$K$52+Indice_Plan_ExtensionPlazo)), "")), "")</f>
        <v/>
      </c>
      <c r="BH104" s="4"/>
    </row>
    <row r="105" spans="2:60" x14ac:dyDescent="0.3">
      <c r="B105" s="6"/>
      <c r="C105" s="10"/>
      <c r="D105" s="48" t="str">
        <f>IF(Tabla_Registro_Tareas1[[#This Row],[Actividad]]=Indice_Aux_Vacio,"",IFERROR(INDEX(plan!$D$4:$D$52,MATCH(Tabla_Registro_Tareas1[[#This Row],[Actividad]],plan!$C$4:$C$52,0)),""))</f>
        <v/>
      </c>
      <c r="E105" s="48" t="str">
        <f>IFERROR(INDEX(plan!$E$4:$E$52,MATCH(Tabla_Registro_Tareas1[[#This Row],[Actividad]],plan!$C$4:$C$52,0)),"")</f>
        <v/>
      </c>
      <c r="F105" s="49" t="str">
        <f>IF(Tabla_Registro_Tareas1[[#This Row],[Actividad]]=Indice_Aux_Vacio,"",Indice_PROBLAM_Estudiante1)</f>
        <v/>
      </c>
      <c r="G105" s="7"/>
      <c r="H105" s="8"/>
      <c r="I105" s="9"/>
      <c r="K105" s="12" t="str" cm="1">
        <f t="array" ref="K105">IF($B105&lt;&gt;"",TRANSPOSE(_xlfn._xlws.FILTER(plan!$C$4:$C$52, ($B105 &gt;= (plan!$J$4:$J$52-Indice_Plan_ExtensionPlazo))*($B105 &lt;= (plan!$K$4:$K$52+Indice_Plan_ExtensionPlazo)), "")), "")</f>
        <v/>
      </c>
      <c r="BH105" s="4"/>
    </row>
    <row r="106" spans="2:60" x14ac:dyDescent="0.3">
      <c r="B106" s="6"/>
      <c r="C106" s="10"/>
      <c r="D106" s="48" t="str">
        <f>IF(Tabla_Registro_Tareas1[[#This Row],[Actividad]]=Indice_Aux_Vacio,"",IFERROR(INDEX(plan!$D$4:$D$52,MATCH(Tabla_Registro_Tareas1[[#This Row],[Actividad]],plan!$C$4:$C$52,0)),""))</f>
        <v/>
      </c>
      <c r="E106" s="48" t="str">
        <f>IFERROR(INDEX(plan!$E$4:$E$52,MATCH(Tabla_Registro_Tareas1[[#This Row],[Actividad]],plan!$C$4:$C$52,0)),"")</f>
        <v/>
      </c>
      <c r="F106" s="49" t="str">
        <f>IF(Tabla_Registro_Tareas1[[#This Row],[Actividad]]=Indice_Aux_Vacio,"",Indice_PROBLAM_Estudiante1)</f>
        <v/>
      </c>
      <c r="G106" s="7"/>
      <c r="H106" s="8"/>
      <c r="I106" s="9"/>
      <c r="K106" s="12" t="str" cm="1">
        <f t="array" ref="K106">IF($B106&lt;&gt;"",TRANSPOSE(_xlfn._xlws.FILTER(plan!$C$4:$C$52, ($B106 &gt;= (plan!$J$4:$J$52-Indice_Plan_ExtensionPlazo))*($B106 &lt;= (plan!$K$4:$K$52+Indice_Plan_ExtensionPlazo)), "")), "")</f>
        <v/>
      </c>
      <c r="BH106" s="4"/>
    </row>
    <row r="107" spans="2:60" x14ac:dyDescent="0.3">
      <c r="B107" s="6"/>
      <c r="C107" s="10"/>
      <c r="D107" s="48" t="str">
        <f>IF(Tabla_Registro_Tareas1[[#This Row],[Actividad]]=Indice_Aux_Vacio,"",IFERROR(INDEX(plan!$D$4:$D$52,MATCH(Tabla_Registro_Tareas1[[#This Row],[Actividad]],plan!$C$4:$C$52,0)),""))</f>
        <v/>
      </c>
      <c r="E107" s="48" t="str">
        <f>IFERROR(INDEX(plan!$E$4:$E$52,MATCH(Tabla_Registro_Tareas1[[#This Row],[Actividad]],plan!$C$4:$C$52,0)),"")</f>
        <v/>
      </c>
      <c r="F107" s="49" t="str">
        <f>IF(Tabla_Registro_Tareas1[[#This Row],[Actividad]]=Indice_Aux_Vacio,"",Indice_PROBLAM_Estudiante1)</f>
        <v/>
      </c>
      <c r="G107" s="7"/>
      <c r="H107" s="8"/>
      <c r="I107" s="9"/>
      <c r="K107" s="12" t="str" cm="1">
        <f t="array" ref="K107">IF($B107&lt;&gt;"",TRANSPOSE(_xlfn._xlws.FILTER(plan!$C$4:$C$52, ($B107 &gt;= (plan!$J$4:$J$52-Indice_Plan_ExtensionPlazo))*($B107 &lt;= (plan!$K$4:$K$52+Indice_Plan_ExtensionPlazo)), "")), "")</f>
        <v/>
      </c>
      <c r="BH107" s="4"/>
    </row>
    <row r="108" spans="2:60" x14ac:dyDescent="0.3">
      <c r="B108" s="6"/>
      <c r="C108" s="10"/>
      <c r="D108" s="48" t="str">
        <f>IF(Tabla_Registro_Tareas1[[#This Row],[Actividad]]=Indice_Aux_Vacio,"",IFERROR(INDEX(plan!$D$4:$D$52,MATCH(Tabla_Registro_Tareas1[[#This Row],[Actividad]],plan!$C$4:$C$52,0)),""))</f>
        <v/>
      </c>
      <c r="E108" s="48" t="str">
        <f>IFERROR(INDEX(plan!$E$4:$E$52,MATCH(Tabla_Registro_Tareas1[[#This Row],[Actividad]],plan!$C$4:$C$52,0)),"")</f>
        <v/>
      </c>
      <c r="F108" s="49" t="str">
        <f>IF(Tabla_Registro_Tareas1[[#This Row],[Actividad]]=Indice_Aux_Vacio,"",Indice_PROBLAM_Estudiante1)</f>
        <v/>
      </c>
      <c r="G108" s="7"/>
      <c r="H108" s="8"/>
      <c r="I108" s="9"/>
      <c r="K108" s="12" t="str" cm="1">
        <f t="array" ref="K108">IF($B108&lt;&gt;"",TRANSPOSE(_xlfn._xlws.FILTER(plan!$C$4:$C$52, ($B108 &gt;= (plan!$J$4:$J$52-Indice_Plan_ExtensionPlazo))*($B108 &lt;= (plan!$K$4:$K$52+Indice_Plan_ExtensionPlazo)), "")), "")</f>
        <v/>
      </c>
      <c r="BH108" s="4"/>
    </row>
    <row r="109" spans="2:60" x14ac:dyDescent="0.3">
      <c r="B109" s="6"/>
      <c r="C109" s="10"/>
      <c r="D109" s="48" t="str">
        <f>IF(Tabla_Registro_Tareas1[[#This Row],[Actividad]]=Indice_Aux_Vacio,"",IFERROR(INDEX(plan!$D$4:$D$52,MATCH(Tabla_Registro_Tareas1[[#This Row],[Actividad]],plan!$C$4:$C$52,0)),""))</f>
        <v/>
      </c>
      <c r="E109" s="48" t="str">
        <f>IFERROR(INDEX(plan!$E$4:$E$52,MATCH(Tabla_Registro_Tareas1[[#This Row],[Actividad]],plan!$C$4:$C$52,0)),"")</f>
        <v/>
      </c>
      <c r="F109" s="49" t="str">
        <f>IF(Tabla_Registro_Tareas1[[#This Row],[Actividad]]=Indice_Aux_Vacio,"",Indice_PROBLAM_Estudiante1)</f>
        <v/>
      </c>
      <c r="G109" s="7"/>
      <c r="H109" s="8"/>
      <c r="I109" s="9"/>
      <c r="K109" s="12" t="str" cm="1">
        <f t="array" ref="K109">IF($B109&lt;&gt;"",TRANSPOSE(_xlfn._xlws.FILTER(plan!$C$4:$C$52, ($B109 &gt;= (plan!$J$4:$J$52-Indice_Plan_ExtensionPlazo))*($B109 &lt;= (plan!$K$4:$K$52+Indice_Plan_ExtensionPlazo)), "")), "")</f>
        <v/>
      </c>
      <c r="BH109" s="4"/>
    </row>
    <row r="110" spans="2:60" x14ac:dyDescent="0.3">
      <c r="B110" s="6"/>
      <c r="C110" s="10"/>
      <c r="D110" s="48" t="str">
        <f>IF(Tabla_Registro_Tareas1[[#This Row],[Actividad]]=Indice_Aux_Vacio,"",IFERROR(INDEX(plan!$D$4:$D$52,MATCH(Tabla_Registro_Tareas1[[#This Row],[Actividad]],plan!$C$4:$C$52,0)),""))</f>
        <v/>
      </c>
      <c r="E110" s="48" t="str">
        <f>IFERROR(INDEX(plan!$E$4:$E$52,MATCH(Tabla_Registro_Tareas1[[#This Row],[Actividad]],plan!$C$4:$C$52,0)),"")</f>
        <v/>
      </c>
      <c r="F110" s="49" t="str">
        <f>IF(Tabla_Registro_Tareas1[[#This Row],[Actividad]]=Indice_Aux_Vacio,"",Indice_PROBLAM_Estudiante1)</f>
        <v/>
      </c>
      <c r="G110" s="7"/>
      <c r="H110" s="8"/>
      <c r="I110" s="9"/>
      <c r="K110" s="12" t="str" cm="1">
        <f t="array" ref="K110">IF($B110&lt;&gt;"",TRANSPOSE(_xlfn._xlws.FILTER(plan!$C$4:$C$52, ($B110 &gt;= (plan!$J$4:$J$52-Indice_Plan_ExtensionPlazo))*($B110 &lt;= (plan!$K$4:$K$52+Indice_Plan_ExtensionPlazo)), "")), "")</f>
        <v/>
      </c>
      <c r="BH110" s="4"/>
    </row>
    <row r="111" spans="2:60" x14ac:dyDescent="0.3">
      <c r="B111" s="6"/>
      <c r="C111" s="10"/>
      <c r="D111" s="48" t="str">
        <f>IF(Tabla_Registro_Tareas1[[#This Row],[Actividad]]=Indice_Aux_Vacio,"",IFERROR(INDEX(plan!$D$4:$D$52,MATCH(Tabla_Registro_Tareas1[[#This Row],[Actividad]],plan!$C$4:$C$52,0)),""))</f>
        <v/>
      </c>
      <c r="E111" s="48" t="str">
        <f>IFERROR(INDEX(plan!$E$4:$E$52,MATCH(Tabla_Registro_Tareas1[[#This Row],[Actividad]],plan!$C$4:$C$52,0)),"")</f>
        <v/>
      </c>
      <c r="F111" s="49" t="str">
        <f>IF(Tabla_Registro_Tareas1[[#This Row],[Actividad]]=Indice_Aux_Vacio,"",Indice_PROBLAM_Estudiante1)</f>
        <v/>
      </c>
      <c r="G111" s="7"/>
      <c r="H111" s="8"/>
      <c r="I111" s="9"/>
      <c r="K111" s="12" t="str" cm="1">
        <f t="array" ref="K111">IF($B111&lt;&gt;"",TRANSPOSE(_xlfn._xlws.FILTER(plan!$C$4:$C$52, ($B111 &gt;= (plan!$J$4:$J$52-Indice_Plan_ExtensionPlazo))*($B111 &lt;= (plan!$K$4:$K$52+Indice_Plan_ExtensionPlazo)), "")), "")</f>
        <v/>
      </c>
      <c r="BH111" s="4"/>
    </row>
    <row r="112" spans="2:60" x14ac:dyDescent="0.3">
      <c r="B112" s="6"/>
      <c r="C112" s="10"/>
      <c r="D112" s="48" t="str">
        <f>IF(Tabla_Registro_Tareas1[[#This Row],[Actividad]]=Indice_Aux_Vacio,"",IFERROR(INDEX(plan!$D$4:$D$52,MATCH(Tabla_Registro_Tareas1[[#This Row],[Actividad]],plan!$C$4:$C$52,0)),""))</f>
        <v/>
      </c>
      <c r="E112" s="48" t="str">
        <f>IFERROR(INDEX(plan!$E$4:$E$52,MATCH(Tabla_Registro_Tareas1[[#This Row],[Actividad]],plan!$C$4:$C$52,0)),"")</f>
        <v/>
      </c>
      <c r="F112" s="49" t="str">
        <f>IF(Tabla_Registro_Tareas1[[#This Row],[Actividad]]=Indice_Aux_Vacio,"",Indice_PROBLAM_Estudiante1)</f>
        <v/>
      </c>
      <c r="G112" s="7"/>
      <c r="H112" s="8"/>
      <c r="I112" s="9"/>
      <c r="K112" s="12" t="str" cm="1">
        <f t="array" ref="K112">IF($B112&lt;&gt;"",TRANSPOSE(_xlfn._xlws.FILTER(plan!$C$4:$C$52, ($B112 &gt;= (plan!$J$4:$J$52-Indice_Plan_ExtensionPlazo))*($B112 &lt;= (plan!$K$4:$K$52+Indice_Plan_ExtensionPlazo)), "")), "")</f>
        <v/>
      </c>
      <c r="BH112" s="4"/>
    </row>
    <row r="113" spans="2:60" x14ac:dyDescent="0.3">
      <c r="B113" s="6"/>
      <c r="C113" s="10"/>
      <c r="D113" s="48" t="str">
        <f>IF(Tabla_Registro_Tareas1[[#This Row],[Actividad]]=Indice_Aux_Vacio,"",IFERROR(INDEX(plan!$D$4:$D$52,MATCH(Tabla_Registro_Tareas1[[#This Row],[Actividad]],plan!$C$4:$C$52,0)),""))</f>
        <v/>
      </c>
      <c r="E113" s="48" t="str">
        <f>IFERROR(INDEX(plan!$E$4:$E$52,MATCH(Tabla_Registro_Tareas1[[#This Row],[Actividad]],plan!$C$4:$C$52,0)),"")</f>
        <v/>
      </c>
      <c r="F113" s="49" t="str">
        <f>IF(Tabla_Registro_Tareas1[[#This Row],[Actividad]]=Indice_Aux_Vacio,"",Indice_PROBLAM_Estudiante1)</f>
        <v/>
      </c>
      <c r="G113" s="7"/>
      <c r="H113" s="8"/>
      <c r="I113" s="9"/>
      <c r="K113" s="12" t="str" cm="1">
        <f t="array" ref="K113">IF($B113&lt;&gt;"",TRANSPOSE(_xlfn._xlws.FILTER(plan!$C$4:$C$52, ($B113 &gt;= (plan!$J$4:$J$52-Indice_Plan_ExtensionPlazo))*($B113 &lt;= (plan!$K$4:$K$52+Indice_Plan_ExtensionPlazo)), "")), "")</f>
        <v/>
      </c>
      <c r="BH113" s="4"/>
    </row>
    <row r="114" spans="2:60" x14ac:dyDescent="0.3">
      <c r="B114" s="6"/>
      <c r="C114" s="10"/>
      <c r="D114" s="48" t="str">
        <f>IF(Tabla_Registro_Tareas1[[#This Row],[Actividad]]=Indice_Aux_Vacio,"",IFERROR(INDEX(plan!$D$4:$D$52,MATCH(Tabla_Registro_Tareas1[[#This Row],[Actividad]],plan!$C$4:$C$52,0)),""))</f>
        <v/>
      </c>
      <c r="E114" s="48" t="str">
        <f>IFERROR(INDEX(plan!$E$4:$E$52,MATCH(Tabla_Registro_Tareas1[[#This Row],[Actividad]],plan!$C$4:$C$52,0)),"")</f>
        <v/>
      </c>
      <c r="F114" s="49" t="str">
        <f>IF(Tabla_Registro_Tareas1[[#This Row],[Actividad]]=Indice_Aux_Vacio,"",Indice_PROBLAM_Estudiante1)</f>
        <v/>
      </c>
      <c r="G114" s="7"/>
      <c r="H114" s="8"/>
      <c r="I114" s="9"/>
      <c r="K114" s="12" t="str" cm="1">
        <f t="array" ref="K114">IF($B114&lt;&gt;"",TRANSPOSE(_xlfn._xlws.FILTER(plan!$C$4:$C$52, ($B114 &gt;= (plan!$J$4:$J$52-Indice_Plan_ExtensionPlazo))*($B114 &lt;= (plan!$K$4:$K$52+Indice_Plan_ExtensionPlazo)), "")), "")</f>
        <v/>
      </c>
      <c r="BH114" s="4"/>
    </row>
    <row r="115" spans="2:60" x14ac:dyDescent="0.3">
      <c r="B115" s="6"/>
      <c r="C115" s="10"/>
      <c r="D115" s="48" t="str">
        <f>IF(Tabla_Registro_Tareas1[[#This Row],[Actividad]]=Indice_Aux_Vacio,"",IFERROR(INDEX(plan!$D$4:$D$52,MATCH(Tabla_Registro_Tareas1[[#This Row],[Actividad]],plan!$C$4:$C$52,0)),""))</f>
        <v/>
      </c>
      <c r="E115" s="48" t="str">
        <f>IFERROR(INDEX(plan!$E$4:$E$52,MATCH(Tabla_Registro_Tareas1[[#This Row],[Actividad]],plan!$C$4:$C$52,0)),"")</f>
        <v/>
      </c>
      <c r="F115" s="49" t="str">
        <f>IF(Tabla_Registro_Tareas1[[#This Row],[Actividad]]=Indice_Aux_Vacio,"",Indice_PROBLAM_Estudiante1)</f>
        <v/>
      </c>
      <c r="G115" s="7"/>
      <c r="H115" s="8"/>
      <c r="I115" s="9"/>
      <c r="K115" s="12" t="str" cm="1">
        <f t="array" ref="K115">IF($B115&lt;&gt;"",TRANSPOSE(_xlfn._xlws.FILTER(plan!$C$4:$C$52, ($B115 &gt;= (plan!$J$4:$J$52-Indice_Plan_ExtensionPlazo))*($B115 &lt;= (plan!$K$4:$K$52+Indice_Plan_ExtensionPlazo)), "")), "")</f>
        <v/>
      </c>
      <c r="BH115" s="4"/>
    </row>
    <row r="116" spans="2:60" x14ac:dyDescent="0.3">
      <c r="B116" s="6"/>
      <c r="C116" s="10"/>
      <c r="D116" s="48" t="str">
        <f>IF(Tabla_Registro_Tareas1[[#This Row],[Actividad]]=Indice_Aux_Vacio,"",IFERROR(INDEX(plan!$D$4:$D$52,MATCH(Tabla_Registro_Tareas1[[#This Row],[Actividad]],plan!$C$4:$C$52,0)),""))</f>
        <v/>
      </c>
      <c r="E116" s="48" t="str">
        <f>IFERROR(INDEX(plan!$E$4:$E$52,MATCH(Tabla_Registro_Tareas1[[#This Row],[Actividad]],plan!$C$4:$C$52,0)),"")</f>
        <v/>
      </c>
      <c r="F116" s="49" t="str">
        <f>IF(Tabla_Registro_Tareas1[[#This Row],[Actividad]]=Indice_Aux_Vacio,"",Indice_PROBLAM_Estudiante1)</f>
        <v/>
      </c>
      <c r="G116" s="7"/>
      <c r="H116" s="8"/>
      <c r="I116" s="9"/>
      <c r="K116" s="12" t="str" cm="1">
        <f t="array" ref="K116">IF($B116&lt;&gt;"",TRANSPOSE(_xlfn._xlws.FILTER(plan!$C$4:$C$52, ($B116 &gt;= (plan!$J$4:$J$52-Indice_Plan_ExtensionPlazo))*($B116 &lt;= (plan!$K$4:$K$52+Indice_Plan_ExtensionPlazo)), "")), "")</f>
        <v/>
      </c>
      <c r="BH116" s="4"/>
    </row>
    <row r="117" spans="2:60" x14ac:dyDescent="0.3">
      <c r="B117" s="6"/>
      <c r="C117" s="10"/>
      <c r="D117" s="48" t="str">
        <f>IF(Tabla_Registro_Tareas1[[#This Row],[Actividad]]=Indice_Aux_Vacio,"",IFERROR(INDEX(plan!$D$4:$D$52,MATCH(Tabla_Registro_Tareas1[[#This Row],[Actividad]],plan!$C$4:$C$52,0)),""))</f>
        <v/>
      </c>
      <c r="E117" s="48" t="str">
        <f>IFERROR(INDEX(plan!$E$4:$E$52,MATCH(Tabla_Registro_Tareas1[[#This Row],[Actividad]],plan!$C$4:$C$52,0)),"")</f>
        <v/>
      </c>
      <c r="F117" s="49" t="str">
        <f>IF(Tabla_Registro_Tareas1[[#This Row],[Actividad]]=Indice_Aux_Vacio,"",Indice_PROBLAM_Estudiante1)</f>
        <v/>
      </c>
      <c r="G117" s="7"/>
      <c r="H117" s="8"/>
      <c r="I117" s="9"/>
      <c r="K117" s="12" t="str" cm="1">
        <f t="array" ref="K117">IF($B117&lt;&gt;"",TRANSPOSE(_xlfn._xlws.FILTER(plan!$C$4:$C$52, ($B117 &gt;= (plan!$J$4:$J$52-Indice_Plan_ExtensionPlazo))*($B117 &lt;= (plan!$K$4:$K$52+Indice_Plan_ExtensionPlazo)), "")), "")</f>
        <v/>
      </c>
      <c r="BH117" s="4"/>
    </row>
    <row r="118" spans="2:60" x14ac:dyDescent="0.3">
      <c r="B118" s="6"/>
      <c r="C118" s="10"/>
      <c r="D118" s="48" t="str">
        <f>IF(Tabla_Registro_Tareas1[[#This Row],[Actividad]]=Indice_Aux_Vacio,"",IFERROR(INDEX(plan!$D$4:$D$52,MATCH(Tabla_Registro_Tareas1[[#This Row],[Actividad]],plan!$C$4:$C$52,0)),""))</f>
        <v/>
      </c>
      <c r="E118" s="48" t="str">
        <f>IFERROR(INDEX(plan!$E$4:$E$52,MATCH(Tabla_Registro_Tareas1[[#This Row],[Actividad]],plan!$C$4:$C$52,0)),"")</f>
        <v/>
      </c>
      <c r="F118" s="49" t="str">
        <f>IF(Tabla_Registro_Tareas1[[#This Row],[Actividad]]=Indice_Aux_Vacio,"",Indice_PROBLAM_Estudiante1)</f>
        <v/>
      </c>
      <c r="G118" s="7"/>
      <c r="H118" s="8"/>
      <c r="I118" s="9"/>
      <c r="K118" s="12" t="str" cm="1">
        <f t="array" ref="K118">IF($B118&lt;&gt;"",TRANSPOSE(_xlfn._xlws.FILTER(plan!$C$4:$C$52, ($B118 &gt;= (plan!$J$4:$J$52-Indice_Plan_ExtensionPlazo))*($B118 &lt;= (plan!$K$4:$K$52+Indice_Plan_ExtensionPlazo)), "")), "")</f>
        <v/>
      </c>
      <c r="BH118" s="4"/>
    </row>
    <row r="119" spans="2:60" x14ac:dyDescent="0.3">
      <c r="B119" s="6"/>
      <c r="C119" s="10"/>
      <c r="D119" s="48" t="str">
        <f>IF(Tabla_Registro_Tareas1[[#This Row],[Actividad]]=Indice_Aux_Vacio,"",IFERROR(INDEX(plan!$D$4:$D$52,MATCH(Tabla_Registro_Tareas1[[#This Row],[Actividad]],plan!$C$4:$C$52,0)),""))</f>
        <v/>
      </c>
      <c r="E119" s="48" t="str">
        <f>IFERROR(INDEX(plan!$E$4:$E$52,MATCH(Tabla_Registro_Tareas1[[#This Row],[Actividad]],plan!$C$4:$C$52,0)),"")</f>
        <v/>
      </c>
      <c r="F119" s="49" t="str">
        <f>IF(Tabla_Registro_Tareas1[[#This Row],[Actividad]]=Indice_Aux_Vacio,"",Indice_PROBLAM_Estudiante1)</f>
        <v/>
      </c>
      <c r="G119" s="7"/>
      <c r="H119" s="8"/>
      <c r="I119" s="9"/>
      <c r="K119" s="12" t="str" cm="1">
        <f t="array" ref="K119">IF($B119&lt;&gt;"",TRANSPOSE(_xlfn._xlws.FILTER(plan!$C$4:$C$52, ($B119 &gt;= (plan!$J$4:$J$52-Indice_Plan_ExtensionPlazo))*($B119 &lt;= (plan!$K$4:$K$52+Indice_Plan_ExtensionPlazo)), "")), "")</f>
        <v/>
      </c>
      <c r="BH119" s="4"/>
    </row>
    <row r="120" spans="2:60" x14ac:dyDescent="0.3">
      <c r="B120" s="6"/>
      <c r="C120" s="10"/>
      <c r="D120" s="48" t="str">
        <f>IF(Tabla_Registro_Tareas1[[#This Row],[Actividad]]=Indice_Aux_Vacio,"",IFERROR(INDEX(plan!$D$4:$D$52,MATCH(Tabla_Registro_Tareas1[[#This Row],[Actividad]],plan!$C$4:$C$52,0)),""))</f>
        <v/>
      </c>
      <c r="E120" s="48" t="str">
        <f>IFERROR(INDEX(plan!$E$4:$E$52,MATCH(Tabla_Registro_Tareas1[[#This Row],[Actividad]],plan!$C$4:$C$52,0)),"")</f>
        <v/>
      </c>
      <c r="F120" s="49" t="str">
        <f>IF(Tabla_Registro_Tareas1[[#This Row],[Actividad]]=Indice_Aux_Vacio,"",Indice_PROBLAM_Estudiante1)</f>
        <v/>
      </c>
      <c r="G120" s="7"/>
      <c r="H120" s="8"/>
      <c r="I120" s="9"/>
      <c r="K120" s="12" t="str" cm="1">
        <f t="array" ref="K120">IF($B120&lt;&gt;"",TRANSPOSE(_xlfn._xlws.FILTER(plan!$C$4:$C$52, ($B120 &gt;= (plan!$J$4:$J$52-Indice_Plan_ExtensionPlazo))*($B120 &lt;= (plan!$K$4:$K$52+Indice_Plan_ExtensionPlazo)), "")), "")</f>
        <v/>
      </c>
      <c r="BH120" s="4"/>
    </row>
    <row r="121" spans="2:60" x14ac:dyDescent="0.3">
      <c r="B121" s="6"/>
      <c r="C121" s="10"/>
      <c r="D121" s="48" t="str">
        <f>IF(Tabla_Registro_Tareas1[[#This Row],[Actividad]]=Indice_Aux_Vacio,"",IFERROR(INDEX(plan!$D$4:$D$52,MATCH(Tabla_Registro_Tareas1[[#This Row],[Actividad]],plan!$C$4:$C$52,0)),""))</f>
        <v/>
      </c>
      <c r="E121" s="48" t="str">
        <f>IFERROR(INDEX(plan!$E$4:$E$52,MATCH(Tabla_Registro_Tareas1[[#This Row],[Actividad]],plan!$C$4:$C$52,0)),"")</f>
        <v/>
      </c>
      <c r="F121" s="49" t="str">
        <f>IF(Tabla_Registro_Tareas1[[#This Row],[Actividad]]=Indice_Aux_Vacio,"",Indice_PROBLAM_Estudiante1)</f>
        <v/>
      </c>
      <c r="G121" s="7"/>
      <c r="H121" s="8"/>
      <c r="I121" s="9"/>
      <c r="K121" s="12" t="str" cm="1">
        <f t="array" ref="K121">IF($B121&lt;&gt;"",TRANSPOSE(_xlfn._xlws.FILTER(plan!$C$4:$C$52, ($B121 &gt;= (plan!$J$4:$J$52-Indice_Plan_ExtensionPlazo))*($B121 &lt;= (plan!$K$4:$K$52+Indice_Plan_ExtensionPlazo)), "")), "")</f>
        <v/>
      </c>
      <c r="BH121" s="4"/>
    </row>
    <row r="122" spans="2:60" x14ac:dyDescent="0.3">
      <c r="B122" s="6"/>
      <c r="C122" s="10"/>
      <c r="D122" s="48" t="str">
        <f>IF(Tabla_Registro_Tareas1[[#This Row],[Actividad]]=Indice_Aux_Vacio,"",IFERROR(INDEX(plan!$D$4:$D$52,MATCH(Tabla_Registro_Tareas1[[#This Row],[Actividad]],plan!$C$4:$C$52,0)),""))</f>
        <v/>
      </c>
      <c r="E122" s="48" t="str">
        <f>IFERROR(INDEX(plan!$E$4:$E$52,MATCH(Tabla_Registro_Tareas1[[#This Row],[Actividad]],plan!$C$4:$C$52,0)),"")</f>
        <v/>
      </c>
      <c r="F122" s="49" t="str">
        <f>IF(Tabla_Registro_Tareas1[[#This Row],[Actividad]]=Indice_Aux_Vacio,"",Indice_PROBLAM_Estudiante1)</f>
        <v/>
      </c>
      <c r="G122" s="7"/>
      <c r="H122" s="8"/>
      <c r="I122" s="9"/>
      <c r="K122" s="12" t="str" cm="1">
        <f t="array" ref="K122">IF($B122&lt;&gt;"",TRANSPOSE(_xlfn._xlws.FILTER(plan!$C$4:$C$52, ($B122 &gt;= (plan!$J$4:$J$52-Indice_Plan_ExtensionPlazo))*($B122 &lt;= (plan!$K$4:$K$52+Indice_Plan_ExtensionPlazo)), "")), "")</f>
        <v/>
      </c>
      <c r="BH122" s="4"/>
    </row>
    <row r="123" spans="2:60" x14ac:dyDescent="0.3">
      <c r="B123" s="6"/>
      <c r="C123" s="10"/>
      <c r="D123" s="48" t="str">
        <f>IF(Tabla_Registro_Tareas1[[#This Row],[Actividad]]=Indice_Aux_Vacio,"",IFERROR(INDEX(plan!$D$4:$D$52,MATCH(Tabla_Registro_Tareas1[[#This Row],[Actividad]],plan!$C$4:$C$52,0)),""))</f>
        <v/>
      </c>
      <c r="E123" s="48" t="str">
        <f>IFERROR(INDEX(plan!$E$4:$E$52,MATCH(Tabla_Registro_Tareas1[[#This Row],[Actividad]],plan!$C$4:$C$52,0)),"")</f>
        <v/>
      </c>
      <c r="F123" s="49" t="str">
        <f>IF(Tabla_Registro_Tareas1[[#This Row],[Actividad]]=Indice_Aux_Vacio,"",Indice_PROBLAM_Estudiante1)</f>
        <v/>
      </c>
      <c r="G123" s="7"/>
      <c r="H123" s="8"/>
      <c r="I123" s="9"/>
      <c r="K123" s="12" t="str" cm="1">
        <f t="array" ref="K123">IF($B123&lt;&gt;"",TRANSPOSE(_xlfn._xlws.FILTER(plan!$C$4:$C$52, ($B123 &gt;= (plan!$J$4:$J$52-Indice_Plan_ExtensionPlazo))*($B123 &lt;= (plan!$K$4:$K$52+Indice_Plan_ExtensionPlazo)), "")), "")</f>
        <v/>
      </c>
      <c r="BH123" s="4"/>
    </row>
    <row r="124" spans="2:60" x14ac:dyDescent="0.3">
      <c r="B124" s="6"/>
      <c r="C124" s="10"/>
      <c r="D124" s="48" t="str">
        <f>IF(Tabla_Registro_Tareas1[[#This Row],[Actividad]]=Indice_Aux_Vacio,"",IFERROR(INDEX(plan!$D$4:$D$52,MATCH(Tabla_Registro_Tareas1[[#This Row],[Actividad]],plan!$C$4:$C$52,0)),""))</f>
        <v/>
      </c>
      <c r="E124" s="48" t="str">
        <f>IFERROR(INDEX(plan!$E$4:$E$52,MATCH(Tabla_Registro_Tareas1[[#This Row],[Actividad]],plan!$C$4:$C$52,0)),"")</f>
        <v/>
      </c>
      <c r="F124" s="49" t="str">
        <f>IF(Tabla_Registro_Tareas1[[#This Row],[Actividad]]=Indice_Aux_Vacio,"",Indice_PROBLAM_Estudiante1)</f>
        <v/>
      </c>
      <c r="G124" s="7"/>
      <c r="H124" s="8"/>
      <c r="I124" s="9"/>
      <c r="K124" s="12" t="str" cm="1">
        <f t="array" ref="K124">IF($B124&lt;&gt;"",TRANSPOSE(_xlfn._xlws.FILTER(plan!$C$4:$C$52, ($B124 &gt;= (plan!$J$4:$J$52-Indice_Plan_ExtensionPlazo))*($B124 &lt;= (plan!$K$4:$K$52+Indice_Plan_ExtensionPlazo)), "")), "")</f>
        <v/>
      </c>
      <c r="BH124" s="4"/>
    </row>
    <row r="125" spans="2:60" x14ac:dyDescent="0.3">
      <c r="B125" s="6"/>
      <c r="C125" s="10"/>
      <c r="D125" s="48" t="str">
        <f>IF(Tabla_Registro_Tareas1[[#This Row],[Actividad]]=Indice_Aux_Vacio,"",IFERROR(INDEX(plan!$D$4:$D$52,MATCH(Tabla_Registro_Tareas1[[#This Row],[Actividad]],plan!$C$4:$C$52,0)),""))</f>
        <v/>
      </c>
      <c r="E125" s="48" t="str">
        <f>IFERROR(INDEX(plan!$E$4:$E$52,MATCH(Tabla_Registro_Tareas1[[#This Row],[Actividad]],plan!$C$4:$C$52,0)),"")</f>
        <v/>
      </c>
      <c r="F125" s="49" t="str">
        <f>IF(Tabla_Registro_Tareas1[[#This Row],[Actividad]]=Indice_Aux_Vacio,"",Indice_PROBLAM_Estudiante1)</f>
        <v/>
      </c>
      <c r="G125" s="7"/>
      <c r="H125" s="8"/>
      <c r="I125" s="9"/>
      <c r="K125" s="12" t="str" cm="1">
        <f t="array" ref="K125">IF($B125&lt;&gt;"",TRANSPOSE(_xlfn._xlws.FILTER(plan!$C$4:$C$52, ($B125 &gt;= (plan!$J$4:$J$52-Indice_Plan_ExtensionPlazo))*($B125 &lt;= (plan!$K$4:$K$52+Indice_Plan_ExtensionPlazo)), "")), "")</f>
        <v/>
      </c>
      <c r="BH125" s="4"/>
    </row>
    <row r="126" spans="2:60" x14ac:dyDescent="0.3">
      <c r="B126" s="6"/>
      <c r="C126" s="10"/>
      <c r="D126" s="48" t="str">
        <f>IF(Tabla_Registro_Tareas1[[#This Row],[Actividad]]=Indice_Aux_Vacio,"",IFERROR(INDEX(plan!$D$4:$D$52,MATCH(Tabla_Registro_Tareas1[[#This Row],[Actividad]],plan!$C$4:$C$52,0)),""))</f>
        <v/>
      </c>
      <c r="E126" s="48" t="str">
        <f>IFERROR(INDEX(plan!$E$4:$E$52,MATCH(Tabla_Registro_Tareas1[[#This Row],[Actividad]],plan!$C$4:$C$52,0)),"")</f>
        <v/>
      </c>
      <c r="F126" s="49" t="str">
        <f>IF(Tabla_Registro_Tareas1[[#This Row],[Actividad]]=Indice_Aux_Vacio,"",Indice_PROBLAM_Estudiante1)</f>
        <v/>
      </c>
      <c r="G126" s="7"/>
      <c r="H126" s="8"/>
      <c r="I126" s="9"/>
      <c r="K126" s="12" t="str" cm="1">
        <f t="array" ref="K126">IF($B126&lt;&gt;"",TRANSPOSE(_xlfn._xlws.FILTER(plan!$C$4:$C$52, ($B126 &gt;= (plan!$J$4:$J$52-Indice_Plan_ExtensionPlazo))*($B126 &lt;= (plan!$K$4:$K$52+Indice_Plan_ExtensionPlazo)), "")), "")</f>
        <v/>
      </c>
      <c r="BH126" s="4"/>
    </row>
    <row r="127" spans="2:60" x14ac:dyDescent="0.3">
      <c r="B127" s="6"/>
      <c r="C127" s="10"/>
      <c r="D127" s="48" t="str">
        <f>IF(Tabla_Registro_Tareas1[[#This Row],[Actividad]]=Indice_Aux_Vacio,"",IFERROR(INDEX(plan!$D$4:$D$52,MATCH(Tabla_Registro_Tareas1[[#This Row],[Actividad]],plan!$C$4:$C$52,0)),""))</f>
        <v/>
      </c>
      <c r="E127" s="48" t="str">
        <f>IFERROR(INDEX(plan!$E$4:$E$52,MATCH(Tabla_Registro_Tareas1[[#This Row],[Actividad]],plan!$C$4:$C$52,0)),"")</f>
        <v/>
      </c>
      <c r="F127" s="49" t="str">
        <f>IF(Tabla_Registro_Tareas1[[#This Row],[Actividad]]=Indice_Aux_Vacio,"",Indice_PROBLAM_Estudiante1)</f>
        <v/>
      </c>
      <c r="G127" s="7"/>
      <c r="H127" s="8"/>
      <c r="I127" s="9"/>
      <c r="K127" s="12" t="str" cm="1">
        <f t="array" ref="K127">IF($B127&lt;&gt;"",TRANSPOSE(_xlfn._xlws.FILTER(plan!$C$4:$C$52, ($B127 &gt;= (plan!$J$4:$J$52-Indice_Plan_ExtensionPlazo))*($B127 &lt;= (plan!$K$4:$K$52+Indice_Plan_ExtensionPlazo)), "")), "")</f>
        <v/>
      </c>
      <c r="BH127" s="4"/>
    </row>
    <row r="128" spans="2:60" x14ac:dyDescent="0.3">
      <c r="B128" s="6"/>
      <c r="C128" s="10"/>
      <c r="D128" s="48" t="str">
        <f>IF(Tabla_Registro_Tareas1[[#This Row],[Actividad]]=Indice_Aux_Vacio,"",IFERROR(INDEX(plan!$D$4:$D$52,MATCH(Tabla_Registro_Tareas1[[#This Row],[Actividad]],plan!$C$4:$C$52,0)),""))</f>
        <v/>
      </c>
      <c r="E128" s="48" t="str">
        <f>IFERROR(INDEX(plan!$E$4:$E$52,MATCH(Tabla_Registro_Tareas1[[#This Row],[Actividad]],plan!$C$4:$C$52,0)),"")</f>
        <v/>
      </c>
      <c r="F128" s="49" t="str">
        <f>IF(Tabla_Registro_Tareas1[[#This Row],[Actividad]]=Indice_Aux_Vacio,"",Indice_PROBLAM_Estudiante1)</f>
        <v/>
      </c>
      <c r="G128" s="7"/>
      <c r="H128" s="8"/>
      <c r="I128" s="9"/>
      <c r="K128" s="12" t="str" cm="1">
        <f t="array" ref="K128">IF($B128&lt;&gt;"",TRANSPOSE(_xlfn._xlws.FILTER(plan!$C$4:$C$52, ($B128 &gt;= (plan!$J$4:$J$52-Indice_Plan_ExtensionPlazo))*($B128 &lt;= (plan!$K$4:$K$52+Indice_Plan_ExtensionPlazo)), "")), "")</f>
        <v/>
      </c>
      <c r="BH128" s="4"/>
    </row>
    <row r="129" spans="2:60" x14ac:dyDescent="0.3">
      <c r="B129" s="6"/>
      <c r="C129" s="10"/>
      <c r="D129" s="48" t="str">
        <f>IF(Tabla_Registro_Tareas1[[#This Row],[Actividad]]=Indice_Aux_Vacio,"",IFERROR(INDEX(plan!$D$4:$D$52,MATCH(Tabla_Registro_Tareas1[[#This Row],[Actividad]],plan!$C$4:$C$52,0)),""))</f>
        <v/>
      </c>
      <c r="E129" s="48" t="str">
        <f>IFERROR(INDEX(plan!$E$4:$E$52,MATCH(Tabla_Registro_Tareas1[[#This Row],[Actividad]],plan!$C$4:$C$52,0)),"")</f>
        <v/>
      </c>
      <c r="F129" s="49" t="str">
        <f>IF(Tabla_Registro_Tareas1[[#This Row],[Actividad]]=Indice_Aux_Vacio,"",Indice_PROBLAM_Estudiante1)</f>
        <v/>
      </c>
      <c r="G129" s="7"/>
      <c r="H129" s="8"/>
      <c r="I129" s="9"/>
      <c r="K129" s="12" t="str" cm="1">
        <f t="array" ref="K129">IF($B129&lt;&gt;"",TRANSPOSE(_xlfn._xlws.FILTER(plan!$C$4:$C$52, ($B129 &gt;= (plan!$J$4:$J$52-Indice_Plan_ExtensionPlazo))*($B129 &lt;= (plan!$K$4:$K$52+Indice_Plan_ExtensionPlazo)), "")), "")</f>
        <v/>
      </c>
      <c r="BH129" s="4"/>
    </row>
    <row r="130" spans="2:60" x14ac:dyDescent="0.3">
      <c r="B130" s="6"/>
      <c r="C130" s="10"/>
      <c r="D130" s="48" t="str">
        <f>IF(Tabla_Registro_Tareas1[[#This Row],[Actividad]]=Indice_Aux_Vacio,"",IFERROR(INDEX(plan!$D$4:$D$52,MATCH(Tabla_Registro_Tareas1[[#This Row],[Actividad]],plan!$C$4:$C$52,0)),""))</f>
        <v/>
      </c>
      <c r="E130" s="48" t="str">
        <f>IFERROR(INDEX(plan!$E$4:$E$52,MATCH(Tabla_Registro_Tareas1[[#This Row],[Actividad]],plan!$C$4:$C$52,0)),"")</f>
        <v/>
      </c>
      <c r="F130" s="49" t="str">
        <f>IF(Tabla_Registro_Tareas1[[#This Row],[Actividad]]=Indice_Aux_Vacio,"",Indice_PROBLAM_Estudiante1)</f>
        <v/>
      </c>
      <c r="G130" s="7"/>
      <c r="H130" s="8"/>
      <c r="I130" s="9"/>
      <c r="K130" s="12" t="str" cm="1">
        <f t="array" ref="K130">IF($B130&lt;&gt;"",TRANSPOSE(_xlfn._xlws.FILTER(plan!$C$4:$C$52, ($B130 &gt;= (plan!$J$4:$J$52-Indice_Plan_ExtensionPlazo))*($B130 &lt;= (plan!$K$4:$K$52+Indice_Plan_ExtensionPlazo)), "")), "")</f>
        <v/>
      </c>
      <c r="BH130" s="4"/>
    </row>
    <row r="131" spans="2:60" x14ac:dyDescent="0.3">
      <c r="B131" s="6"/>
      <c r="C131" s="10"/>
      <c r="D131" s="48" t="str">
        <f>IF(Tabla_Registro_Tareas1[[#This Row],[Actividad]]=Indice_Aux_Vacio,"",IFERROR(INDEX(plan!$D$4:$D$52,MATCH(Tabla_Registro_Tareas1[[#This Row],[Actividad]],plan!$C$4:$C$52,0)),""))</f>
        <v/>
      </c>
      <c r="E131" s="48" t="str">
        <f>IFERROR(INDEX(plan!$E$4:$E$52,MATCH(Tabla_Registro_Tareas1[[#This Row],[Actividad]],plan!$C$4:$C$52,0)),"")</f>
        <v/>
      </c>
      <c r="F131" s="49" t="str">
        <f>IF(Tabla_Registro_Tareas1[[#This Row],[Actividad]]=Indice_Aux_Vacio,"",Indice_PROBLAM_Estudiante1)</f>
        <v/>
      </c>
      <c r="G131" s="7"/>
      <c r="H131" s="8"/>
      <c r="I131" s="9"/>
      <c r="K131" s="12" t="str" cm="1">
        <f t="array" ref="K131">IF($B131&lt;&gt;"",TRANSPOSE(_xlfn._xlws.FILTER(plan!$C$4:$C$52, ($B131 &gt;= (plan!$J$4:$J$52-Indice_Plan_ExtensionPlazo))*($B131 &lt;= (plan!$K$4:$K$52+Indice_Plan_ExtensionPlazo)), "")), "")</f>
        <v/>
      </c>
      <c r="BH131" s="4"/>
    </row>
    <row r="132" spans="2:60" x14ac:dyDescent="0.3">
      <c r="B132" s="6"/>
      <c r="C132" s="10"/>
      <c r="D132" s="48" t="str">
        <f>IF(Tabla_Registro_Tareas1[[#This Row],[Actividad]]=Indice_Aux_Vacio,"",IFERROR(INDEX(plan!$D$4:$D$52,MATCH(Tabla_Registro_Tareas1[[#This Row],[Actividad]],plan!$C$4:$C$52,0)),""))</f>
        <v/>
      </c>
      <c r="E132" s="48" t="str">
        <f>IFERROR(INDEX(plan!$E$4:$E$52,MATCH(Tabla_Registro_Tareas1[[#This Row],[Actividad]],plan!$C$4:$C$52,0)),"")</f>
        <v/>
      </c>
      <c r="F132" s="49" t="str">
        <f>IF(Tabla_Registro_Tareas1[[#This Row],[Actividad]]=Indice_Aux_Vacio,"",Indice_PROBLAM_Estudiante1)</f>
        <v/>
      </c>
      <c r="G132" s="7"/>
      <c r="H132" s="8"/>
      <c r="I132" s="9"/>
      <c r="K132" s="12" t="str" cm="1">
        <f t="array" ref="K132">IF($B132&lt;&gt;"",TRANSPOSE(_xlfn._xlws.FILTER(plan!$C$4:$C$52, ($B132 &gt;= (plan!$J$4:$J$52-Indice_Plan_ExtensionPlazo))*($B132 &lt;= (plan!$K$4:$K$52+Indice_Plan_ExtensionPlazo)), "")), "")</f>
        <v/>
      </c>
      <c r="BH132" s="4"/>
    </row>
    <row r="133" spans="2:60" x14ac:dyDescent="0.3">
      <c r="B133" s="6"/>
      <c r="C133" s="10"/>
      <c r="D133" s="48" t="str">
        <f>IF(Tabla_Registro_Tareas1[[#This Row],[Actividad]]=Indice_Aux_Vacio,"",IFERROR(INDEX(plan!$D$4:$D$52,MATCH(Tabla_Registro_Tareas1[[#This Row],[Actividad]],plan!$C$4:$C$52,0)),""))</f>
        <v/>
      </c>
      <c r="E133" s="48" t="str">
        <f>IFERROR(INDEX(plan!$E$4:$E$52,MATCH(Tabla_Registro_Tareas1[[#This Row],[Actividad]],plan!$C$4:$C$52,0)),"")</f>
        <v/>
      </c>
      <c r="F133" s="49" t="str">
        <f>IF(Tabla_Registro_Tareas1[[#This Row],[Actividad]]=Indice_Aux_Vacio,"",Indice_PROBLAM_Estudiante1)</f>
        <v/>
      </c>
      <c r="G133" s="7"/>
      <c r="H133" s="8"/>
      <c r="I133" s="9"/>
      <c r="K133" s="12" t="str" cm="1">
        <f t="array" ref="K133">IF($B133&lt;&gt;"",TRANSPOSE(_xlfn._xlws.FILTER(plan!$C$4:$C$52, ($B133 &gt;= (plan!$J$4:$J$52-Indice_Plan_ExtensionPlazo))*($B133 &lt;= (plan!$K$4:$K$52+Indice_Plan_ExtensionPlazo)), "")), "")</f>
        <v/>
      </c>
      <c r="BH133" s="4"/>
    </row>
    <row r="134" spans="2:60" x14ac:dyDescent="0.3">
      <c r="B134" s="6"/>
      <c r="C134" s="10"/>
      <c r="D134" s="48" t="str">
        <f>IF(Tabla_Registro_Tareas1[[#This Row],[Actividad]]=Indice_Aux_Vacio,"",IFERROR(INDEX(plan!$D$4:$D$52,MATCH(Tabla_Registro_Tareas1[[#This Row],[Actividad]],plan!$C$4:$C$52,0)),""))</f>
        <v/>
      </c>
      <c r="E134" s="48" t="str">
        <f>IFERROR(INDEX(plan!$E$4:$E$52,MATCH(Tabla_Registro_Tareas1[[#This Row],[Actividad]],plan!$C$4:$C$52,0)),"")</f>
        <v/>
      </c>
      <c r="F134" s="49" t="str">
        <f>IF(Tabla_Registro_Tareas1[[#This Row],[Actividad]]=Indice_Aux_Vacio,"",Indice_PROBLAM_Estudiante1)</f>
        <v/>
      </c>
      <c r="G134" s="7"/>
      <c r="H134" s="8"/>
      <c r="I134" s="9"/>
      <c r="K134" s="12" t="str" cm="1">
        <f t="array" ref="K134">IF($B134&lt;&gt;"",TRANSPOSE(_xlfn._xlws.FILTER(plan!$C$4:$C$52, ($B134 &gt;= (plan!$J$4:$J$52-Indice_Plan_ExtensionPlazo))*($B134 &lt;= (plan!$K$4:$K$52+Indice_Plan_ExtensionPlazo)), "")), "")</f>
        <v/>
      </c>
      <c r="BH134" s="4"/>
    </row>
    <row r="135" spans="2:60" x14ac:dyDescent="0.3">
      <c r="B135" s="6"/>
      <c r="C135" s="10"/>
      <c r="D135" s="48" t="str">
        <f>IF(Tabla_Registro_Tareas1[[#This Row],[Actividad]]=Indice_Aux_Vacio,"",IFERROR(INDEX(plan!$D$4:$D$52,MATCH(Tabla_Registro_Tareas1[[#This Row],[Actividad]],plan!$C$4:$C$52,0)),""))</f>
        <v/>
      </c>
      <c r="E135" s="48" t="str">
        <f>IFERROR(INDEX(plan!$E$4:$E$52,MATCH(Tabla_Registro_Tareas1[[#This Row],[Actividad]],plan!$C$4:$C$52,0)),"")</f>
        <v/>
      </c>
      <c r="F135" s="49" t="str">
        <f>IF(Tabla_Registro_Tareas1[[#This Row],[Actividad]]=Indice_Aux_Vacio,"",Indice_PROBLAM_Estudiante1)</f>
        <v/>
      </c>
      <c r="G135" s="7"/>
      <c r="H135" s="8"/>
      <c r="I135" s="9"/>
      <c r="K135" s="12" t="str" cm="1">
        <f t="array" ref="K135">IF($B135&lt;&gt;"",TRANSPOSE(_xlfn._xlws.FILTER(plan!$C$4:$C$52, ($B135 &gt;= (plan!$J$4:$J$52-Indice_Plan_ExtensionPlazo))*($B135 &lt;= (plan!$K$4:$K$52+Indice_Plan_ExtensionPlazo)), "")), "")</f>
        <v/>
      </c>
      <c r="BH135" s="4"/>
    </row>
    <row r="136" spans="2:60" x14ac:dyDescent="0.3">
      <c r="B136" s="6"/>
      <c r="C136" s="10"/>
      <c r="D136" s="48" t="str">
        <f>IF(Tabla_Registro_Tareas1[[#This Row],[Actividad]]=Indice_Aux_Vacio,"",IFERROR(INDEX(plan!$D$4:$D$52,MATCH(Tabla_Registro_Tareas1[[#This Row],[Actividad]],plan!$C$4:$C$52,0)),""))</f>
        <v/>
      </c>
      <c r="E136" s="48" t="str">
        <f>IFERROR(INDEX(plan!$E$4:$E$52,MATCH(Tabla_Registro_Tareas1[[#This Row],[Actividad]],plan!$C$4:$C$52,0)),"")</f>
        <v/>
      </c>
      <c r="F136" s="49" t="str">
        <f>IF(Tabla_Registro_Tareas1[[#This Row],[Actividad]]=Indice_Aux_Vacio,"",Indice_PROBLAM_Estudiante1)</f>
        <v/>
      </c>
      <c r="G136" s="7"/>
      <c r="H136" s="8"/>
      <c r="I136" s="9"/>
      <c r="K136" s="12" t="str" cm="1">
        <f t="array" ref="K136">IF($B136&lt;&gt;"",TRANSPOSE(_xlfn._xlws.FILTER(plan!$C$4:$C$52, ($B136 &gt;= (plan!$J$4:$J$52-Indice_Plan_ExtensionPlazo))*($B136 &lt;= (plan!$K$4:$K$52+Indice_Plan_ExtensionPlazo)), "")), "")</f>
        <v/>
      </c>
      <c r="BH136" s="4"/>
    </row>
    <row r="137" spans="2:60" x14ac:dyDescent="0.3">
      <c r="B137" s="6"/>
      <c r="C137" s="10"/>
      <c r="D137" s="48" t="str">
        <f>IF(Tabla_Registro_Tareas1[[#This Row],[Actividad]]=Indice_Aux_Vacio,"",IFERROR(INDEX(plan!$D$4:$D$52,MATCH(Tabla_Registro_Tareas1[[#This Row],[Actividad]],plan!$C$4:$C$52,0)),""))</f>
        <v/>
      </c>
      <c r="E137" s="48" t="str">
        <f>IFERROR(INDEX(plan!$E$4:$E$52,MATCH(Tabla_Registro_Tareas1[[#This Row],[Actividad]],plan!$C$4:$C$52,0)),"")</f>
        <v/>
      </c>
      <c r="F137" s="49" t="str">
        <f>IF(Tabla_Registro_Tareas1[[#This Row],[Actividad]]=Indice_Aux_Vacio,"",Indice_PROBLAM_Estudiante1)</f>
        <v/>
      </c>
      <c r="G137" s="7"/>
      <c r="H137" s="8"/>
      <c r="I137" s="9"/>
      <c r="K137" s="12" t="str" cm="1">
        <f t="array" ref="K137">IF($B137&lt;&gt;"",TRANSPOSE(_xlfn._xlws.FILTER(plan!$C$4:$C$52, ($B137 &gt;= (plan!$J$4:$J$52-Indice_Plan_ExtensionPlazo))*($B137 &lt;= (plan!$K$4:$K$52+Indice_Plan_ExtensionPlazo)), "")), "")</f>
        <v/>
      </c>
      <c r="BH137" s="4"/>
    </row>
    <row r="138" spans="2:60" x14ac:dyDescent="0.3">
      <c r="B138" s="6"/>
      <c r="C138" s="10"/>
      <c r="D138" s="48" t="str">
        <f>IF(Tabla_Registro_Tareas1[[#This Row],[Actividad]]=Indice_Aux_Vacio,"",IFERROR(INDEX(plan!$D$4:$D$52,MATCH(Tabla_Registro_Tareas1[[#This Row],[Actividad]],plan!$C$4:$C$52,0)),""))</f>
        <v/>
      </c>
      <c r="E138" s="48" t="str">
        <f>IFERROR(INDEX(plan!$E$4:$E$52,MATCH(Tabla_Registro_Tareas1[[#This Row],[Actividad]],plan!$C$4:$C$52,0)),"")</f>
        <v/>
      </c>
      <c r="F138" s="49" t="str">
        <f>IF(Tabla_Registro_Tareas1[[#This Row],[Actividad]]=Indice_Aux_Vacio,"",Indice_PROBLAM_Estudiante1)</f>
        <v/>
      </c>
      <c r="G138" s="7"/>
      <c r="H138" s="8"/>
      <c r="I138" s="9"/>
      <c r="K138" s="12" t="str" cm="1">
        <f t="array" ref="K138">IF($B138&lt;&gt;"",TRANSPOSE(_xlfn._xlws.FILTER(plan!$C$4:$C$52, ($B138 &gt;= (plan!$J$4:$J$52-Indice_Plan_ExtensionPlazo))*($B138 &lt;= (plan!$K$4:$K$52+Indice_Plan_ExtensionPlazo)), "")), "")</f>
        <v/>
      </c>
      <c r="BH138" s="4"/>
    </row>
    <row r="139" spans="2:60" x14ac:dyDescent="0.3">
      <c r="B139" s="6"/>
      <c r="C139" s="10"/>
      <c r="D139" s="48" t="str">
        <f>IF(Tabla_Registro_Tareas1[[#This Row],[Actividad]]=Indice_Aux_Vacio,"",IFERROR(INDEX(plan!$D$4:$D$52,MATCH(Tabla_Registro_Tareas1[[#This Row],[Actividad]],plan!$C$4:$C$52,0)),""))</f>
        <v/>
      </c>
      <c r="E139" s="48" t="str">
        <f>IFERROR(INDEX(plan!$E$4:$E$52,MATCH(Tabla_Registro_Tareas1[[#This Row],[Actividad]],plan!$C$4:$C$52,0)),"")</f>
        <v/>
      </c>
      <c r="F139" s="49" t="str">
        <f>IF(Tabla_Registro_Tareas1[[#This Row],[Actividad]]=Indice_Aux_Vacio,"",Indice_PROBLAM_Estudiante1)</f>
        <v/>
      </c>
      <c r="G139" s="7"/>
      <c r="H139" s="8"/>
      <c r="I139" s="9"/>
      <c r="K139" s="12" t="str" cm="1">
        <f t="array" ref="K139">IF($B139&lt;&gt;"",TRANSPOSE(_xlfn._xlws.FILTER(plan!$C$4:$C$52, ($B139 &gt;= (plan!$J$4:$J$52-Indice_Plan_ExtensionPlazo))*($B139 &lt;= (plan!$K$4:$K$52+Indice_Plan_ExtensionPlazo)), "")), "")</f>
        <v/>
      </c>
      <c r="BH139" s="4"/>
    </row>
    <row r="140" spans="2:60" x14ac:dyDescent="0.3">
      <c r="B140" s="6"/>
      <c r="C140" s="10"/>
      <c r="D140" s="48" t="str">
        <f>IF(Tabla_Registro_Tareas1[[#This Row],[Actividad]]=Indice_Aux_Vacio,"",IFERROR(INDEX(plan!$D$4:$D$52,MATCH(Tabla_Registro_Tareas1[[#This Row],[Actividad]],plan!$C$4:$C$52,0)),""))</f>
        <v/>
      </c>
      <c r="E140" s="48" t="str">
        <f>IFERROR(INDEX(plan!$E$4:$E$52,MATCH(Tabla_Registro_Tareas1[[#This Row],[Actividad]],plan!$C$4:$C$52,0)),"")</f>
        <v/>
      </c>
      <c r="F140" s="49" t="str">
        <f>IF(Tabla_Registro_Tareas1[[#This Row],[Actividad]]=Indice_Aux_Vacio,"",Indice_PROBLAM_Estudiante1)</f>
        <v/>
      </c>
      <c r="G140" s="7"/>
      <c r="H140" s="8"/>
      <c r="I140" s="9"/>
      <c r="K140" s="12" t="str" cm="1">
        <f t="array" ref="K140">IF($B140&lt;&gt;"",TRANSPOSE(_xlfn._xlws.FILTER(plan!$C$4:$C$52, ($B140 &gt;= (plan!$J$4:$J$52-Indice_Plan_ExtensionPlazo))*($B140 &lt;= (plan!$K$4:$K$52+Indice_Plan_ExtensionPlazo)), "")), "")</f>
        <v/>
      </c>
      <c r="BH140" s="4"/>
    </row>
    <row r="141" spans="2:60" x14ac:dyDescent="0.3">
      <c r="B141" s="6"/>
      <c r="C141" s="10"/>
      <c r="D141" s="48" t="str">
        <f>IF(Tabla_Registro_Tareas1[[#This Row],[Actividad]]=Indice_Aux_Vacio,"",IFERROR(INDEX(plan!$D$4:$D$52,MATCH(Tabla_Registro_Tareas1[[#This Row],[Actividad]],plan!$C$4:$C$52,0)),""))</f>
        <v/>
      </c>
      <c r="E141" s="48" t="str">
        <f>IFERROR(INDEX(plan!$E$4:$E$52,MATCH(Tabla_Registro_Tareas1[[#This Row],[Actividad]],plan!$C$4:$C$52,0)),"")</f>
        <v/>
      </c>
      <c r="F141" s="49" t="str">
        <f>IF(Tabla_Registro_Tareas1[[#This Row],[Actividad]]=Indice_Aux_Vacio,"",Indice_PROBLAM_Estudiante1)</f>
        <v/>
      </c>
      <c r="G141" s="7"/>
      <c r="H141" s="8"/>
      <c r="I141" s="9"/>
      <c r="K141" s="12" t="str" cm="1">
        <f t="array" ref="K141">IF($B141&lt;&gt;"",TRANSPOSE(_xlfn._xlws.FILTER(plan!$C$4:$C$52, ($B141 &gt;= (plan!$J$4:$J$52-Indice_Plan_ExtensionPlazo))*($B141 &lt;= (plan!$K$4:$K$52+Indice_Plan_ExtensionPlazo)), "")), "")</f>
        <v/>
      </c>
      <c r="BH141" s="4"/>
    </row>
    <row r="142" spans="2:60" x14ac:dyDescent="0.3">
      <c r="B142" s="6"/>
      <c r="C142" s="10"/>
      <c r="D142" s="48" t="str">
        <f>IF(Tabla_Registro_Tareas1[[#This Row],[Actividad]]=Indice_Aux_Vacio,"",IFERROR(INDEX(plan!$D$4:$D$52,MATCH(Tabla_Registro_Tareas1[[#This Row],[Actividad]],plan!$C$4:$C$52,0)),""))</f>
        <v/>
      </c>
      <c r="E142" s="48" t="str">
        <f>IFERROR(INDEX(plan!$E$4:$E$52,MATCH(Tabla_Registro_Tareas1[[#This Row],[Actividad]],plan!$C$4:$C$52,0)),"")</f>
        <v/>
      </c>
      <c r="F142" s="49" t="str">
        <f>IF(Tabla_Registro_Tareas1[[#This Row],[Actividad]]=Indice_Aux_Vacio,"",Indice_PROBLAM_Estudiante1)</f>
        <v/>
      </c>
      <c r="G142" s="7"/>
      <c r="H142" s="8"/>
      <c r="I142" s="9"/>
      <c r="K142" s="12" t="str" cm="1">
        <f t="array" ref="K142">IF($B142&lt;&gt;"",TRANSPOSE(_xlfn._xlws.FILTER(plan!$C$4:$C$52, ($B142 &gt;= (plan!$J$4:$J$52-Indice_Plan_ExtensionPlazo))*($B142 &lt;= (plan!$K$4:$K$52+Indice_Plan_ExtensionPlazo)), "")), "")</f>
        <v/>
      </c>
      <c r="BH142" s="4"/>
    </row>
    <row r="143" spans="2:60" x14ac:dyDescent="0.3">
      <c r="B143" s="6"/>
      <c r="C143" s="10"/>
      <c r="D143" s="48" t="str">
        <f>IF(Tabla_Registro_Tareas1[[#This Row],[Actividad]]=Indice_Aux_Vacio,"",IFERROR(INDEX(plan!$D$4:$D$52,MATCH(Tabla_Registro_Tareas1[[#This Row],[Actividad]],plan!$C$4:$C$52,0)),""))</f>
        <v/>
      </c>
      <c r="E143" s="48" t="str">
        <f>IFERROR(INDEX(plan!$E$4:$E$52,MATCH(Tabla_Registro_Tareas1[[#This Row],[Actividad]],plan!$C$4:$C$52,0)),"")</f>
        <v/>
      </c>
      <c r="F143" s="49" t="str">
        <f>IF(Tabla_Registro_Tareas1[[#This Row],[Actividad]]=Indice_Aux_Vacio,"",Indice_PROBLAM_Estudiante1)</f>
        <v/>
      </c>
      <c r="G143" s="7"/>
      <c r="H143" s="8"/>
      <c r="I143" s="9"/>
      <c r="K143" s="12" t="str" cm="1">
        <f t="array" ref="K143">IF($B143&lt;&gt;"",TRANSPOSE(_xlfn._xlws.FILTER(plan!$C$4:$C$52, ($B143 &gt;= (plan!$J$4:$J$52-Indice_Plan_ExtensionPlazo))*($B143 &lt;= (plan!$K$4:$K$52+Indice_Plan_ExtensionPlazo)), "")), "")</f>
        <v/>
      </c>
      <c r="BH143" s="4"/>
    </row>
    <row r="144" spans="2:60" x14ac:dyDescent="0.3">
      <c r="B144" s="6"/>
      <c r="C144" s="10"/>
      <c r="D144" s="48" t="str">
        <f>IF(Tabla_Registro_Tareas1[[#This Row],[Actividad]]=Indice_Aux_Vacio,"",IFERROR(INDEX(plan!$D$4:$D$52,MATCH(Tabla_Registro_Tareas1[[#This Row],[Actividad]],plan!$C$4:$C$52,0)),""))</f>
        <v/>
      </c>
      <c r="E144" s="48" t="str">
        <f>IFERROR(INDEX(plan!$E$4:$E$52,MATCH(Tabla_Registro_Tareas1[[#This Row],[Actividad]],plan!$C$4:$C$52,0)),"")</f>
        <v/>
      </c>
      <c r="F144" s="49" t="str">
        <f>IF(Tabla_Registro_Tareas1[[#This Row],[Actividad]]=Indice_Aux_Vacio,"",Indice_PROBLAM_Estudiante1)</f>
        <v/>
      </c>
      <c r="G144" s="7"/>
      <c r="H144" s="8"/>
      <c r="I144" s="9"/>
      <c r="K144" s="12" t="str" cm="1">
        <f t="array" ref="K144">IF($B144&lt;&gt;"",TRANSPOSE(_xlfn._xlws.FILTER(plan!$C$4:$C$52, ($B144 &gt;= (plan!$J$4:$J$52-Indice_Plan_ExtensionPlazo))*($B144 &lt;= (plan!$K$4:$K$52+Indice_Plan_ExtensionPlazo)), "")), "")</f>
        <v/>
      </c>
      <c r="BH144" s="4"/>
    </row>
    <row r="145" spans="2:60" x14ac:dyDescent="0.3">
      <c r="B145" s="6"/>
      <c r="C145" s="10"/>
      <c r="D145" s="48" t="str">
        <f>IF(Tabla_Registro_Tareas1[[#This Row],[Actividad]]=Indice_Aux_Vacio,"",IFERROR(INDEX(plan!$D$4:$D$52,MATCH(Tabla_Registro_Tareas1[[#This Row],[Actividad]],plan!$C$4:$C$52,0)),""))</f>
        <v/>
      </c>
      <c r="E145" s="48" t="str">
        <f>IFERROR(INDEX(plan!$E$4:$E$52,MATCH(Tabla_Registro_Tareas1[[#This Row],[Actividad]],plan!$C$4:$C$52,0)),"")</f>
        <v/>
      </c>
      <c r="F145" s="49" t="str">
        <f>IF(Tabla_Registro_Tareas1[[#This Row],[Actividad]]=Indice_Aux_Vacio,"",Indice_PROBLAM_Estudiante1)</f>
        <v/>
      </c>
      <c r="G145" s="7"/>
      <c r="H145" s="8"/>
      <c r="I145" s="9"/>
      <c r="K145" s="12" t="str" cm="1">
        <f t="array" ref="K145">IF($B145&lt;&gt;"",TRANSPOSE(_xlfn._xlws.FILTER(plan!$C$4:$C$52, ($B145 &gt;= (plan!$J$4:$J$52-Indice_Plan_ExtensionPlazo))*($B145 &lt;= (plan!$K$4:$K$52+Indice_Plan_ExtensionPlazo)), "")), "")</f>
        <v/>
      </c>
      <c r="BH145" s="4"/>
    </row>
    <row r="146" spans="2:60" x14ac:dyDescent="0.3">
      <c r="B146" s="6"/>
      <c r="C146" s="10"/>
      <c r="D146" s="48" t="str">
        <f>IF(Tabla_Registro_Tareas1[[#This Row],[Actividad]]=Indice_Aux_Vacio,"",IFERROR(INDEX(plan!$D$4:$D$52,MATCH(Tabla_Registro_Tareas1[[#This Row],[Actividad]],plan!$C$4:$C$52,0)),""))</f>
        <v/>
      </c>
      <c r="E146" s="48" t="str">
        <f>IFERROR(INDEX(plan!$E$4:$E$52,MATCH(Tabla_Registro_Tareas1[[#This Row],[Actividad]],plan!$C$4:$C$52,0)),"")</f>
        <v/>
      </c>
      <c r="F146" s="49" t="str">
        <f>IF(Tabla_Registro_Tareas1[[#This Row],[Actividad]]=Indice_Aux_Vacio,"",Indice_PROBLAM_Estudiante1)</f>
        <v/>
      </c>
      <c r="G146" s="7"/>
      <c r="H146" s="8"/>
      <c r="I146" s="9"/>
      <c r="K146" s="12" t="str" cm="1">
        <f t="array" ref="K146">IF($B146&lt;&gt;"",TRANSPOSE(_xlfn._xlws.FILTER(plan!$C$4:$C$52, ($B146 &gt;= (plan!$J$4:$J$52-Indice_Plan_ExtensionPlazo))*($B146 &lt;= (plan!$K$4:$K$52+Indice_Plan_ExtensionPlazo)), "")), "")</f>
        <v/>
      </c>
      <c r="BH146" s="4"/>
    </row>
    <row r="147" spans="2:60" x14ac:dyDescent="0.3">
      <c r="B147" s="6"/>
      <c r="C147" s="10"/>
      <c r="D147" s="48" t="str">
        <f>IF(Tabla_Registro_Tareas1[[#This Row],[Actividad]]=Indice_Aux_Vacio,"",IFERROR(INDEX(plan!$D$4:$D$52,MATCH(Tabla_Registro_Tareas1[[#This Row],[Actividad]],plan!$C$4:$C$52,0)),""))</f>
        <v/>
      </c>
      <c r="E147" s="48" t="str">
        <f>IFERROR(INDEX(plan!$E$4:$E$52,MATCH(Tabla_Registro_Tareas1[[#This Row],[Actividad]],plan!$C$4:$C$52,0)),"")</f>
        <v/>
      </c>
      <c r="F147" s="49" t="str">
        <f>IF(Tabla_Registro_Tareas1[[#This Row],[Actividad]]=Indice_Aux_Vacio,"",Indice_PROBLAM_Estudiante1)</f>
        <v/>
      </c>
      <c r="G147" s="7"/>
      <c r="H147" s="8"/>
      <c r="I147" s="9"/>
      <c r="K147" s="12" t="str" cm="1">
        <f t="array" ref="K147">IF($B147&lt;&gt;"",TRANSPOSE(_xlfn._xlws.FILTER(plan!$C$4:$C$52, ($B147 &gt;= (plan!$J$4:$J$52-Indice_Plan_ExtensionPlazo))*($B147 &lt;= (plan!$K$4:$K$52+Indice_Plan_ExtensionPlazo)), "")), "")</f>
        <v/>
      </c>
      <c r="BH147" s="4"/>
    </row>
    <row r="148" spans="2:60" x14ac:dyDescent="0.3">
      <c r="B148" s="6"/>
      <c r="C148" s="10"/>
      <c r="D148" s="48" t="str">
        <f>IF(Tabla_Registro_Tareas1[[#This Row],[Actividad]]=Indice_Aux_Vacio,"",IFERROR(INDEX(plan!$D$4:$D$52,MATCH(Tabla_Registro_Tareas1[[#This Row],[Actividad]],plan!$C$4:$C$52,0)),""))</f>
        <v/>
      </c>
      <c r="E148" s="48" t="str">
        <f>IFERROR(INDEX(plan!$E$4:$E$52,MATCH(Tabla_Registro_Tareas1[[#This Row],[Actividad]],plan!$C$4:$C$52,0)),"")</f>
        <v/>
      </c>
      <c r="F148" s="49" t="str">
        <f>IF(Tabla_Registro_Tareas1[[#This Row],[Actividad]]=Indice_Aux_Vacio,"",Indice_PROBLAM_Estudiante1)</f>
        <v/>
      </c>
      <c r="G148" s="7"/>
      <c r="H148" s="8"/>
      <c r="I148" s="9"/>
      <c r="K148" s="12" t="str" cm="1">
        <f t="array" ref="K148">IF($B148&lt;&gt;"",TRANSPOSE(_xlfn._xlws.FILTER(plan!$C$4:$C$52, ($B148 &gt;= (plan!$J$4:$J$52-Indice_Plan_ExtensionPlazo))*($B148 &lt;= (plan!$K$4:$K$52+Indice_Plan_ExtensionPlazo)), "")), "")</f>
        <v/>
      </c>
      <c r="BH148" s="4"/>
    </row>
    <row r="149" spans="2:60" x14ac:dyDescent="0.3">
      <c r="B149" s="6"/>
      <c r="C149" s="10"/>
      <c r="D149" s="48" t="str">
        <f>IF(Tabla_Registro_Tareas1[[#This Row],[Actividad]]=Indice_Aux_Vacio,"",IFERROR(INDEX(plan!$D$4:$D$52,MATCH(Tabla_Registro_Tareas1[[#This Row],[Actividad]],plan!$C$4:$C$52,0)),""))</f>
        <v/>
      </c>
      <c r="E149" s="48" t="str">
        <f>IFERROR(INDEX(plan!$E$4:$E$52,MATCH(Tabla_Registro_Tareas1[[#This Row],[Actividad]],plan!$C$4:$C$52,0)),"")</f>
        <v/>
      </c>
      <c r="F149" s="49" t="str">
        <f>IF(Tabla_Registro_Tareas1[[#This Row],[Actividad]]=Indice_Aux_Vacio,"",Indice_PROBLAM_Estudiante1)</f>
        <v/>
      </c>
      <c r="G149" s="7"/>
      <c r="H149" s="8"/>
      <c r="I149" s="9"/>
      <c r="K149" s="12" t="str" cm="1">
        <f t="array" ref="K149">IF($B149&lt;&gt;"",TRANSPOSE(_xlfn._xlws.FILTER(plan!$C$4:$C$52, ($B149 &gt;= (plan!$J$4:$J$52-Indice_Plan_ExtensionPlazo))*($B149 &lt;= (plan!$K$4:$K$52+Indice_Plan_ExtensionPlazo)), "")), "")</f>
        <v/>
      </c>
      <c r="BH149" s="4"/>
    </row>
    <row r="150" spans="2:60" x14ac:dyDescent="0.3">
      <c r="B150" s="6"/>
      <c r="C150" s="10"/>
      <c r="D150" s="48" t="str">
        <f>IF(Tabla_Registro_Tareas1[[#This Row],[Actividad]]=Indice_Aux_Vacio,"",IFERROR(INDEX(plan!$D$4:$D$52,MATCH(Tabla_Registro_Tareas1[[#This Row],[Actividad]],plan!$C$4:$C$52,0)),""))</f>
        <v/>
      </c>
      <c r="E150" s="48" t="str">
        <f>IFERROR(INDEX(plan!$E$4:$E$52,MATCH(Tabla_Registro_Tareas1[[#This Row],[Actividad]],plan!$C$4:$C$52,0)),"")</f>
        <v/>
      </c>
      <c r="F150" s="49" t="str">
        <f>IF(Tabla_Registro_Tareas1[[#This Row],[Actividad]]=Indice_Aux_Vacio,"",Indice_PROBLAM_Estudiante1)</f>
        <v/>
      </c>
      <c r="G150" s="7"/>
      <c r="H150" s="8"/>
      <c r="I150" s="9"/>
      <c r="K150" s="12" t="str" cm="1">
        <f t="array" ref="K150">IF($B150&lt;&gt;"",TRANSPOSE(_xlfn._xlws.FILTER(plan!$C$4:$C$52, ($B150 &gt;= (plan!$J$4:$J$52-Indice_Plan_ExtensionPlazo))*($B150 &lt;= (plan!$K$4:$K$52+Indice_Plan_ExtensionPlazo)), "")), "")</f>
        <v/>
      </c>
      <c r="BH150" s="4"/>
    </row>
    <row r="151" spans="2:60" x14ac:dyDescent="0.3">
      <c r="B151" s="6"/>
      <c r="C151" s="10"/>
      <c r="D151" s="48" t="str">
        <f>IF(Tabla_Registro_Tareas1[[#This Row],[Actividad]]=Indice_Aux_Vacio,"",IFERROR(INDEX(plan!$D$4:$D$52,MATCH(Tabla_Registro_Tareas1[[#This Row],[Actividad]],plan!$C$4:$C$52,0)),""))</f>
        <v/>
      </c>
      <c r="E151" s="48" t="str">
        <f>IFERROR(INDEX(plan!$E$4:$E$52,MATCH(Tabla_Registro_Tareas1[[#This Row],[Actividad]],plan!$C$4:$C$52,0)),"")</f>
        <v/>
      </c>
      <c r="F151" s="49" t="str">
        <f>IF(Tabla_Registro_Tareas1[[#This Row],[Actividad]]=Indice_Aux_Vacio,"",Indice_PROBLAM_Estudiante1)</f>
        <v/>
      </c>
      <c r="G151" s="7"/>
      <c r="H151" s="8"/>
      <c r="I151" s="9"/>
      <c r="K151" s="12" t="str" cm="1">
        <f t="array" ref="K151">IF($B151&lt;&gt;"",TRANSPOSE(_xlfn._xlws.FILTER(plan!$C$4:$C$52, ($B151 &gt;= (plan!$J$4:$J$52-Indice_Plan_ExtensionPlazo))*($B151 &lt;= (plan!$K$4:$K$52+Indice_Plan_ExtensionPlazo)), "")), "")</f>
        <v/>
      </c>
      <c r="BH151" s="4"/>
    </row>
    <row r="152" spans="2:60" x14ac:dyDescent="0.3">
      <c r="B152" s="6"/>
      <c r="C152" s="10"/>
      <c r="D152" s="48" t="str">
        <f>IF(Tabla_Registro_Tareas1[[#This Row],[Actividad]]=Indice_Aux_Vacio,"",IFERROR(INDEX(plan!$D$4:$D$52,MATCH(Tabla_Registro_Tareas1[[#This Row],[Actividad]],plan!$C$4:$C$52,0)),""))</f>
        <v/>
      </c>
      <c r="E152" s="48" t="str">
        <f>IFERROR(INDEX(plan!$E$4:$E$52,MATCH(Tabla_Registro_Tareas1[[#This Row],[Actividad]],plan!$C$4:$C$52,0)),"")</f>
        <v/>
      </c>
      <c r="F152" s="49" t="str">
        <f>IF(Tabla_Registro_Tareas1[[#This Row],[Actividad]]=Indice_Aux_Vacio,"",Indice_PROBLAM_Estudiante1)</f>
        <v/>
      </c>
      <c r="G152" s="7"/>
      <c r="H152" s="8"/>
      <c r="I152" s="9"/>
      <c r="K152" s="12" t="str" cm="1">
        <f t="array" ref="K152">IF($B152&lt;&gt;"",TRANSPOSE(_xlfn._xlws.FILTER(plan!$C$4:$C$52, ($B152 &gt;= (plan!$J$4:$J$52-Indice_Plan_ExtensionPlazo))*($B152 &lt;= (plan!$K$4:$K$52+Indice_Plan_ExtensionPlazo)), "")), "")</f>
        <v/>
      </c>
      <c r="BH152" s="4"/>
    </row>
    <row r="153" spans="2:60" x14ac:dyDescent="0.3">
      <c r="B153" s="6"/>
      <c r="C153" s="10"/>
      <c r="D153" s="48" t="str">
        <f>IF(Tabla_Registro_Tareas1[[#This Row],[Actividad]]=Indice_Aux_Vacio,"",IFERROR(INDEX(plan!$D$4:$D$52,MATCH(Tabla_Registro_Tareas1[[#This Row],[Actividad]],plan!$C$4:$C$52,0)),""))</f>
        <v/>
      </c>
      <c r="E153" s="48" t="str">
        <f>IFERROR(INDEX(plan!$E$4:$E$52,MATCH(Tabla_Registro_Tareas1[[#This Row],[Actividad]],plan!$C$4:$C$52,0)),"")</f>
        <v/>
      </c>
      <c r="F153" s="49" t="str">
        <f>IF(Tabla_Registro_Tareas1[[#This Row],[Actividad]]=Indice_Aux_Vacio,"",Indice_PROBLAM_Estudiante1)</f>
        <v/>
      </c>
      <c r="G153" s="7"/>
      <c r="H153" s="8"/>
      <c r="I153" s="9"/>
      <c r="K153" s="12" t="str" cm="1">
        <f t="array" ref="K153">IF($B153&lt;&gt;"",TRANSPOSE(_xlfn._xlws.FILTER(plan!$C$4:$C$52, ($B153 &gt;= (plan!$J$4:$J$52-Indice_Plan_ExtensionPlazo))*($B153 &lt;= (plan!$K$4:$K$52+Indice_Plan_ExtensionPlazo)), "")), "")</f>
        <v/>
      </c>
      <c r="BH153" s="4"/>
    </row>
    <row r="154" spans="2:60" x14ac:dyDescent="0.3">
      <c r="B154" s="6"/>
      <c r="C154" s="10"/>
      <c r="D154" s="48" t="str">
        <f>IF(Tabla_Registro_Tareas1[[#This Row],[Actividad]]=Indice_Aux_Vacio,"",IFERROR(INDEX(plan!$D$4:$D$52,MATCH(Tabla_Registro_Tareas1[[#This Row],[Actividad]],plan!$C$4:$C$52,0)),""))</f>
        <v/>
      </c>
      <c r="E154" s="48" t="str">
        <f>IFERROR(INDEX(plan!$E$4:$E$52,MATCH(Tabla_Registro_Tareas1[[#This Row],[Actividad]],plan!$C$4:$C$52,0)),"")</f>
        <v/>
      </c>
      <c r="F154" s="49" t="str">
        <f>IF(Tabla_Registro_Tareas1[[#This Row],[Actividad]]=Indice_Aux_Vacio,"",Indice_PROBLAM_Estudiante1)</f>
        <v/>
      </c>
      <c r="G154" s="7"/>
      <c r="H154" s="8"/>
      <c r="I154" s="9"/>
      <c r="K154" s="12" t="str" cm="1">
        <f t="array" ref="K154">IF($B154&lt;&gt;"",TRANSPOSE(_xlfn._xlws.FILTER(plan!$C$4:$C$52, ($B154 &gt;= (plan!$J$4:$J$52-Indice_Plan_ExtensionPlazo))*($B154 &lt;= (plan!$K$4:$K$52+Indice_Plan_ExtensionPlazo)), "")), "")</f>
        <v/>
      </c>
      <c r="BH154" s="4"/>
    </row>
    <row r="155" spans="2:60" x14ac:dyDescent="0.3">
      <c r="B155" s="6"/>
      <c r="C155" s="10"/>
      <c r="D155" s="48" t="str">
        <f>IF(Tabla_Registro_Tareas1[[#This Row],[Actividad]]=Indice_Aux_Vacio,"",IFERROR(INDEX(plan!$D$4:$D$52,MATCH(Tabla_Registro_Tareas1[[#This Row],[Actividad]],plan!$C$4:$C$52,0)),""))</f>
        <v/>
      </c>
      <c r="E155" s="48" t="str">
        <f>IFERROR(INDEX(plan!$E$4:$E$52,MATCH(Tabla_Registro_Tareas1[[#This Row],[Actividad]],plan!$C$4:$C$52,0)),"")</f>
        <v/>
      </c>
      <c r="F155" s="49" t="str">
        <f>IF(Tabla_Registro_Tareas1[[#This Row],[Actividad]]=Indice_Aux_Vacio,"",Indice_PROBLAM_Estudiante1)</f>
        <v/>
      </c>
      <c r="G155" s="7"/>
      <c r="H155" s="8"/>
      <c r="I155" s="9"/>
      <c r="K155" s="12" t="str" cm="1">
        <f t="array" ref="K155">IF($B155&lt;&gt;"",TRANSPOSE(_xlfn._xlws.FILTER(plan!$C$4:$C$52, ($B155 &gt;= (plan!$J$4:$J$52-Indice_Plan_ExtensionPlazo))*($B155 &lt;= (plan!$K$4:$K$52+Indice_Plan_ExtensionPlazo)), "")), "")</f>
        <v/>
      </c>
      <c r="BH155" s="4"/>
    </row>
    <row r="156" spans="2:60" x14ac:dyDescent="0.3">
      <c r="B156" s="6"/>
      <c r="C156" s="10"/>
      <c r="D156" s="48" t="str">
        <f>IF(Tabla_Registro_Tareas1[[#This Row],[Actividad]]=Indice_Aux_Vacio,"",IFERROR(INDEX(plan!$D$4:$D$52,MATCH(Tabla_Registro_Tareas1[[#This Row],[Actividad]],plan!$C$4:$C$52,0)),""))</f>
        <v/>
      </c>
      <c r="E156" s="48" t="str">
        <f>IFERROR(INDEX(plan!$E$4:$E$52,MATCH(Tabla_Registro_Tareas1[[#This Row],[Actividad]],plan!$C$4:$C$52,0)),"")</f>
        <v/>
      </c>
      <c r="F156" s="49" t="str">
        <f>IF(Tabla_Registro_Tareas1[[#This Row],[Actividad]]=Indice_Aux_Vacio,"",Indice_PROBLAM_Estudiante1)</f>
        <v/>
      </c>
      <c r="G156" s="7"/>
      <c r="H156" s="8"/>
      <c r="I156" s="9"/>
      <c r="K156" s="12" t="str" cm="1">
        <f t="array" ref="K156">IF($B156&lt;&gt;"",TRANSPOSE(_xlfn._xlws.FILTER(plan!$C$4:$C$52, ($B156 &gt;= (plan!$J$4:$J$52-Indice_Plan_ExtensionPlazo))*($B156 &lt;= (plan!$K$4:$K$52+Indice_Plan_ExtensionPlazo)), "")), "")</f>
        <v/>
      </c>
      <c r="BH156" s="4"/>
    </row>
    <row r="157" spans="2:60" x14ac:dyDescent="0.3">
      <c r="B157" s="6"/>
      <c r="C157" s="10"/>
      <c r="D157" s="48" t="str">
        <f>IF(Tabla_Registro_Tareas1[[#This Row],[Actividad]]=Indice_Aux_Vacio,"",IFERROR(INDEX(plan!$D$4:$D$52,MATCH(Tabla_Registro_Tareas1[[#This Row],[Actividad]],plan!$C$4:$C$52,0)),""))</f>
        <v/>
      </c>
      <c r="E157" s="48" t="str">
        <f>IFERROR(INDEX(plan!$E$4:$E$52,MATCH(Tabla_Registro_Tareas1[[#This Row],[Actividad]],plan!$C$4:$C$52,0)),"")</f>
        <v/>
      </c>
      <c r="F157" s="49" t="str">
        <f>IF(Tabla_Registro_Tareas1[[#This Row],[Actividad]]=Indice_Aux_Vacio,"",Indice_PROBLAM_Estudiante1)</f>
        <v/>
      </c>
      <c r="G157" s="7"/>
      <c r="H157" s="8"/>
      <c r="I157" s="9"/>
      <c r="K157" s="12" t="str" cm="1">
        <f t="array" ref="K157">IF($B157&lt;&gt;"",TRANSPOSE(_xlfn._xlws.FILTER(plan!$C$4:$C$52, ($B157 &gt;= (plan!$J$4:$J$52-Indice_Plan_ExtensionPlazo))*($B157 &lt;= (plan!$K$4:$K$52+Indice_Plan_ExtensionPlazo)), "")), "")</f>
        <v/>
      </c>
      <c r="BH157" s="4"/>
    </row>
    <row r="158" spans="2:60" x14ac:dyDescent="0.3">
      <c r="B158" s="6"/>
      <c r="C158" s="10"/>
      <c r="D158" s="48" t="str">
        <f>IF(Tabla_Registro_Tareas1[[#This Row],[Actividad]]=Indice_Aux_Vacio,"",IFERROR(INDEX(plan!$D$4:$D$52,MATCH(Tabla_Registro_Tareas1[[#This Row],[Actividad]],plan!$C$4:$C$52,0)),""))</f>
        <v/>
      </c>
      <c r="E158" s="48" t="str">
        <f>IFERROR(INDEX(plan!$E$4:$E$52,MATCH(Tabla_Registro_Tareas1[[#This Row],[Actividad]],plan!$C$4:$C$52,0)),"")</f>
        <v/>
      </c>
      <c r="F158" s="49" t="str">
        <f>IF(Tabla_Registro_Tareas1[[#This Row],[Actividad]]=Indice_Aux_Vacio,"",Indice_PROBLAM_Estudiante1)</f>
        <v/>
      </c>
      <c r="G158" s="7"/>
      <c r="H158" s="8"/>
      <c r="I158" s="9"/>
      <c r="K158" s="12" t="str" cm="1">
        <f t="array" ref="K158">IF($B158&lt;&gt;"",TRANSPOSE(_xlfn._xlws.FILTER(plan!$C$4:$C$52, ($B158 &gt;= (plan!$J$4:$J$52-Indice_Plan_ExtensionPlazo))*($B158 &lt;= (plan!$K$4:$K$52+Indice_Plan_ExtensionPlazo)), "")), "")</f>
        <v/>
      </c>
      <c r="BH158" s="4"/>
    </row>
    <row r="159" spans="2:60" x14ac:dyDescent="0.3">
      <c r="B159" s="6"/>
      <c r="C159" s="10"/>
      <c r="D159" s="48" t="str">
        <f>IF(Tabla_Registro_Tareas1[[#This Row],[Actividad]]=Indice_Aux_Vacio,"",IFERROR(INDEX(plan!$D$4:$D$52,MATCH(Tabla_Registro_Tareas1[[#This Row],[Actividad]],plan!$C$4:$C$52,0)),""))</f>
        <v/>
      </c>
      <c r="E159" s="48" t="str">
        <f>IFERROR(INDEX(plan!$E$4:$E$52,MATCH(Tabla_Registro_Tareas1[[#This Row],[Actividad]],plan!$C$4:$C$52,0)),"")</f>
        <v/>
      </c>
      <c r="F159" s="49" t="str">
        <f>IF(Tabla_Registro_Tareas1[[#This Row],[Actividad]]=Indice_Aux_Vacio,"",Indice_PROBLAM_Estudiante1)</f>
        <v/>
      </c>
      <c r="G159" s="7"/>
      <c r="H159" s="8"/>
      <c r="I159" s="9"/>
      <c r="K159" s="12" t="str" cm="1">
        <f t="array" ref="K159">IF($B159&lt;&gt;"",TRANSPOSE(_xlfn._xlws.FILTER(plan!$C$4:$C$52, ($B159 &gt;= (plan!$J$4:$J$52-Indice_Plan_ExtensionPlazo))*($B159 &lt;= (plan!$K$4:$K$52+Indice_Plan_ExtensionPlazo)), "")), "")</f>
        <v/>
      </c>
      <c r="BH159" s="4"/>
    </row>
    <row r="160" spans="2:60" x14ac:dyDescent="0.3">
      <c r="B160" s="6"/>
      <c r="C160" s="10"/>
      <c r="D160" s="48" t="str">
        <f>IF(Tabla_Registro_Tareas1[[#This Row],[Actividad]]=Indice_Aux_Vacio,"",IFERROR(INDEX(plan!$D$4:$D$52,MATCH(Tabla_Registro_Tareas1[[#This Row],[Actividad]],plan!$C$4:$C$52,0)),""))</f>
        <v/>
      </c>
      <c r="E160" s="48" t="str">
        <f>IFERROR(INDEX(plan!$E$4:$E$52,MATCH(Tabla_Registro_Tareas1[[#This Row],[Actividad]],plan!$C$4:$C$52,0)),"")</f>
        <v/>
      </c>
      <c r="F160" s="49" t="str">
        <f>IF(Tabla_Registro_Tareas1[[#This Row],[Actividad]]=Indice_Aux_Vacio,"",Indice_PROBLAM_Estudiante1)</f>
        <v/>
      </c>
      <c r="G160" s="7"/>
      <c r="H160" s="8"/>
      <c r="I160" s="9"/>
      <c r="K160" s="12" t="str" cm="1">
        <f t="array" ref="K160">IF($B160&lt;&gt;"",TRANSPOSE(_xlfn._xlws.FILTER(plan!$C$4:$C$52, ($B160 &gt;= (plan!$J$4:$J$52-Indice_Plan_ExtensionPlazo))*($B160 &lt;= (plan!$K$4:$K$52+Indice_Plan_ExtensionPlazo)), "")), "")</f>
        <v/>
      </c>
      <c r="BH160" s="4"/>
    </row>
    <row r="161" spans="2:60" x14ac:dyDescent="0.3">
      <c r="B161" s="6"/>
      <c r="C161" s="10"/>
      <c r="D161" s="48" t="str">
        <f>IF(Tabla_Registro_Tareas1[[#This Row],[Actividad]]=Indice_Aux_Vacio,"",IFERROR(INDEX(plan!$D$4:$D$52,MATCH(Tabla_Registro_Tareas1[[#This Row],[Actividad]],plan!$C$4:$C$52,0)),""))</f>
        <v/>
      </c>
      <c r="E161" s="48" t="str">
        <f>IFERROR(INDEX(plan!$E$4:$E$52,MATCH(Tabla_Registro_Tareas1[[#This Row],[Actividad]],plan!$C$4:$C$52,0)),"")</f>
        <v/>
      </c>
      <c r="F161" s="49" t="str">
        <f>IF(Tabla_Registro_Tareas1[[#This Row],[Actividad]]=Indice_Aux_Vacio,"",Indice_PROBLAM_Estudiante1)</f>
        <v/>
      </c>
      <c r="G161" s="7"/>
      <c r="H161" s="8"/>
      <c r="I161" s="9"/>
      <c r="K161" s="12" t="str" cm="1">
        <f t="array" ref="K161">IF($B161&lt;&gt;"",TRANSPOSE(_xlfn._xlws.FILTER(plan!$C$4:$C$52, ($B161 &gt;= (plan!$J$4:$J$52-Indice_Plan_ExtensionPlazo))*($B161 &lt;= (plan!$K$4:$K$52+Indice_Plan_ExtensionPlazo)), "")), "")</f>
        <v/>
      </c>
      <c r="BH161" s="4"/>
    </row>
    <row r="162" spans="2:60" x14ac:dyDescent="0.3">
      <c r="B162" s="6"/>
      <c r="C162" s="10"/>
      <c r="D162" s="48" t="str">
        <f>IF(Tabla_Registro_Tareas1[[#This Row],[Actividad]]=Indice_Aux_Vacio,"",IFERROR(INDEX(plan!$D$4:$D$52,MATCH(Tabla_Registro_Tareas1[[#This Row],[Actividad]],plan!$C$4:$C$52,0)),""))</f>
        <v/>
      </c>
      <c r="E162" s="48" t="str">
        <f>IFERROR(INDEX(plan!$E$4:$E$52,MATCH(Tabla_Registro_Tareas1[[#This Row],[Actividad]],plan!$C$4:$C$52,0)),"")</f>
        <v/>
      </c>
      <c r="F162" s="49" t="str">
        <f>IF(Tabla_Registro_Tareas1[[#This Row],[Actividad]]=Indice_Aux_Vacio,"",Indice_PROBLAM_Estudiante1)</f>
        <v/>
      </c>
      <c r="G162" s="7"/>
      <c r="H162" s="8"/>
      <c r="I162" s="9"/>
      <c r="K162" s="12" t="str" cm="1">
        <f t="array" ref="K162">IF($B162&lt;&gt;"",TRANSPOSE(_xlfn._xlws.FILTER(plan!$C$4:$C$52, ($B162 &gt;= (plan!$J$4:$J$52-Indice_Plan_ExtensionPlazo))*($B162 &lt;= (plan!$K$4:$K$52+Indice_Plan_ExtensionPlazo)), "")), "")</f>
        <v/>
      </c>
      <c r="BH162" s="4"/>
    </row>
    <row r="163" spans="2:60" x14ac:dyDescent="0.3">
      <c r="B163" s="6"/>
      <c r="C163" s="10"/>
      <c r="D163" s="48" t="str">
        <f>IF(Tabla_Registro_Tareas1[[#This Row],[Actividad]]=Indice_Aux_Vacio,"",IFERROR(INDEX(plan!$D$4:$D$52,MATCH(Tabla_Registro_Tareas1[[#This Row],[Actividad]],plan!$C$4:$C$52,0)),""))</f>
        <v/>
      </c>
      <c r="E163" s="48" t="str">
        <f>IFERROR(INDEX(plan!$E$4:$E$52,MATCH(Tabla_Registro_Tareas1[[#This Row],[Actividad]],plan!$C$4:$C$52,0)),"")</f>
        <v/>
      </c>
      <c r="F163" s="49" t="str">
        <f>IF(Tabla_Registro_Tareas1[[#This Row],[Actividad]]=Indice_Aux_Vacio,"",Indice_PROBLAM_Estudiante1)</f>
        <v/>
      </c>
      <c r="G163" s="7"/>
      <c r="H163" s="8"/>
      <c r="I163" s="9"/>
      <c r="K163" s="12" t="str" cm="1">
        <f t="array" ref="K163">IF($B163&lt;&gt;"",TRANSPOSE(_xlfn._xlws.FILTER(plan!$C$4:$C$52, ($B163 &gt;= (plan!$J$4:$J$52-Indice_Plan_ExtensionPlazo))*($B163 &lt;= (plan!$K$4:$K$52+Indice_Plan_ExtensionPlazo)), "")), "")</f>
        <v/>
      </c>
      <c r="BH163" s="4"/>
    </row>
    <row r="164" spans="2:60" x14ac:dyDescent="0.3">
      <c r="B164" s="6"/>
      <c r="C164" s="10"/>
      <c r="D164" s="48" t="str">
        <f>IF(Tabla_Registro_Tareas1[[#This Row],[Actividad]]=Indice_Aux_Vacio,"",IFERROR(INDEX(plan!$D$4:$D$52,MATCH(Tabla_Registro_Tareas1[[#This Row],[Actividad]],plan!$C$4:$C$52,0)),""))</f>
        <v/>
      </c>
      <c r="E164" s="48" t="str">
        <f>IFERROR(INDEX(plan!$E$4:$E$52,MATCH(Tabla_Registro_Tareas1[[#This Row],[Actividad]],plan!$C$4:$C$52,0)),"")</f>
        <v/>
      </c>
      <c r="F164" s="49" t="str">
        <f>IF(Tabla_Registro_Tareas1[[#This Row],[Actividad]]=Indice_Aux_Vacio,"",Indice_PROBLAM_Estudiante1)</f>
        <v/>
      </c>
      <c r="G164" s="7"/>
      <c r="H164" s="8"/>
      <c r="I164" s="9"/>
      <c r="K164" s="12" t="str" cm="1">
        <f t="array" ref="K164">IF($B164&lt;&gt;"",TRANSPOSE(_xlfn._xlws.FILTER(plan!$C$4:$C$52, ($B164 &gt;= (plan!$J$4:$J$52-Indice_Plan_ExtensionPlazo))*($B164 &lt;= (plan!$K$4:$K$52+Indice_Plan_ExtensionPlazo)), "")), "")</f>
        <v/>
      </c>
      <c r="BH164" s="4"/>
    </row>
    <row r="165" spans="2:60" x14ac:dyDescent="0.3">
      <c r="B165" s="6"/>
      <c r="C165" s="10"/>
      <c r="D165" s="48" t="str">
        <f>IF(Tabla_Registro_Tareas1[[#This Row],[Actividad]]=Indice_Aux_Vacio,"",IFERROR(INDEX(plan!$D$4:$D$52,MATCH(Tabla_Registro_Tareas1[[#This Row],[Actividad]],plan!$C$4:$C$52,0)),""))</f>
        <v/>
      </c>
      <c r="E165" s="48" t="str">
        <f>IFERROR(INDEX(plan!$E$4:$E$52,MATCH(Tabla_Registro_Tareas1[[#This Row],[Actividad]],plan!$C$4:$C$52,0)),"")</f>
        <v/>
      </c>
      <c r="F165" s="49" t="str">
        <f>IF(Tabla_Registro_Tareas1[[#This Row],[Actividad]]=Indice_Aux_Vacio,"",Indice_PROBLAM_Estudiante1)</f>
        <v/>
      </c>
      <c r="G165" s="7"/>
      <c r="H165" s="8"/>
      <c r="I165" s="9"/>
      <c r="K165" s="12" t="str" cm="1">
        <f t="array" ref="K165">IF($B165&lt;&gt;"",TRANSPOSE(_xlfn._xlws.FILTER(plan!$C$4:$C$52, ($B165 &gt;= (plan!$J$4:$J$52-Indice_Plan_ExtensionPlazo))*($B165 &lt;= (plan!$K$4:$K$52+Indice_Plan_ExtensionPlazo)), "")), "")</f>
        <v/>
      </c>
      <c r="BH165" s="4"/>
    </row>
    <row r="166" spans="2:60" x14ac:dyDescent="0.3">
      <c r="B166" s="6"/>
      <c r="C166" s="10"/>
      <c r="D166" s="48" t="str">
        <f>IF(Tabla_Registro_Tareas1[[#This Row],[Actividad]]=Indice_Aux_Vacio,"",IFERROR(INDEX(plan!$D$4:$D$52,MATCH(Tabla_Registro_Tareas1[[#This Row],[Actividad]],plan!$C$4:$C$52,0)),""))</f>
        <v/>
      </c>
      <c r="E166" s="48" t="str">
        <f>IFERROR(INDEX(plan!$E$4:$E$52,MATCH(Tabla_Registro_Tareas1[[#This Row],[Actividad]],plan!$C$4:$C$52,0)),"")</f>
        <v/>
      </c>
      <c r="F166" s="49" t="str">
        <f>IF(Tabla_Registro_Tareas1[[#This Row],[Actividad]]=Indice_Aux_Vacio,"",Indice_PROBLAM_Estudiante1)</f>
        <v/>
      </c>
      <c r="G166" s="7"/>
      <c r="H166" s="8"/>
      <c r="I166" s="9"/>
      <c r="K166" s="12" t="str" cm="1">
        <f t="array" ref="K166">IF($B166&lt;&gt;"",TRANSPOSE(_xlfn._xlws.FILTER(plan!$C$4:$C$52, ($B166 &gt;= (plan!$J$4:$J$52-Indice_Plan_ExtensionPlazo))*($B166 &lt;= (plan!$K$4:$K$52+Indice_Plan_ExtensionPlazo)), "")), "")</f>
        <v/>
      </c>
      <c r="BH166" s="4"/>
    </row>
    <row r="167" spans="2:60" x14ac:dyDescent="0.3">
      <c r="B167" s="6"/>
      <c r="C167" s="10"/>
      <c r="D167" s="48" t="str">
        <f>IF(Tabla_Registro_Tareas1[[#This Row],[Actividad]]=Indice_Aux_Vacio,"",IFERROR(INDEX(plan!$D$4:$D$52,MATCH(Tabla_Registro_Tareas1[[#This Row],[Actividad]],plan!$C$4:$C$52,0)),""))</f>
        <v/>
      </c>
      <c r="E167" s="48" t="str">
        <f>IFERROR(INDEX(plan!$E$4:$E$52,MATCH(Tabla_Registro_Tareas1[[#This Row],[Actividad]],plan!$C$4:$C$52,0)),"")</f>
        <v/>
      </c>
      <c r="F167" s="49" t="str">
        <f>IF(Tabla_Registro_Tareas1[[#This Row],[Actividad]]=Indice_Aux_Vacio,"",Indice_PROBLAM_Estudiante1)</f>
        <v/>
      </c>
      <c r="G167" s="7"/>
      <c r="H167" s="8"/>
      <c r="I167" s="9"/>
      <c r="K167" s="12" t="str" cm="1">
        <f t="array" ref="K167">IF($B167&lt;&gt;"",TRANSPOSE(_xlfn._xlws.FILTER(plan!$C$4:$C$52, ($B167 &gt;= (plan!$J$4:$J$52-Indice_Plan_ExtensionPlazo))*($B167 &lt;= (plan!$K$4:$K$52+Indice_Plan_ExtensionPlazo)), "")), "")</f>
        <v/>
      </c>
      <c r="BH167" s="4"/>
    </row>
    <row r="168" spans="2:60" x14ac:dyDescent="0.3">
      <c r="B168" s="6"/>
      <c r="C168" s="10"/>
      <c r="D168" s="48" t="str">
        <f>IF(Tabla_Registro_Tareas1[[#This Row],[Actividad]]=Indice_Aux_Vacio,"",IFERROR(INDEX(plan!$D$4:$D$52,MATCH(Tabla_Registro_Tareas1[[#This Row],[Actividad]],plan!$C$4:$C$52,0)),""))</f>
        <v/>
      </c>
      <c r="E168" s="48" t="str">
        <f>IFERROR(INDEX(plan!$E$4:$E$52,MATCH(Tabla_Registro_Tareas1[[#This Row],[Actividad]],plan!$C$4:$C$52,0)),"")</f>
        <v/>
      </c>
      <c r="F168" s="49" t="str">
        <f>IF(Tabla_Registro_Tareas1[[#This Row],[Actividad]]=Indice_Aux_Vacio,"",Indice_PROBLAM_Estudiante1)</f>
        <v/>
      </c>
      <c r="G168" s="7"/>
      <c r="H168" s="8"/>
      <c r="I168" s="9"/>
      <c r="K168" s="12" t="str" cm="1">
        <f t="array" ref="K168">IF($B168&lt;&gt;"",TRANSPOSE(_xlfn._xlws.FILTER(plan!$C$4:$C$52, ($B168 &gt;= (plan!$J$4:$J$52-Indice_Plan_ExtensionPlazo))*($B168 &lt;= (plan!$K$4:$K$52+Indice_Plan_ExtensionPlazo)), "")), "")</f>
        <v/>
      </c>
      <c r="BH168" s="4"/>
    </row>
    <row r="169" spans="2:60" x14ac:dyDescent="0.3">
      <c r="B169" s="6"/>
      <c r="C169" s="10"/>
      <c r="D169" s="48" t="str">
        <f>IF(Tabla_Registro_Tareas1[[#This Row],[Actividad]]=Indice_Aux_Vacio,"",IFERROR(INDEX(plan!$D$4:$D$52,MATCH(Tabla_Registro_Tareas1[[#This Row],[Actividad]],plan!$C$4:$C$52,0)),""))</f>
        <v/>
      </c>
      <c r="E169" s="48" t="str">
        <f>IFERROR(INDEX(plan!$E$4:$E$52,MATCH(Tabla_Registro_Tareas1[[#This Row],[Actividad]],plan!$C$4:$C$52,0)),"")</f>
        <v/>
      </c>
      <c r="F169" s="49" t="str">
        <f>IF(Tabla_Registro_Tareas1[[#This Row],[Actividad]]=Indice_Aux_Vacio,"",Indice_PROBLAM_Estudiante1)</f>
        <v/>
      </c>
      <c r="G169" s="7"/>
      <c r="H169" s="8"/>
      <c r="I169" s="9"/>
      <c r="K169" s="12" t="str" cm="1">
        <f t="array" ref="K169">IF($B169&lt;&gt;"",TRANSPOSE(_xlfn._xlws.FILTER(plan!$C$4:$C$52, ($B169 &gt;= (plan!$J$4:$J$52-Indice_Plan_ExtensionPlazo))*($B169 &lt;= (plan!$K$4:$K$52+Indice_Plan_ExtensionPlazo)), "")), "")</f>
        <v/>
      </c>
      <c r="BH169" s="4"/>
    </row>
    <row r="170" spans="2:60" x14ac:dyDescent="0.3">
      <c r="B170" s="6"/>
      <c r="C170" s="10"/>
      <c r="D170" s="48" t="str">
        <f>IF(Tabla_Registro_Tareas1[[#This Row],[Actividad]]=Indice_Aux_Vacio,"",IFERROR(INDEX(plan!$D$4:$D$52,MATCH(Tabla_Registro_Tareas1[[#This Row],[Actividad]],plan!$C$4:$C$52,0)),""))</f>
        <v/>
      </c>
      <c r="E170" s="48" t="str">
        <f>IFERROR(INDEX(plan!$E$4:$E$52,MATCH(Tabla_Registro_Tareas1[[#This Row],[Actividad]],plan!$C$4:$C$52,0)),"")</f>
        <v/>
      </c>
      <c r="F170" s="49" t="str">
        <f>IF(Tabla_Registro_Tareas1[[#This Row],[Actividad]]=Indice_Aux_Vacio,"",Indice_PROBLAM_Estudiante1)</f>
        <v/>
      </c>
      <c r="G170" s="7"/>
      <c r="H170" s="8"/>
      <c r="I170" s="9"/>
      <c r="K170" s="12" t="str" cm="1">
        <f t="array" ref="K170">IF($B170&lt;&gt;"",TRANSPOSE(_xlfn._xlws.FILTER(plan!$C$4:$C$52, ($B170 &gt;= (plan!$J$4:$J$52-Indice_Plan_ExtensionPlazo))*($B170 &lt;= (plan!$K$4:$K$52+Indice_Plan_ExtensionPlazo)), "")), "")</f>
        <v/>
      </c>
      <c r="BH170" s="4"/>
    </row>
    <row r="171" spans="2:60" x14ac:dyDescent="0.3">
      <c r="B171" s="6"/>
      <c r="C171" s="10"/>
      <c r="D171" s="48" t="str">
        <f>IF(Tabla_Registro_Tareas1[[#This Row],[Actividad]]=Indice_Aux_Vacio,"",IFERROR(INDEX(plan!$D$4:$D$52,MATCH(Tabla_Registro_Tareas1[[#This Row],[Actividad]],plan!$C$4:$C$52,0)),""))</f>
        <v/>
      </c>
      <c r="E171" s="48" t="str">
        <f>IFERROR(INDEX(plan!$E$4:$E$52,MATCH(Tabla_Registro_Tareas1[[#This Row],[Actividad]],plan!$C$4:$C$52,0)),"")</f>
        <v/>
      </c>
      <c r="F171" s="49" t="str">
        <f>IF(Tabla_Registro_Tareas1[[#This Row],[Actividad]]=Indice_Aux_Vacio,"",Indice_PROBLAM_Estudiante1)</f>
        <v/>
      </c>
      <c r="G171" s="7"/>
      <c r="H171" s="8"/>
      <c r="I171" s="9"/>
      <c r="K171" s="12" t="str" cm="1">
        <f t="array" ref="K171">IF($B171&lt;&gt;"",TRANSPOSE(_xlfn._xlws.FILTER(plan!$C$4:$C$52, ($B171 &gt;= (plan!$J$4:$J$52-Indice_Plan_ExtensionPlazo))*($B171 &lt;= (plan!$K$4:$K$52+Indice_Plan_ExtensionPlazo)), "")), "")</f>
        <v/>
      </c>
      <c r="BH171" s="4"/>
    </row>
    <row r="172" spans="2:60" x14ac:dyDescent="0.3">
      <c r="B172" s="6"/>
      <c r="C172" s="10"/>
      <c r="D172" s="48" t="str">
        <f>IF(Tabla_Registro_Tareas1[[#This Row],[Actividad]]=Indice_Aux_Vacio,"",IFERROR(INDEX(plan!$D$4:$D$52,MATCH(Tabla_Registro_Tareas1[[#This Row],[Actividad]],plan!$C$4:$C$52,0)),""))</f>
        <v/>
      </c>
      <c r="E172" s="48" t="str">
        <f>IFERROR(INDEX(plan!$E$4:$E$52,MATCH(Tabla_Registro_Tareas1[[#This Row],[Actividad]],plan!$C$4:$C$52,0)),"")</f>
        <v/>
      </c>
      <c r="F172" s="49" t="str">
        <f>IF(Tabla_Registro_Tareas1[[#This Row],[Actividad]]=Indice_Aux_Vacio,"",Indice_PROBLAM_Estudiante1)</f>
        <v/>
      </c>
      <c r="G172" s="7"/>
      <c r="H172" s="8"/>
      <c r="I172" s="9"/>
      <c r="K172" s="12" t="str" cm="1">
        <f t="array" ref="K172">IF($B172&lt;&gt;"",TRANSPOSE(_xlfn._xlws.FILTER(plan!$C$4:$C$52, ($B172 &gt;= (plan!$J$4:$J$52-Indice_Plan_ExtensionPlazo))*($B172 &lt;= (plan!$K$4:$K$52+Indice_Plan_ExtensionPlazo)), "")), "")</f>
        <v/>
      </c>
      <c r="BH172" s="4"/>
    </row>
    <row r="173" spans="2:60" x14ac:dyDescent="0.3">
      <c r="B173" s="6"/>
      <c r="C173" s="10"/>
      <c r="D173" s="48" t="str">
        <f>IF(Tabla_Registro_Tareas1[[#This Row],[Actividad]]=Indice_Aux_Vacio,"",IFERROR(INDEX(plan!$D$4:$D$52,MATCH(Tabla_Registro_Tareas1[[#This Row],[Actividad]],plan!$C$4:$C$52,0)),""))</f>
        <v/>
      </c>
      <c r="E173" s="48" t="str">
        <f>IFERROR(INDEX(plan!$E$4:$E$52,MATCH(Tabla_Registro_Tareas1[[#This Row],[Actividad]],plan!$C$4:$C$52,0)),"")</f>
        <v/>
      </c>
      <c r="F173" s="49" t="str">
        <f>IF(Tabla_Registro_Tareas1[[#This Row],[Actividad]]=Indice_Aux_Vacio,"",Indice_PROBLAM_Estudiante1)</f>
        <v/>
      </c>
      <c r="G173" s="7"/>
      <c r="H173" s="8"/>
      <c r="I173" s="9"/>
      <c r="K173" s="12" t="str" cm="1">
        <f t="array" ref="K173">IF($B173&lt;&gt;"",TRANSPOSE(_xlfn._xlws.FILTER(plan!$C$4:$C$52, ($B173 &gt;= (plan!$J$4:$J$52-Indice_Plan_ExtensionPlazo))*($B173 &lt;= (plan!$K$4:$K$52+Indice_Plan_ExtensionPlazo)), "")), "")</f>
        <v/>
      </c>
      <c r="BH173" s="4"/>
    </row>
    <row r="174" spans="2:60" x14ac:dyDescent="0.3">
      <c r="B174" s="6"/>
      <c r="C174" s="10"/>
      <c r="D174" s="48" t="str">
        <f>IF(Tabla_Registro_Tareas1[[#This Row],[Actividad]]=Indice_Aux_Vacio,"",IFERROR(INDEX(plan!$D$4:$D$52,MATCH(Tabla_Registro_Tareas1[[#This Row],[Actividad]],plan!$C$4:$C$52,0)),""))</f>
        <v/>
      </c>
      <c r="E174" s="48" t="str">
        <f>IFERROR(INDEX(plan!$E$4:$E$52,MATCH(Tabla_Registro_Tareas1[[#This Row],[Actividad]],plan!$C$4:$C$52,0)),"")</f>
        <v/>
      </c>
      <c r="F174" s="49" t="str">
        <f>IF(Tabla_Registro_Tareas1[[#This Row],[Actividad]]=Indice_Aux_Vacio,"",Indice_PROBLAM_Estudiante1)</f>
        <v/>
      </c>
      <c r="G174" s="7"/>
      <c r="H174" s="8"/>
      <c r="I174" s="9"/>
      <c r="K174" s="12" t="str" cm="1">
        <f t="array" ref="K174">IF($B174&lt;&gt;"",TRANSPOSE(_xlfn._xlws.FILTER(plan!$C$4:$C$52, ($B174 &gt;= (plan!$J$4:$J$52-Indice_Plan_ExtensionPlazo))*($B174 &lt;= (plan!$K$4:$K$52+Indice_Plan_ExtensionPlazo)), "")), "")</f>
        <v/>
      </c>
      <c r="BH174" s="4"/>
    </row>
    <row r="175" spans="2:60" x14ac:dyDescent="0.3">
      <c r="B175" s="6"/>
      <c r="C175" s="10"/>
      <c r="D175" s="48" t="str">
        <f>IF(Tabla_Registro_Tareas1[[#This Row],[Actividad]]=Indice_Aux_Vacio,"",IFERROR(INDEX(plan!$D$4:$D$52,MATCH(Tabla_Registro_Tareas1[[#This Row],[Actividad]],plan!$C$4:$C$52,0)),""))</f>
        <v/>
      </c>
      <c r="E175" s="48" t="str">
        <f>IFERROR(INDEX(plan!$E$4:$E$52,MATCH(Tabla_Registro_Tareas1[[#This Row],[Actividad]],plan!$C$4:$C$52,0)),"")</f>
        <v/>
      </c>
      <c r="F175" s="49" t="str">
        <f>IF(Tabla_Registro_Tareas1[[#This Row],[Actividad]]=Indice_Aux_Vacio,"",Indice_PROBLAM_Estudiante1)</f>
        <v/>
      </c>
      <c r="G175" s="7"/>
      <c r="H175" s="8"/>
      <c r="I175" s="9"/>
      <c r="K175" s="12" t="str" cm="1">
        <f t="array" ref="K175">IF($B175&lt;&gt;"",TRANSPOSE(_xlfn._xlws.FILTER(plan!$C$4:$C$52, ($B175 &gt;= (plan!$J$4:$J$52-Indice_Plan_ExtensionPlazo))*($B175 &lt;= (plan!$K$4:$K$52+Indice_Plan_ExtensionPlazo)), "")), "")</f>
        <v/>
      </c>
      <c r="BH175" s="4"/>
    </row>
    <row r="176" spans="2:60" x14ac:dyDescent="0.3">
      <c r="B176" s="6"/>
      <c r="C176" s="10"/>
      <c r="D176" s="48" t="str">
        <f>IF(Tabla_Registro_Tareas1[[#This Row],[Actividad]]=Indice_Aux_Vacio,"",IFERROR(INDEX(plan!$D$4:$D$52,MATCH(Tabla_Registro_Tareas1[[#This Row],[Actividad]],plan!$C$4:$C$52,0)),""))</f>
        <v/>
      </c>
      <c r="E176" s="48" t="str">
        <f>IFERROR(INDEX(plan!$E$4:$E$52,MATCH(Tabla_Registro_Tareas1[[#This Row],[Actividad]],plan!$C$4:$C$52,0)),"")</f>
        <v/>
      </c>
      <c r="F176" s="49" t="str">
        <f>IF(Tabla_Registro_Tareas1[[#This Row],[Actividad]]=Indice_Aux_Vacio,"",Indice_PROBLAM_Estudiante1)</f>
        <v/>
      </c>
      <c r="G176" s="7"/>
      <c r="H176" s="8"/>
      <c r="I176" s="9"/>
      <c r="K176" s="12" t="str" cm="1">
        <f t="array" ref="K176">IF($B176&lt;&gt;"",TRANSPOSE(_xlfn._xlws.FILTER(plan!$C$4:$C$52, ($B176 &gt;= (plan!$J$4:$J$52-Indice_Plan_ExtensionPlazo))*($B176 &lt;= (plan!$K$4:$K$52+Indice_Plan_ExtensionPlazo)), "")), "")</f>
        <v/>
      </c>
      <c r="BH176" s="4"/>
    </row>
    <row r="177" spans="2:60" x14ac:dyDescent="0.3">
      <c r="B177" s="6"/>
      <c r="C177" s="10"/>
      <c r="D177" s="48" t="str">
        <f>IF(Tabla_Registro_Tareas1[[#This Row],[Actividad]]=Indice_Aux_Vacio,"",IFERROR(INDEX(plan!$D$4:$D$52,MATCH(Tabla_Registro_Tareas1[[#This Row],[Actividad]],plan!$C$4:$C$52,0)),""))</f>
        <v/>
      </c>
      <c r="E177" s="48" t="str">
        <f>IFERROR(INDEX(plan!$E$4:$E$52,MATCH(Tabla_Registro_Tareas1[[#This Row],[Actividad]],plan!$C$4:$C$52,0)),"")</f>
        <v/>
      </c>
      <c r="F177" s="49" t="str">
        <f>IF(Tabla_Registro_Tareas1[[#This Row],[Actividad]]=Indice_Aux_Vacio,"",Indice_PROBLAM_Estudiante1)</f>
        <v/>
      </c>
      <c r="G177" s="7"/>
      <c r="H177" s="8"/>
      <c r="I177" s="9"/>
      <c r="K177" s="12" t="str" cm="1">
        <f t="array" ref="K177">IF($B177&lt;&gt;"",TRANSPOSE(_xlfn._xlws.FILTER(plan!$C$4:$C$52, ($B177 &gt;= (plan!$J$4:$J$52-Indice_Plan_ExtensionPlazo))*($B177 &lt;= (plan!$K$4:$K$52+Indice_Plan_ExtensionPlazo)), "")), "")</f>
        <v/>
      </c>
      <c r="BH177" s="4"/>
    </row>
    <row r="178" spans="2:60" x14ac:dyDescent="0.3">
      <c r="B178" s="6"/>
      <c r="C178" s="10"/>
      <c r="D178" s="48" t="str">
        <f>IF(Tabla_Registro_Tareas1[[#This Row],[Actividad]]=Indice_Aux_Vacio,"",IFERROR(INDEX(plan!$D$4:$D$52,MATCH(Tabla_Registro_Tareas1[[#This Row],[Actividad]],plan!$C$4:$C$52,0)),""))</f>
        <v/>
      </c>
      <c r="E178" s="48" t="str">
        <f>IFERROR(INDEX(plan!$E$4:$E$52,MATCH(Tabla_Registro_Tareas1[[#This Row],[Actividad]],plan!$C$4:$C$52,0)),"")</f>
        <v/>
      </c>
      <c r="F178" s="49" t="str">
        <f>IF(Tabla_Registro_Tareas1[[#This Row],[Actividad]]=Indice_Aux_Vacio,"",Indice_PROBLAM_Estudiante1)</f>
        <v/>
      </c>
      <c r="G178" s="7"/>
      <c r="H178" s="8"/>
      <c r="I178" s="9"/>
      <c r="K178" s="12" t="str" cm="1">
        <f t="array" ref="K178">IF($B178&lt;&gt;"",TRANSPOSE(_xlfn._xlws.FILTER(plan!$C$4:$C$52, ($B178 &gt;= (plan!$J$4:$J$52-Indice_Plan_ExtensionPlazo))*($B178 &lt;= (plan!$K$4:$K$52+Indice_Plan_ExtensionPlazo)), "")), "")</f>
        <v/>
      </c>
      <c r="BH178" s="4"/>
    </row>
    <row r="179" spans="2:60" x14ac:dyDescent="0.3">
      <c r="B179" s="6"/>
      <c r="C179" s="10"/>
      <c r="D179" s="48" t="str">
        <f>IF(Tabla_Registro_Tareas1[[#This Row],[Actividad]]=Indice_Aux_Vacio,"",IFERROR(INDEX(plan!$D$4:$D$52,MATCH(Tabla_Registro_Tareas1[[#This Row],[Actividad]],plan!$C$4:$C$52,0)),""))</f>
        <v/>
      </c>
      <c r="E179" s="48" t="str">
        <f>IFERROR(INDEX(plan!$E$4:$E$52,MATCH(Tabla_Registro_Tareas1[[#This Row],[Actividad]],plan!$C$4:$C$52,0)),"")</f>
        <v/>
      </c>
      <c r="F179" s="49" t="str">
        <f>IF(Tabla_Registro_Tareas1[[#This Row],[Actividad]]=Indice_Aux_Vacio,"",Indice_PROBLAM_Estudiante1)</f>
        <v/>
      </c>
      <c r="G179" s="7"/>
      <c r="H179" s="8"/>
      <c r="I179" s="9"/>
      <c r="K179" s="12" t="str" cm="1">
        <f t="array" ref="K179">IF($B179&lt;&gt;"",TRANSPOSE(_xlfn._xlws.FILTER(plan!$C$4:$C$52, ($B179 &gt;= (plan!$J$4:$J$52-Indice_Plan_ExtensionPlazo))*($B179 &lt;= (plan!$K$4:$K$52+Indice_Plan_ExtensionPlazo)), "")), "")</f>
        <v/>
      </c>
      <c r="BH179" s="4"/>
    </row>
    <row r="180" spans="2:60" x14ac:dyDescent="0.3">
      <c r="B180" s="6"/>
      <c r="C180" s="10"/>
      <c r="D180" s="48" t="str">
        <f>IF(Tabla_Registro_Tareas1[[#This Row],[Actividad]]=Indice_Aux_Vacio,"",IFERROR(INDEX(plan!$D$4:$D$52,MATCH(Tabla_Registro_Tareas1[[#This Row],[Actividad]],plan!$C$4:$C$52,0)),""))</f>
        <v/>
      </c>
      <c r="E180" s="48" t="str">
        <f>IFERROR(INDEX(plan!$E$4:$E$52,MATCH(Tabla_Registro_Tareas1[[#This Row],[Actividad]],plan!$C$4:$C$52,0)),"")</f>
        <v/>
      </c>
      <c r="F180" s="49" t="str">
        <f>IF(Tabla_Registro_Tareas1[[#This Row],[Actividad]]=Indice_Aux_Vacio,"",Indice_PROBLAM_Estudiante1)</f>
        <v/>
      </c>
      <c r="G180" s="7"/>
      <c r="H180" s="8"/>
      <c r="I180" s="9"/>
      <c r="K180" s="12" t="str" cm="1">
        <f t="array" ref="K180">IF($B180&lt;&gt;"",TRANSPOSE(_xlfn._xlws.FILTER(plan!$C$4:$C$52, ($B180 &gt;= (plan!$J$4:$J$52-Indice_Plan_ExtensionPlazo))*($B180 &lt;= (plan!$K$4:$K$52+Indice_Plan_ExtensionPlazo)), "")), "")</f>
        <v/>
      </c>
      <c r="BH180" s="4"/>
    </row>
    <row r="181" spans="2:60" x14ac:dyDescent="0.3">
      <c r="B181" s="6"/>
      <c r="C181" s="10"/>
      <c r="D181" s="48" t="str">
        <f>IF(Tabla_Registro_Tareas1[[#This Row],[Actividad]]=Indice_Aux_Vacio,"",IFERROR(INDEX(plan!$D$4:$D$52,MATCH(Tabla_Registro_Tareas1[[#This Row],[Actividad]],plan!$C$4:$C$52,0)),""))</f>
        <v/>
      </c>
      <c r="E181" s="48" t="str">
        <f>IFERROR(INDEX(plan!$E$4:$E$52,MATCH(Tabla_Registro_Tareas1[[#This Row],[Actividad]],plan!$C$4:$C$52,0)),"")</f>
        <v/>
      </c>
      <c r="F181" s="49" t="str">
        <f>IF(Tabla_Registro_Tareas1[[#This Row],[Actividad]]=Indice_Aux_Vacio,"",Indice_PROBLAM_Estudiante1)</f>
        <v/>
      </c>
      <c r="G181" s="7"/>
      <c r="H181" s="8"/>
      <c r="I181" s="9"/>
      <c r="K181" s="12" t="str" cm="1">
        <f t="array" ref="K181">IF($B181&lt;&gt;"",TRANSPOSE(_xlfn._xlws.FILTER(plan!$C$4:$C$52, ($B181 &gt;= (plan!$J$4:$J$52-Indice_Plan_ExtensionPlazo))*($B181 &lt;= (plan!$K$4:$K$52+Indice_Plan_ExtensionPlazo)), "")), "")</f>
        <v/>
      </c>
      <c r="BH181" s="4"/>
    </row>
    <row r="182" spans="2:60" x14ac:dyDescent="0.3">
      <c r="B182" s="6"/>
      <c r="C182" s="10"/>
      <c r="D182" s="48" t="str">
        <f>IF(Tabla_Registro_Tareas1[[#This Row],[Actividad]]=Indice_Aux_Vacio,"",IFERROR(INDEX(plan!$D$4:$D$52,MATCH(Tabla_Registro_Tareas1[[#This Row],[Actividad]],plan!$C$4:$C$52,0)),""))</f>
        <v/>
      </c>
      <c r="E182" s="48" t="str">
        <f>IFERROR(INDEX(plan!$E$4:$E$52,MATCH(Tabla_Registro_Tareas1[[#This Row],[Actividad]],plan!$C$4:$C$52,0)),"")</f>
        <v/>
      </c>
      <c r="F182" s="49" t="str">
        <f>IF(Tabla_Registro_Tareas1[[#This Row],[Actividad]]=Indice_Aux_Vacio,"",Indice_PROBLAM_Estudiante1)</f>
        <v/>
      </c>
      <c r="G182" s="7"/>
      <c r="H182" s="8"/>
      <c r="I182" s="9"/>
      <c r="K182" s="12" t="str" cm="1">
        <f t="array" ref="K182">IF($B182&lt;&gt;"",TRANSPOSE(_xlfn._xlws.FILTER(plan!$C$4:$C$52, ($B182 &gt;= (plan!$J$4:$J$52-Indice_Plan_ExtensionPlazo))*($B182 &lt;= (plan!$K$4:$K$52+Indice_Plan_ExtensionPlazo)), "")), "")</f>
        <v/>
      </c>
      <c r="BH182" s="4"/>
    </row>
    <row r="183" spans="2:60" x14ac:dyDescent="0.3">
      <c r="B183" s="6"/>
      <c r="C183" s="10"/>
      <c r="D183" s="48" t="str">
        <f>IF(Tabla_Registro_Tareas1[[#This Row],[Actividad]]=Indice_Aux_Vacio,"",IFERROR(INDEX(plan!$D$4:$D$52,MATCH(Tabla_Registro_Tareas1[[#This Row],[Actividad]],plan!$C$4:$C$52,0)),""))</f>
        <v/>
      </c>
      <c r="E183" s="48" t="str">
        <f>IFERROR(INDEX(plan!$E$4:$E$52,MATCH(Tabla_Registro_Tareas1[[#This Row],[Actividad]],plan!$C$4:$C$52,0)),"")</f>
        <v/>
      </c>
      <c r="F183" s="49" t="str">
        <f>IF(Tabla_Registro_Tareas1[[#This Row],[Actividad]]=Indice_Aux_Vacio,"",Indice_PROBLAM_Estudiante1)</f>
        <v/>
      </c>
      <c r="G183" s="7"/>
      <c r="H183" s="8"/>
      <c r="I183" s="9"/>
      <c r="K183" s="12" t="str" cm="1">
        <f t="array" ref="K183">IF($B183&lt;&gt;"",TRANSPOSE(_xlfn._xlws.FILTER(plan!$C$4:$C$52, ($B183 &gt;= (plan!$J$4:$J$52-Indice_Plan_ExtensionPlazo))*($B183 &lt;= (plan!$K$4:$K$52+Indice_Plan_ExtensionPlazo)), "")), "")</f>
        <v/>
      </c>
      <c r="BH183" s="4"/>
    </row>
    <row r="184" spans="2:60" x14ac:dyDescent="0.3">
      <c r="B184" s="6"/>
      <c r="C184" s="10"/>
      <c r="D184" s="48" t="str">
        <f>IF(Tabla_Registro_Tareas1[[#This Row],[Actividad]]=Indice_Aux_Vacio,"",IFERROR(INDEX(plan!$D$4:$D$52,MATCH(Tabla_Registro_Tareas1[[#This Row],[Actividad]],plan!$C$4:$C$52,0)),""))</f>
        <v/>
      </c>
      <c r="E184" s="48" t="str">
        <f>IFERROR(INDEX(plan!$E$4:$E$52,MATCH(Tabla_Registro_Tareas1[[#This Row],[Actividad]],plan!$C$4:$C$52,0)),"")</f>
        <v/>
      </c>
      <c r="F184" s="49" t="str">
        <f>IF(Tabla_Registro_Tareas1[[#This Row],[Actividad]]=Indice_Aux_Vacio,"",Indice_PROBLAM_Estudiante1)</f>
        <v/>
      </c>
      <c r="G184" s="7"/>
      <c r="H184" s="8"/>
      <c r="I184" s="9"/>
      <c r="K184" s="12" t="str" cm="1">
        <f t="array" ref="K184">IF($B184&lt;&gt;"",TRANSPOSE(_xlfn._xlws.FILTER(plan!$C$4:$C$52, ($B184 &gt;= (plan!$J$4:$J$52-Indice_Plan_ExtensionPlazo))*($B184 &lt;= (plan!$K$4:$K$52+Indice_Plan_ExtensionPlazo)), "")), "")</f>
        <v/>
      </c>
      <c r="BH184" s="4"/>
    </row>
    <row r="185" spans="2:60" x14ac:dyDescent="0.3">
      <c r="B185" s="6"/>
      <c r="C185" s="10"/>
      <c r="D185" s="48" t="str">
        <f>IF(Tabla_Registro_Tareas1[[#This Row],[Actividad]]=Indice_Aux_Vacio,"",IFERROR(INDEX(plan!$D$4:$D$52,MATCH(Tabla_Registro_Tareas1[[#This Row],[Actividad]],plan!$C$4:$C$52,0)),""))</f>
        <v/>
      </c>
      <c r="E185" s="48" t="str">
        <f>IFERROR(INDEX(plan!$E$4:$E$52,MATCH(Tabla_Registro_Tareas1[[#This Row],[Actividad]],plan!$C$4:$C$52,0)),"")</f>
        <v/>
      </c>
      <c r="F185" s="49" t="str">
        <f>IF(Tabla_Registro_Tareas1[[#This Row],[Actividad]]=Indice_Aux_Vacio,"",Indice_PROBLAM_Estudiante1)</f>
        <v/>
      </c>
      <c r="G185" s="7"/>
      <c r="H185" s="8"/>
      <c r="I185" s="9"/>
      <c r="K185" s="12" t="str" cm="1">
        <f t="array" ref="K185">IF($B185&lt;&gt;"",TRANSPOSE(_xlfn._xlws.FILTER(plan!$C$4:$C$52, ($B185 &gt;= (plan!$J$4:$J$52-Indice_Plan_ExtensionPlazo))*($B185 &lt;= (plan!$K$4:$K$52+Indice_Plan_ExtensionPlazo)), "")), "")</f>
        <v/>
      </c>
      <c r="BH185" s="4"/>
    </row>
    <row r="186" spans="2:60" x14ac:dyDescent="0.3">
      <c r="B186" s="6"/>
      <c r="C186" s="10"/>
      <c r="D186" s="48" t="str">
        <f>IF(Tabla_Registro_Tareas1[[#This Row],[Actividad]]=Indice_Aux_Vacio,"",IFERROR(INDEX(plan!$D$4:$D$52,MATCH(Tabla_Registro_Tareas1[[#This Row],[Actividad]],plan!$C$4:$C$52,0)),""))</f>
        <v/>
      </c>
      <c r="E186" s="48" t="str">
        <f>IFERROR(INDEX(plan!$E$4:$E$52,MATCH(Tabla_Registro_Tareas1[[#This Row],[Actividad]],plan!$C$4:$C$52,0)),"")</f>
        <v/>
      </c>
      <c r="F186" s="49" t="str">
        <f>IF(Tabla_Registro_Tareas1[[#This Row],[Actividad]]=Indice_Aux_Vacio,"",Indice_PROBLAM_Estudiante1)</f>
        <v/>
      </c>
      <c r="G186" s="7"/>
      <c r="H186" s="8"/>
      <c r="I186" s="9"/>
      <c r="K186" s="12" t="str" cm="1">
        <f t="array" ref="K186">IF($B186&lt;&gt;"",TRANSPOSE(_xlfn._xlws.FILTER(plan!$C$4:$C$52, ($B186 &gt;= (plan!$J$4:$J$52-Indice_Plan_ExtensionPlazo))*($B186 &lt;= (plan!$K$4:$K$52+Indice_Plan_ExtensionPlazo)), "")), "")</f>
        <v/>
      </c>
      <c r="BH186" s="4"/>
    </row>
    <row r="187" spans="2:60" x14ac:dyDescent="0.3">
      <c r="B187" s="6"/>
      <c r="C187" s="10"/>
      <c r="D187" s="48" t="str">
        <f>IF(Tabla_Registro_Tareas1[[#This Row],[Actividad]]=Indice_Aux_Vacio,"",IFERROR(INDEX(plan!$D$4:$D$52,MATCH(Tabla_Registro_Tareas1[[#This Row],[Actividad]],plan!$C$4:$C$52,0)),""))</f>
        <v/>
      </c>
      <c r="E187" s="48" t="str">
        <f>IFERROR(INDEX(plan!$E$4:$E$52,MATCH(Tabla_Registro_Tareas1[[#This Row],[Actividad]],plan!$C$4:$C$52,0)),"")</f>
        <v/>
      </c>
      <c r="F187" s="49" t="str">
        <f>IF(Tabla_Registro_Tareas1[[#This Row],[Actividad]]=Indice_Aux_Vacio,"",Indice_PROBLAM_Estudiante1)</f>
        <v/>
      </c>
      <c r="G187" s="7"/>
      <c r="H187" s="8"/>
      <c r="I187" s="9"/>
      <c r="K187" s="12" t="str" cm="1">
        <f t="array" ref="K187">IF($B187&lt;&gt;"",TRANSPOSE(_xlfn._xlws.FILTER(plan!$C$4:$C$52, ($B187 &gt;= (plan!$J$4:$J$52-Indice_Plan_ExtensionPlazo))*($B187 &lt;= (plan!$K$4:$K$52+Indice_Plan_ExtensionPlazo)), "")), "")</f>
        <v/>
      </c>
      <c r="BH187" s="4"/>
    </row>
    <row r="188" spans="2:60" x14ac:dyDescent="0.3">
      <c r="B188" s="6"/>
      <c r="C188" s="10"/>
      <c r="D188" s="48" t="str">
        <f>IF(Tabla_Registro_Tareas1[[#This Row],[Actividad]]=Indice_Aux_Vacio,"",IFERROR(INDEX(plan!$D$4:$D$52,MATCH(Tabla_Registro_Tareas1[[#This Row],[Actividad]],plan!$C$4:$C$52,0)),""))</f>
        <v/>
      </c>
      <c r="E188" s="48" t="str">
        <f>IFERROR(INDEX(plan!$E$4:$E$52,MATCH(Tabla_Registro_Tareas1[[#This Row],[Actividad]],plan!$C$4:$C$52,0)),"")</f>
        <v/>
      </c>
      <c r="F188" s="49" t="str">
        <f>IF(Tabla_Registro_Tareas1[[#This Row],[Actividad]]=Indice_Aux_Vacio,"",Indice_PROBLAM_Estudiante1)</f>
        <v/>
      </c>
      <c r="G188" s="7"/>
      <c r="H188" s="8"/>
      <c r="I188" s="9"/>
      <c r="K188" s="12" t="str" cm="1">
        <f t="array" ref="K188">IF($B188&lt;&gt;"",TRANSPOSE(_xlfn._xlws.FILTER(plan!$C$4:$C$52, ($B188 &gt;= (plan!$J$4:$J$52-Indice_Plan_ExtensionPlazo))*($B188 &lt;= (plan!$K$4:$K$52+Indice_Plan_ExtensionPlazo)), "")), "")</f>
        <v/>
      </c>
      <c r="BH188" s="4"/>
    </row>
    <row r="189" spans="2:60" x14ac:dyDescent="0.3">
      <c r="B189" s="6"/>
      <c r="C189" s="10"/>
      <c r="D189" s="48" t="str">
        <f>IF(Tabla_Registro_Tareas1[[#This Row],[Actividad]]=Indice_Aux_Vacio,"",IFERROR(INDEX(plan!$D$4:$D$52,MATCH(Tabla_Registro_Tareas1[[#This Row],[Actividad]],plan!$C$4:$C$52,0)),""))</f>
        <v/>
      </c>
      <c r="E189" s="48" t="str">
        <f>IFERROR(INDEX(plan!$E$4:$E$52,MATCH(Tabla_Registro_Tareas1[[#This Row],[Actividad]],plan!$C$4:$C$52,0)),"")</f>
        <v/>
      </c>
      <c r="F189" s="49" t="str">
        <f>IF(Tabla_Registro_Tareas1[[#This Row],[Actividad]]=Indice_Aux_Vacio,"",Indice_PROBLAM_Estudiante1)</f>
        <v/>
      </c>
      <c r="G189" s="7"/>
      <c r="H189" s="8"/>
      <c r="I189" s="9"/>
      <c r="K189" s="12" t="str" cm="1">
        <f t="array" ref="K189">IF($B189&lt;&gt;"",TRANSPOSE(_xlfn._xlws.FILTER(plan!$C$4:$C$52, ($B189 &gt;= (plan!$J$4:$J$52-Indice_Plan_ExtensionPlazo))*($B189 &lt;= (plan!$K$4:$K$52+Indice_Plan_ExtensionPlazo)), "")), "")</f>
        <v/>
      </c>
      <c r="BH189" s="4"/>
    </row>
    <row r="190" spans="2:60" x14ac:dyDescent="0.3">
      <c r="B190" s="6"/>
      <c r="C190" s="10"/>
      <c r="D190" s="48" t="str">
        <f>IF(Tabla_Registro_Tareas1[[#This Row],[Actividad]]=Indice_Aux_Vacio,"",IFERROR(INDEX(plan!$D$4:$D$52,MATCH(Tabla_Registro_Tareas1[[#This Row],[Actividad]],plan!$C$4:$C$52,0)),""))</f>
        <v/>
      </c>
      <c r="E190" s="48" t="str">
        <f>IFERROR(INDEX(plan!$E$4:$E$52,MATCH(Tabla_Registro_Tareas1[[#This Row],[Actividad]],plan!$C$4:$C$52,0)),"")</f>
        <v/>
      </c>
      <c r="F190" s="49" t="str">
        <f>IF(Tabla_Registro_Tareas1[[#This Row],[Actividad]]=Indice_Aux_Vacio,"",Indice_PROBLAM_Estudiante1)</f>
        <v/>
      </c>
      <c r="G190" s="7"/>
      <c r="H190" s="8"/>
      <c r="I190" s="9"/>
      <c r="K190" s="12" t="str" cm="1">
        <f t="array" ref="K190">IF($B190&lt;&gt;"",TRANSPOSE(_xlfn._xlws.FILTER(plan!$C$4:$C$52, ($B190 &gt;= (plan!$J$4:$J$52-Indice_Plan_ExtensionPlazo))*($B190 &lt;= (plan!$K$4:$K$52+Indice_Plan_ExtensionPlazo)), "")), "")</f>
        <v/>
      </c>
      <c r="BH190" s="4"/>
    </row>
    <row r="191" spans="2:60" x14ac:dyDescent="0.3">
      <c r="B191" s="6"/>
      <c r="C191" s="10"/>
      <c r="D191" s="48" t="str">
        <f>IF(Tabla_Registro_Tareas1[[#This Row],[Actividad]]=Indice_Aux_Vacio,"",IFERROR(INDEX(plan!$D$4:$D$52,MATCH(Tabla_Registro_Tareas1[[#This Row],[Actividad]],plan!$C$4:$C$52,0)),""))</f>
        <v/>
      </c>
      <c r="E191" s="48" t="str">
        <f>IFERROR(INDEX(plan!$E$4:$E$52,MATCH(Tabla_Registro_Tareas1[[#This Row],[Actividad]],plan!$C$4:$C$52,0)),"")</f>
        <v/>
      </c>
      <c r="F191" s="49" t="str">
        <f>IF(Tabla_Registro_Tareas1[[#This Row],[Actividad]]=Indice_Aux_Vacio,"",Indice_PROBLAM_Estudiante1)</f>
        <v/>
      </c>
      <c r="G191" s="7"/>
      <c r="H191" s="8"/>
      <c r="I191" s="9"/>
      <c r="K191" s="12" t="str" cm="1">
        <f t="array" ref="K191">IF($B191&lt;&gt;"",TRANSPOSE(_xlfn._xlws.FILTER(plan!$C$4:$C$52, ($B191 &gt;= (plan!$J$4:$J$52-Indice_Plan_ExtensionPlazo))*($B191 &lt;= (plan!$K$4:$K$52+Indice_Plan_ExtensionPlazo)), "")), "")</f>
        <v/>
      </c>
      <c r="BH191" s="4"/>
    </row>
    <row r="192" spans="2:60" x14ac:dyDescent="0.3">
      <c r="B192" s="6"/>
      <c r="C192" s="10"/>
      <c r="D192" s="48" t="str">
        <f>IF(Tabla_Registro_Tareas1[[#This Row],[Actividad]]=Indice_Aux_Vacio,"",IFERROR(INDEX(plan!$D$4:$D$52,MATCH(Tabla_Registro_Tareas1[[#This Row],[Actividad]],plan!$C$4:$C$52,0)),""))</f>
        <v/>
      </c>
      <c r="E192" s="48" t="str">
        <f>IFERROR(INDEX(plan!$E$4:$E$52,MATCH(Tabla_Registro_Tareas1[[#This Row],[Actividad]],plan!$C$4:$C$52,0)),"")</f>
        <v/>
      </c>
      <c r="F192" s="49" t="str">
        <f>IF(Tabla_Registro_Tareas1[[#This Row],[Actividad]]=Indice_Aux_Vacio,"",Indice_PROBLAM_Estudiante1)</f>
        <v/>
      </c>
      <c r="G192" s="7"/>
      <c r="H192" s="8"/>
      <c r="I192" s="9"/>
      <c r="K192" s="12" t="str" cm="1">
        <f t="array" ref="K192">IF($B192&lt;&gt;"",TRANSPOSE(_xlfn._xlws.FILTER(plan!$C$4:$C$52, ($B192 &gt;= (plan!$J$4:$J$52-Indice_Plan_ExtensionPlazo))*($B192 &lt;= (plan!$K$4:$K$52+Indice_Plan_ExtensionPlazo)), "")), "")</f>
        <v/>
      </c>
      <c r="BH192" s="4"/>
    </row>
    <row r="193" spans="2:60" x14ac:dyDescent="0.3">
      <c r="B193" s="6"/>
      <c r="C193" s="10"/>
      <c r="D193" s="48" t="str">
        <f>IF(Tabla_Registro_Tareas1[[#This Row],[Actividad]]=Indice_Aux_Vacio,"",IFERROR(INDEX(plan!$D$4:$D$52,MATCH(Tabla_Registro_Tareas1[[#This Row],[Actividad]],plan!$C$4:$C$52,0)),""))</f>
        <v/>
      </c>
      <c r="E193" s="48" t="str">
        <f>IFERROR(INDEX(plan!$E$4:$E$52,MATCH(Tabla_Registro_Tareas1[[#This Row],[Actividad]],plan!$C$4:$C$52,0)),"")</f>
        <v/>
      </c>
      <c r="F193" s="49" t="str">
        <f>IF(Tabla_Registro_Tareas1[[#This Row],[Actividad]]=Indice_Aux_Vacio,"",Indice_PROBLAM_Estudiante1)</f>
        <v/>
      </c>
      <c r="G193" s="7"/>
      <c r="H193" s="8"/>
      <c r="I193" s="9"/>
      <c r="K193" s="12" t="str" cm="1">
        <f t="array" ref="K193">IF($B193&lt;&gt;"",TRANSPOSE(_xlfn._xlws.FILTER(plan!$C$4:$C$52, ($B193 &gt;= (plan!$J$4:$J$52-Indice_Plan_ExtensionPlazo))*($B193 &lt;= (plan!$K$4:$K$52+Indice_Plan_ExtensionPlazo)), "")), "")</f>
        <v/>
      </c>
      <c r="BH193" s="4"/>
    </row>
    <row r="194" spans="2:60" x14ac:dyDescent="0.3">
      <c r="B194" s="6"/>
      <c r="C194" s="10"/>
      <c r="D194" s="48" t="str">
        <f>IF(Tabla_Registro_Tareas1[[#This Row],[Actividad]]=Indice_Aux_Vacio,"",IFERROR(INDEX(plan!$D$4:$D$52,MATCH(Tabla_Registro_Tareas1[[#This Row],[Actividad]],plan!$C$4:$C$52,0)),""))</f>
        <v/>
      </c>
      <c r="E194" s="48" t="str">
        <f>IFERROR(INDEX(plan!$E$4:$E$52,MATCH(Tabla_Registro_Tareas1[[#This Row],[Actividad]],plan!$C$4:$C$52,0)),"")</f>
        <v/>
      </c>
      <c r="F194" s="49" t="str">
        <f>IF(Tabla_Registro_Tareas1[[#This Row],[Actividad]]=Indice_Aux_Vacio,"",Indice_PROBLAM_Estudiante1)</f>
        <v/>
      </c>
      <c r="G194" s="7"/>
      <c r="H194" s="8"/>
      <c r="I194" s="9"/>
      <c r="K194" s="12" t="str" cm="1">
        <f t="array" ref="K194">IF($B194&lt;&gt;"",TRANSPOSE(_xlfn._xlws.FILTER(plan!$C$4:$C$52, ($B194 &gt;= (plan!$J$4:$J$52-Indice_Plan_ExtensionPlazo))*($B194 &lt;= (plan!$K$4:$K$52+Indice_Plan_ExtensionPlazo)), "")), "")</f>
        <v/>
      </c>
      <c r="BH194" s="4"/>
    </row>
    <row r="195" spans="2:60" x14ac:dyDescent="0.3">
      <c r="B195" s="6"/>
      <c r="C195" s="10"/>
      <c r="D195" s="48" t="str">
        <f>IF(Tabla_Registro_Tareas1[[#This Row],[Actividad]]=Indice_Aux_Vacio,"",IFERROR(INDEX(plan!$D$4:$D$52,MATCH(Tabla_Registro_Tareas1[[#This Row],[Actividad]],plan!$C$4:$C$52,0)),""))</f>
        <v/>
      </c>
      <c r="E195" s="48" t="str">
        <f>IFERROR(INDEX(plan!$E$4:$E$52,MATCH(Tabla_Registro_Tareas1[[#This Row],[Actividad]],plan!$C$4:$C$52,0)),"")</f>
        <v/>
      </c>
      <c r="F195" s="49" t="str">
        <f>IF(Tabla_Registro_Tareas1[[#This Row],[Actividad]]=Indice_Aux_Vacio,"",Indice_PROBLAM_Estudiante1)</f>
        <v/>
      </c>
      <c r="G195" s="7"/>
      <c r="H195" s="8"/>
      <c r="I195" s="9"/>
      <c r="K195" s="12" t="str" cm="1">
        <f t="array" ref="K195">IF($B195&lt;&gt;"",TRANSPOSE(_xlfn._xlws.FILTER(plan!$C$4:$C$52, ($B195 &gt;= (plan!$J$4:$J$52-Indice_Plan_ExtensionPlazo))*($B195 &lt;= (plan!$K$4:$K$52+Indice_Plan_ExtensionPlazo)), "")), "")</f>
        <v/>
      </c>
      <c r="BH195" s="4"/>
    </row>
    <row r="196" spans="2:60" x14ac:dyDescent="0.3">
      <c r="B196" s="6"/>
      <c r="C196" s="10"/>
      <c r="D196" s="48" t="str">
        <f>IF(Tabla_Registro_Tareas1[[#This Row],[Actividad]]=Indice_Aux_Vacio,"",IFERROR(INDEX(plan!$D$4:$D$52,MATCH(Tabla_Registro_Tareas1[[#This Row],[Actividad]],plan!$C$4:$C$52,0)),""))</f>
        <v/>
      </c>
      <c r="E196" s="48" t="str">
        <f>IFERROR(INDEX(plan!$E$4:$E$52,MATCH(Tabla_Registro_Tareas1[[#This Row],[Actividad]],plan!$C$4:$C$52,0)),"")</f>
        <v/>
      </c>
      <c r="F196" s="49" t="str">
        <f>IF(Tabla_Registro_Tareas1[[#This Row],[Actividad]]=Indice_Aux_Vacio,"",Indice_PROBLAM_Estudiante1)</f>
        <v/>
      </c>
      <c r="G196" s="7"/>
      <c r="H196" s="8"/>
      <c r="I196" s="9"/>
      <c r="K196" s="12" t="str" cm="1">
        <f t="array" ref="K196">IF($B196&lt;&gt;"",TRANSPOSE(_xlfn._xlws.FILTER(plan!$C$4:$C$52, ($B196 &gt;= (plan!$J$4:$J$52-Indice_Plan_ExtensionPlazo))*($B196 &lt;= (plan!$K$4:$K$52+Indice_Plan_ExtensionPlazo)), "")), "")</f>
        <v/>
      </c>
      <c r="BH196" s="4"/>
    </row>
    <row r="197" spans="2:60" x14ac:dyDescent="0.3">
      <c r="B197" s="6"/>
      <c r="C197" s="10"/>
      <c r="D197" s="48" t="str">
        <f>IF(Tabla_Registro_Tareas1[[#This Row],[Actividad]]=Indice_Aux_Vacio,"",IFERROR(INDEX(plan!$D$4:$D$52,MATCH(Tabla_Registro_Tareas1[[#This Row],[Actividad]],plan!$C$4:$C$52,0)),""))</f>
        <v/>
      </c>
      <c r="E197" s="48" t="str">
        <f>IFERROR(INDEX(plan!$E$4:$E$52,MATCH(Tabla_Registro_Tareas1[[#This Row],[Actividad]],plan!$C$4:$C$52,0)),"")</f>
        <v/>
      </c>
      <c r="F197" s="49" t="str">
        <f>IF(Tabla_Registro_Tareas1[[#This Row],[Actividad]]=Indice_Aux_Vacio,"",Indice_PROBLAM_Estudiante1)</f>
        <v/>
      </c>
      <c r="G197" s="7"/>
      <c r="H197" s="8"/>
      <c r="I197" s="9"/>
      <c r="K197" s="12" t="str" cm="1">
        <f t="array" ref="K197">IF($B197&lt;&gt;"",TRANSPOSE(_xlfn._xlws.FILTER(plan!$C$4:$C$52, ($B197 &gt;= (plan!$J$4:$J$52-Indice_Plan_ExtensionPlazo))*($B197 &lt;= (plan!$K$4:$K$52+Indice_Plan_ExtensionPlazo)), "")), "")</f>
        <v/>
      </c>
      <c r="BH197" s="4"/>
    </row>
    <row r="198" spans="2:60" x14ac:dyDescent="0.3">
      <c r="B198" s="6"/>
      <c r="C198" s="10"/>
      <c r="D198" s="48" t="str">
        <f>IF(Tabla_Registro_Tareas1[[#This Row],[Actividad]]=Indice_Aux_Vacio,"",IFERROR(INDEX(plan!$D$4:$D$52,MATCH(Tabla_Registro_Tareas1[[#This Row],[Actividad]],plan!$C$4:$C$52,0)),""))</f>
        <v/>
      </c>
      <c r="E198" s="48" t="str">
        <f>IFERROR(INDEX(plan!$E$4:$E$52,MATCH(Tabla_Registro_Tareas1[[#This Row],[Actividad]],plan!$C$4:$C$52,0)),"")</f>
        <v/>
      </c>
      <c r="F198" s="49" t="str">
        <f>IF(Tabla_Registro_Tareas1[[#This Row],[Actividad]]=Indice_Aux_Vacio,"",Indice_PROBLAM_Estudiante1)</f>
        <v/>
      </c>
      <c r="G198" s="7"/>
      <c r="H198" s="8"/>
      <c r="I198" s="9"/>
      <c r="K198" s="12" t="str" cm="1">
        <f t="array" ref="K198">IF($B198&lt;&gt;"",TRANSPOSE(_xlfn._xlws.FILTER(plan!$C$4:$C$52, ($B198 &gt;= (plan!$J$4:$J$52-Indice_Plan_ExtensionPlazo))*($B198 &lt;= (plan!$K$4:$K$52+Indice_Plan_ExtensionPlazo)), "")), "")</f>
        <v/>
      </c>
      <c r="BH198" s="4"/>
    </row>
    <row r="199" spans="2:60" x14ac:dyDescent="0.3">
      <c r="B199" s="6"/>
      <c r="C199" s="10"/>
      <c r="D199" s="48" t="str">
        <f>IF(Tabla_Registro_Tareas1[[#This Row],[Actividad]]=Indice_Aux_Vacio,"",IFERROR(INDEX(plan!$D$4:$D$52,MATCH(Tabla_Registro_Tareas1[[#This Row],[Actividad]],plan!$C$4:$C$52,0)),""))</f>
        <v/>
      </c>
      <c r="E199" s="48" t="str">
        <f>IFERROR(INDEX(plan!$E$4:$E$52,MATCH(Tabla_Registro_Tareas1[[#This Row],[Actividad]],plan!$C$4:$C$52,0)),"")</f>
        <v/>
      </c>
      <c r="F199" s="49" t="str">
        <f>IF(Tabla_Registro_Tareas1[[#This Row],[Actividad]]=Indice_Aux_Vacio,"",Indice_PROBLAM_Estudiante1)</f>
        <v/>
      </c>
      <c r="G199" s="7"/>
      <c r="H199" s="8"/>
      <c r="I199" s="9"/>
      <c r="K199" s="12" t="str" cm="1">
        <f t="array" ref="K199">IF($B199&lt;&gt;"",TRANSPOSE(_xlfn._xlws.FILTER(plan!$C$4:$C$52, ($B199 &gt;= (plan!$J$4:$J$52-Indice_Plan_ExtensionPlazo))*($B199 &lt;= (plan!$K$4:$K$52+Indice_Plan_ExtensionPlazo)), "")), "")</f>
        <v/>
      </c>
      <c r="BH199" s="4"/>
    </row>
    <row r="200" spans="2:60" x14ac:dyDescent="0.3">
      <c r="B200" s="6"/>
      <c r="C200" s="10"/>
      <c r="D200" s="48" t="str">
        <f>IF(Tabla_Registro_Tareas1[[#This Row],[Actividad]]=Indice_Aux_Vacio,"",IFERROR(INDEX(plan!$D$4:$D$52,MATCH(Tabla_Registro_Tareas1[[#This Row],[Actividad]],plan!$C$4:$C$52,0)),""))</f>
        <v/>
      </c>
      <c r="E200" s="48" t="str">
        <f>IFERROR(INDEX(plan!$E$4:$E$52,MATCH(Tabla_Registro_Tareas1[[#This Row],[Actividad]],plan!$C$4:$C$52,0)),"")</f>
        <v/>
      </c>
      <c r="F200" s="49" t="str">
        <f>IF(Tabla_Registro_Tareas1[[#This Row],[Actividad]]=Indice_Aux_Vacio,"",Indice_PROBLAM_Estudiante1)</f>
        <v/>
      </c>
      <c r="G200" s="7"/>
      <c r="H200" s="8"/>
      <c r="I200" s="9"/>
      <c r="K200" s="12" t="str" cm="1">
        <f t="array" ref="K200">IF($B200&lt;&gt;"",TRANSPOSE(_xlfn._xlws.FILTER(plan!$C$4:$C$52, ($B200 &gt;= (plan!$J$4:$J$52-Indice_Plan_ExtensionPlazo))*($B200 &lt;= (plan!$K$4:$K$52+Indice_Plan_ExtensionPlazo)), "")), "")</f>
        <v/>
      </c>
      <c r="BH200" s="4"/>
    </row>
    <row r="201" spans="2:60" x14ac:dyDescent="0.3">
      <c r="B201" s="6"/>
      <c r="C201" s="10"/>
      <c r="D201" s="48" t="str">
        <f>IF(Tabla_Registro_Tareas1[[#This Row],[Actividad]]=Indice_Aux_Vacio,"",IFERROR(INDEX(plan!$D$4:$D$52,MATCH(Tabla_Registro_Tareas1[[#This Row],[Actividad]],plan!$C$4:$C$52,0)),""))</f>
        <v/>
      </c>
      <c r="E201" s="48" t="str">
        <f>IFERROR(INDEX(plan!$E$4:$E$52,MATCH(Tabla_Registro_Tareas1[[#This Row],[Actividad]],plan!$C$4:$C$52,0)),"")</f>
        <v/>
      </c>
      <c r="F201" s="49" t="str">
        <f>IF(Tabla_Registro_Tareas1[[#This Row],[Actividad]]=Indice_Aux_Vacio,"",Indice_PROBLAM_Estudiante1)</f>
        <v/>
      </c>
      <c r="G201" s="7"/>
      <c r="H201" s="8"/>
      <c r="I201" s="9"/>
      <c r="K201" s="12" t="str" cm="1">
        <f t="array" ref="K201">IF($B201&lt;&gt;"",TRANSPOSE(_xlfn._xlws.FILTER(plan!$C$4:$C$52, ($B201 &gt;= (plan!$J$4:$J$52-Indice_Plan_ExtensionPlazo))*($B201 &lt;= (plan!$K$4:$K$52+Indice_Plan_ExtensionPlazo)), "")), "")</f>
        <v/>
      </c>
      <c r="BH201" s="4"/>
    </row>
    <row r="202" spans="2:60" x14ac:dyDescent="0.3">
      <c r="B202" s="6"/>
      <c r="C202" s="10"/>
      <c r="D202" s="48" t="str">
        <f>IF(Tabla_Registro_Tareas1[[#This Row],[Actividad]]=Indice_Aux_Vacio,"",IFERROR(INDEX(plan!$D$4:$D$52,MATCH(Tabla_Registro_Tareas1[[#This Row],[Actividad]],plan!$C$4:$C$52,0)),""))</f>
        <v/>
      </c>
      <c r="E202" s="48" t="str">
        <f>IFERROR(INDEX(plan!$E$4:$E$52,MATCH(Tabla_Registro_Tareas1[[#This Row],[Actividad]],plan!$C$4:$C$52,0)),"")</f>
        <v/>
      </c>
      <c r="F202" s="49" t="str">
        <f>IF(Tabla_Registro_Tareas1[[#This Row],[Actividad]]=Indice_Aux_Vacio,"",Indice_PROBLAM_Estudiante1)</f>
        <v/>
      </c>
      <c r="G202" s="7"/>
      <c r="H202" s="8"/>
      <c r="I202" s="9"/>
      <c r="K202" s="12" t="str" cm="1">
        <f t="array" ref="K202">IF($B202&lt;&gt;"",TRANSPOSE(_xlfn._xlws.FILTER(plan!$C$4:$C$52, ($B202 &gt;= (plan!$J$4:$J$52-Indice_Plan_ExtensionPlazo))*($B202 &lt;= (plan!$K$4:$K$52+Indice_Plan_ExtensionPlazo)), "")), "")</f>
        <v/>
      </c>
      <c r="BH202" s="4"/>
    </row>
    <row r="203" spans="2:60" x14ac:dyDescent="0.3">
      <c r="B203" s="6"/>
      <c r="C203" s="10"/>
      <c r="D203" s="48" t="str">
        <f>IF(Tabla_Registro_Tareas1[[#This Row],[Actividad]]=Indice_Aux_Vacio,"",IFERROR(INDEX(plan!$D$4:$D$52,MATCH(Tabla_Registro_Tareas1[[#This Row],[Actividad]],plan!$C$4:$C$52,0)),""))</f>
        <v/>
      </c>
      <c r="E203" s="48" t="str">
        <f>IFERROR(INDEX(plan!$E$4:$E$52,MATCH(Tabla_Registro_Tareas1[[#This Row],[Actividad]],plan!$C$4:$C$52,0)),"")</f>
        <v/>
      </c>
      <c r="F203" s="49" t="str">
        <f>IF(Tabla_Registro_Tareas1[[#This Row],[Actividad]]=Indice_Aux_Vacio,"",Indice_PROBLAM_Estudiante1)</f>
        <v/>
      </c>
      <c r="G203" s="7"/>
      <c r="H203" s="8"/>
      <c r="I203" s="9"/>
      <c r="K203" s="12" t="str" cm="1">
        <f t="array" ref="K203">IF($B203&lt;&gt;"",TRANSPOSE(_xlfn._xlws.FILTER(plan!$C$4:$C$52, ($B203 &gt;= (plan!$J$4:$J$52-Indice_Plan_ExtensionPlazo))*($B203 &lt;= (plan!$K$4:$K$52+Indice_Plan_ExtensionPlazo)), "")), "")</f>
        <v/>
      </c>
      <c r="BH203" s="4"/>
    </row>
    <row r="204" spans="2:60" x14ac:dyDescent="0.3">
      <c r="B204" s="6"/>
      <c r="C204" s="10"/>
      <c r="D204" s="48" t="str">
        <f>IF(Tabla_Registro_Tareas1[[#This Row],[Actividad]]=Indice_Aux_Vacio,"",IFERROR(INDEX(plan!$D$4:$D$52,MATCH(Tabla_Registro_Tareas1[[#This Row],[Actividad]],plan!$C$4:$C$52,0)),""))</f>
        <v/>
      </c>
      <c r="E204" s="48" t="str">
        <f>IFERROR(INDEX(plan!$E$4:$E$52,MATCH(Tabla_Registro_Tareas1[[#This Row],[Actividad]],plan!$C$4:$C$52,0)),"")</f>
        <v/>
      </c>
      <c r="F204" s="49" t="str">
        <f>IF(Tabla_Registro_Tareas1[[#This Row],[Actividad]]=Indice_Aux_Vacio,"",Indice_PROBLAM_Estudiante1)</f>
        <v/>
      </c>
      <c r="G204" s="7"/>
      <c r="H204" s="8"/>
      <c r="I204" s="9"/>
      <c r="K204" s="12" t="str" cm="1">
        <f t="array" ref="K204">IF($B204&lt;&gt;"",TRANSPOSE(_xlfn._xlws.FILTER(plan!$C$4:$C$52, ($B204 &gt;= (plan!$J$4:$J$52-Indice_Plan_ExtensionPlazo))*($B204 &lt;= (plan!$K$4:$K$52+Indice_Plan_ExtensionPlazo)), "")), "")</f>
        <v/>
      </c>
      <c r="BH204" s="4"/>
    </row>
    <row r="205" spans="2:60" x14ac:dyDescent="0.3">
      <c r="B205" s="6"/>
      <c r="C205" s="10"/>
      <c r="D205" s="48" t="str">
        <f>IF(Tabla_Registro_Tareas1[[#This Row],[Actividad]]=Indice_Aux_Vacio,"",IFERROR(INDEX(plan!$D$4:$D$52,MATCH(Tabla_Registro_Tareas1[[#This Row],[Actividad]],plan!$C$4:$C$52,0)),""))</f>
        <v/>
      </c>
      <c r="E205" s="48" t="str">
        <f>IFERROR(INDEX(plan!$E$4:$E$52,MATCH(Tabla_Registro_Tareas1[[#This Row],[Actividad]],plan!$C$4:$C$52,0)),"")</f>
        <v/>
      </c>
      <c r="F205" s="49" t="str">
        <f>IF(Tabla_Registro_Tareas1[[#This Row],[Actividad]]=Indice_Aux_Vacio,"",Indice_PROBLAM_Estudiante1)</f>
        <v/>
      </c>
      <c r="G205" s="7"/>
      <c r="H205" s="8"/>
      <c r="I205" s="9"/>
      <c r="K205" s="12" t="str" cm="1">
        <f t="array" ref="K205">IF($B205&lt;&gt;"",TRANSPOSE(_xlfn._xlws.FILTER(plan!$C$4:$C$52, ($B205 &gt;= (plan!$J$4:$J$52-Indice_Plan_ExtensionPlazo))*($B205 &lt;= (plan!$K$4:$K$52+Indice_Plan_ExtensionPlazo)), "")), "")</f>
        <v/>
      </c>
      <c r="BH205" s="4"/>
    </row>
    <row r="206" spans="2:60" x14ac:dyDescent="0.3">
      <c r="B206" s="6"/>
      <c r="C206" s="10"/>
      <c r="D206" s="48" t="str">
        <f>IF(Tabla_Registro_Tareas1[[#This Row],[Actividad]]=Indice_Aux_Vacio,"",IFERROR(INDEX(plan!$D$4:$D$52,MATCH(Tabla_Registro_Tareas1[[#This Row],[Actividad]],plan!$C$4:$C$52,0)),""))</f>
        <v/>
      </c>
      <c r="E206" s="48" t="str">
        <f>IFERROR(INDEX(plan!$E$4:$E$52,MATCH(Tabla_Registro_Tareas1[[#This Row],[Actividad]],plan!$C$4:$C$52,0)),"")</f>
        <v/>
      </c>
      <c r="F206" s="49" t="str">
        <f>IF(Tabla_Registro_Tareas1[[#This Row],[Actividad]]=Indice_Aux_Vacio,"",Indice_PROBLAM_Estudiante1)</f>
        <v/>
      </c>
      <c r="G206" s="7"/>
      <c r="H206" s="8"/>
      <c r="I206" s="9"/>
      <c r="K206" s="12" t="str" cm="1">
        <f t="array" ref="K206">IF($B206&lt;&gt;"",TRANSPOSE(_xlfn._xlws.FILTER(plan!$C$4:$C$52, ($B206 &gt;= (plan!$J$4:$J$52-Indice_Plan_ExtensionPlazo))*($B206 &lt;= (plan!$K$4:$K$52+Indice_Plan_ExtensionPlazo)), "")), "")</f>
        <v/>
      </c>
      <c r="BH206" s="4"/>
    </row>
    <row r="207" spans="2:60" x14ac:dyDescent="0.3">
      <c r="B207" s="6"/>
      <c r="C207" s="10"/>
      <c r="D207" s="48" t="str">
        <f>IF(Tabla_Registro_Tareas1[[#This Row],[Actividad]]=Indice_Aux_Vacio,"",IFERROR(INDEX(plan!$D$4:$D$52,MATCH(Tabla_Registro_Tareas1[[#This Row],[Actividad]],plan!$C$4:$C$52,0)),""))</f>
        <v/>
      </c>
      <c r="E207" s="48" t="str">
        <f>IFERROR(INDEX(plan!$E$4:$E$52,MATCH(Tabla_Registro_Tareas1[[#This Row],[Actividad]],plan!$C$4:$C$52,0)),"")</f>
        <v/>
      </c>
      <c r="F207" s="49" t="str">
        <f>IF(Tabla_Registro_Tareas1[[#This Row],[Actividad]]=Indice_Aux_Vacio,"",Indice_PROBLAM_Estudiante1)</f>
        <v/>
      </c>
      <c r="G207" s="7"/>
      <c r="H207" s="8"/>
      <c r="I207" s="9"/>
      <c r="K207" s="12" t="str" cm="1">
        <f t="array" ref="K207">IF($B207&lt;&gt;"",TRANSPOSE(_xlfn._xlws.FILTER(plan!$C$4:$C$52, ($B207 &gt;= (plan!$J$4:$J$52-Indice_Plan_ExtensionPlazo))*($B207 &lt;= (plan!$K$4:$K$52+Indice_Plan_ExtensionPlazo)), "")), "")</f>
        <v/>
      </c>
      <c r="BH207" s="4"/>
    </row>
    <row r="208" spans="2:60" x14ac:dyDescent="0.3">
      <c r="B208" s="6"/>
      <c r="C208" s="10"/>
      <c r="D208" s="48" t="str">
        <f>IF(Tabla_Registro_Tareas1[[#This Row],[Actividad]]=Indice_Aux_Vacio,"",IFERROR(INDEX(plan!$D$4:$D$52,MATCH(Tabla_Registro_Tareas1[[#This Row],[Actividad]],plan!$C$4:$C$52,0)),""))</f>
        <v/>
      </c>
      <c r="E208" s="48" t="str">
        <f>IFERROR(INDEX(plan!$E$4:$E$52,MATCH(Tabla_Registro_Tareas1[[#This Row],[Actividad]],plan!$C$4:$C$52,0)),"")</f>
        <v/>
      </c>
      <c r="F208" s="49" t="str">
        <f>IF(Tabla_Registro_Tareas1[[#This Row],[Actividad]]=Indice_Aux_Vacio,"",Indice_PROBLAM_Estudiante1)</f>
        <v/>
      </c>
      <c r="G208" s="7"/>
      <c r="H208" s="8"/>
      <c r="I208" s="9"/>
      <c r="K208" s="12" t="str" cm="1">
        <f t="array" ref="K208">IF($B208&lt;&gt;"",TRANSPOSE(_xlfn._xlws.FILTER(plan!$C$4:$C$52, ($B208 &gt;= (plan!$J$4:$J$52-Indice_Plan_ExtensionPlazo))*($B208 &lt;= (plan!$K$4:$K$52+Indice_Plan_ExtensionPlazo)), "")), "")</f>
        <v/>
      </c>
      <c r="BH208" s="4"/>
    </row>
    <row r="209" spans="2:60" x14ac:dyDescent="0.3">
      <c r="B209" s="6"/>
      <c r="C209" s="10"/>
      <c r="D209" s="48" t="str">
        <f>IF(Tabla_Registro_Tareas1[[#This Row],[Actividad]]=Indice_Aux_Vacio,"",IFERROR(INDEX(plan!$D$4:$D$52,MATCH(Tabla_Registro_Tareas1[[#This Row],[Actividad]],plan!$C$4:$C$52,0)),""))</f>
        <v/>
      </c>
      <c r="E209" s="48" t="str">
        <f>IFERROR(INDEX(plan!$E$4:$E$52,MATCH(Tabla_Registro_Tareas1[[#This Row],[Actividad]],plan!$C$4:$C$52,0)),"")</f>
        <v/>
      </c>
      <c r="F209" s="49" t="str">
        <f>IF(Tabla_Registro_Tareas1[[#This Row],[Actividad]]=Indice_Aux_Vacio,"",Indice_PROBLAM_Estudiante1)</f>
        <v/>
      </c>
      <c r="G209" s="7"/>
      <c r="H209" s="8"/>
      <c r="I209" s="9"/>
      <c r="K209" s="12" t="str" cm="1">
        <f t="array" ref="K209">IF($B209&lt;&gt;"",TRANSPOSE(_xlfn._xlws.FILTER(plan!$C$4:$C$52, ($B209 &gt;= (plan!$J$4:$J$52-Indice_Plan_ExtensionPlazo))*($B209 &lt;= (plan!$K$4:$K$52+Indice_Plan_ExtensionPlazo)), "")), "")</f>
        <v/>
      </c>
      <c r="BH209" s="4"/>
    </row>
    <row r="210" spans="2:60" x14ac:dyDescent="0.3">
      <c r="B210" s="6"/>
      <c r="C210" s="10"/>
      <c r="D210" s="48" t="str">
        <f>IF(Tabla_Registro_Tareas1[[#This Row],[Actividad]]=Indice_Aux_Vacio,"",IFERROR(INDEX(plan!$D$4:$D$52,MATCH(Tabla_Registro_Tareas1[[#This Row],[Actividad]],plan!$C$4:$C$52,0)),""))</f>
        <v/>
      </c>
      <c r="E210" s="48" t="str">
        <f>IFERROR(INDEX(plan!$E$4:$E$52,MATCH(Tabla_Registro_Tareas1[[#This Row],[Actividad]],plan!$C$4:$C$52,0)),"")</f>
        <v/>
      </c>
      <c r="F210" s="49" t="str">
        <f>IF(Tabla_Registro_Tareas1[[#This Row],[Actividad]]=Indice_Aux_Vacio,"",Indice_PROBLAM_Estudiante1)</f>
        <v/>
      </c>
      <c r="G210" s="7"/>
      <c r="H210" s="8"/>
      <c r="I210" s="9"/>
      <c r="K210" s="12" t="str" cm="1">
        <f t="array" ref="K210">IF($B210&lt;&gt;"",TRANSPOSE(_xlfn._xlws.FILTER(plan!$C$4:$C$52, ($B210 &gt;= (plan!$J$4:$J$52-Indice_Plan_ExtensionPlazo))*($B210 &lt;= (plan!$K$4:$K$52+Indice_Plan_ExtensionPlazo)), "")), "")</f>
        <v/>
      </c>
      <c r="BH210" s="4"/>
    </row>
    <row r="211" spans="2:60" x14ac:dyDescent="0.3">
      <c r="B211" s="6"/>
      <c r="C211" s="10"/>
      <c r="D211" s="48" t="str">
        <f>IF(Tabla_Registro_Tareas1[[#This Row],[Actividad]]=Indice_Aux_Vacio,"",IFERROR(INDEX(plan!$D$4:$D$52,MATCH(Tabla_Registro_Tareas1[[#This Row],[Actividad]],plan!$C$4:$C$52,0)),""))</f>
        <v/>
      </c>
      <c r="E211" s="48" t="str">
        <f>IFERROR(INDEX(plan!$E$4:$E$52,MATCH(Tabla_Registro_Tareas1[[#This Row],[Actividad]],plan!$C$4:$C$52,0)),"")</f>
        <v/>
      </c>
      <c r="F211" s="49" t="str">
        <f>IF(Tabla_Registro_Tareas1[[#This Row],[Actividad]]=Indice_Aux_Vacio,"",Indice_PROBLAM_Estudiante1)</f>
        <v/>
      </c>
      <c r="G211" s="7"/>
      <c r="H211" s="8"/>
      <c r="I211" s="9"/>
      <c r="K211" s="12" t="str" cm="1">
        <f t="array" ref="K211">IF($B211&lt;&gt;"",TRANSPOSE(_xlfn._xlws.FILTER(plan!$C$4:$C$52, ($B211 &gt;= (plan!$J$4:$J$52-Indice_Plan_ExtensionPlazo))*($B211 &lt;= (plan!$K$4:$K$52+Indice_Plan_ExtensionPlazo)), "")), "")</f>
        <v/>
      </c>
      <c r="BH211" s="4"/>
    </row>
    <row r="212" spans="2:60" x14ac:dyDescent="0.3">
      <c r="B212" s="6"/>
      <c r="C212" s="10"/>
      <c r="D212" s="48" t="str">
        <f>IF(Tabla_Registro_Tareas1[[#This Row],[Actividad]]=Indice_Aux_Vacio,"",IFERROR(INDEX(plan!$D$4:$D$52,MATCH(Tabla_Registro_Tareas1[[#This Row],[Actividad]],plan!$C$4:$C$52,0)),""))</f>
        <v/>
      </c>
      <c r="E212" s="48" t="str">
        <f>IFERROR(INDEX(plan!$E$4:$E$52,MATCH(Tabla_Registro_Tareas1[[#This Row],[Actividad]],plan!$C$4:$C$52,0)),"")</f>
        <v/>
      </c>
      <c r="F212" s="49" t="str">
        <f>IF(Tabla_Registro_Tareas1[[#This Row],[Actividad]]=Indice_Aux_Vacio,"",Indice_PROBLAM_Estudiante1)</f>
        <v/>
      </c>
      <c r="G212" s="7"/>
      <c r="H212" s="8"/>
      <c r="I212" s="9"/>
      <c r="K212" s="12" t="str" cm="1">
        <f t="array" ref="K212">IF($B212&lt;&gt;"",TRANSPOSE(_xlfn._xlws.FILTER(plan!$C$4:$C$52, ($B212 &gt;= (plan!$J$4:$J$52-Indice_Plan_ExtensionPlazo))*($B212 &lt;= (plan!$K$4:$K$52+Indice_Plan_ExtensionPlazo)), "")), "")</f>
        <v/>
      </c>
      <c r="BH212" s="4"/>
    </row>
    <row r="213" spans="2:60" x14ac:dyDescent="0.3">
      <c r="B213" s="6"/>
      <c r="C213" s="10"/>
      <c r="D213" s="48" t="str">
        <f>IF(Tabla_Registro_Tareas1[[#This Row],[Actividad]]=Indice_Aux_Vacio,"",IFERROR(INDEX(plan!$D$4:$D$52,MATCH(Tabla_Registro_Tareas1[[#This Row],[Actividad]],plan!$C$4:$C$52,0)),""))</f>
        <v/>
      </c>
      <c r="E213" s="48" t="str">
        <f>IFERROR(INDEX(plan!$E$4:$E$52,MATCH(Tabla_Registro_Tareas1[[#This Row],[Actividad]],plan!$C$4:$C$52,0)),"")</f>
        <v/>
      </c>
      <c r="F213" s="49" t="str">
        <f>IF(Tabla_Registro_Tareas1[[#This Row],[Actividad]]=Indice_Aux_Vacio,"",Indice_PROBLAM_Estudiante1)</f>
        <v/>
      </c>
      <c r="G213" s="7"/>
      <c r="H213" s="8"/>
      <c r="I213" s="9"/>
      <c r="K213" s="12" t="str" cm="1">
        <f t="array" ref="K213">IF($B213&lt;&gt;"",TRANSPOSE(_xlfn._xlws.FILTER(plan!$C$4:$C$52, ($B213 &gt;= (plan!$J$4:$J$52-Indice_Plan_ExtensionPlazo))*($B213 &lt;= (plan!$K$4:$K$52+Indice_Plan_ExtensionPlazo)), "")), "")</f>
        <v/>
      </c>
      <c r="BH213" s="4"/>
    </row>
    <row r="214" spans="2:60" x14ac:dyDescent="0.3">
      <c r="B214" s="6"/>
      <c r="C214" s="10"/>
      <c r="D214" s="48" t="str">
        <f>IF(Tabla_Registro_Tareas1[[#This Row],[Actividad]]=Indice_Aux_Vacio,"",IFERROR(INDEX(plan!$D$4:$D$52,MATCH(Tabla_Registro_Tareas1[[#This Row],[Actividad]],plan!$C$4:$C$52,0)),""))</f>
        <v/>
      </c>
      <c r="E214" s="48" t="str">
        <f>IFERROR(INDEX(plan!$E$4:$E$52,MATCH(Tabla_Registro_Tareas1[[#This Row],[Actividad]],plan!$C$4:$C$52,0)),"")</f>
        <v/>
      </c>
      <c r="F214" s="49" t="str">
        <f>IF(Tabla_Registro_Tareas1[[#This Row],[Actividad]]=Indice_Aux_Vacio,"",Indice_PROBLAM_Estudiante1)</f>
        <v/>
      </c>
      <c r="G214" s="7"/>
      <c r="H214" s="8"/>
      <c r="I214" s="9"/>
      <c r="K214" s="12" t="str" cm="1">
        <f t="array" ref="K214">IF($B214&lt;&gt;"",TRANSPOSE(_xlfn._xlws.FILTER(plan!$C$4:$C$52, ($B214 &gt;= (plan!$J$4:$J$52-Indice_Plan_ExtensionPlazo))*($B214 &lt;= (plan!$K$4:$K$52+Indice_Plan_ExtensionPlazo)), "")), "")</f>
        <v/>
      </c>
      <c r="BH214" s="4"/>
    </row>
    <row r="215" spans="2:60" x14ac:dyDescent="0.3">
      <c r="B215" s="6"/>
      <c r="C215" s="10"/>
      <c r="D215" s="48" t="str">
        <f>IF(Tabla_Registro_Tareas1[[#This Row],[Actividad]]=Indice_Aux_Vacio,"",IFERROR(INDEX(plan!$D$4:$D$52,MATCH(Tabla_Registro_Tareas1[[#This Row],[Actividad]],plan!$C$4:$C$52,0)),""))</f>
        <v/>
      </c>
      <c r="E215" s="48" t="str">
        <f>IFERROR(INDEX(plan!$E$4:$E$52,MATCH(Tabla_Registro_Tareas1[[#This Row],[Actividad]],plan!$C$4:$C$52,0)),"")</f>
        <v/>
      </c>
      <c r="F215" s="49" t="str">
        <f>IF(Tabla_Registro_Tareas1[[#This Row],[Actividad]]=Indice_Aux_Vacio,"",Indice_PROBLAM_Estudiante1)</f>
        <v/>
      </c>
      <c r="G215" s="7"/>
      <c r="H215" s="8"/>
      <c r="I215" s="9"/>
      <c r="K215" s="12" t="str" cm="1">
        <f t="array" ref="K215">IF($B215&lt;&gt;"",TRANSPOSE(_xlfn._xlws.FILTER(plan!$C$4:$C$52, ($B215 &gt;= (plan!$J$4:$J$52-Indice_Plan_ExtensionPlazo))*($B215 &lt;= (plan!$K$4:$K$52+Indice_Plan_ExtensionPlazo)), "")), "")</f>
        <v/>
      </c>
      <c r="BH215" s="4"/>
    </row>
    <row r="216" spans="2:60" x14ac:dyDescent="0.3">
      <c r="B216" s="6"/>
      <c r="C216" s="10"/>
      <c r="D216" s="48" t="str">
        <f>IF(Tabla_Registro_Tareas1[[#This Row],[Actividad]]=Indice_Aux_Vacio,"",IFERROR(INDEX(plan!$D$4:$D$52,MATCH(Tabla_Registro_Tareas1[[#This Row],[Actividad]],plan!$C$4:$C$52,0)),""))</f>
        <v/>
      </c>
      <c r="E216" s="48" t="str">
        <f>IFERROR(INDEX(plan!$E$4:$E$52,MATCH(Tabla_Registro_Tareas1[[#This Row],[Actividad]],plan!$C$4:$C$52,0)),"")</f>
        <v/>
      </c>
      <c r="F216" s="49" t="str">
        <f>IF(Tabla_Registro_Tareas1[[#This Row],[Actividad]]=Indice_Aux_Vacio,"",Indice_PROBLAM_Estudiante1)</f>
        <v/>
      </c>
      <c r="G216" s="7"/>
      <c r="H216" s="8"/>
      <c r="I216" s="9"/>
      <c r="K216" s="12" t="str" cm="1">
        <f t="array" ref="K216">IF($B216&lt;&gt;"",TRANSPOSE(_xlfn._xlws.FILTER(plan!$C$4:$C$52, ($B216 &gt;= (plan!$J$4:$J$52-Indice_Plan_ExtensionPlazo))*($B216 &lt;= (plan!$K$4:$K$52+Indice_Plan_ExtensionPlazo)), "")), "")</f>
        <v/>
      </c>
      <c r="BH216" s="4"/>
    </row>
    <row r="217" spans="2:60" x14ac:dyDescent="0.3">
      <c r="B217" s="6"/>
      <c r="C217" s="10"/>
      <c r="D217" s="48" t="str">
        <f>IF(Tabla_Registro_Tareas1[[#This Row],[Actividad]]=Indice_Aux_Vacio,"",IFERROR(INDEX(plan!$D$4:$D$52,MATCH(Tabla_Registro_Tareas1[[#This Row],[Actividad]],plan!$C$4:$C$52,0)),""))</f>
        <v/>
      </c>
      <c r="E217" s="48" t="str">
        <f>IFERROR(INDEX(plan!$E$4:$E$52,MATCH(Tabla_Registro_Tareas1[[#This Row],[Actividad]],plan!$C$4:$C$52,0)),"")</f>
        <v/>
      </c>
      <c r="F217" s="49" t="str">
        <f>IF(Tabla_Registro_Tareas1[[#This Row],[Actividad]]=Indice_Aux_Vacio,"",Indice_PROBLAM_Estudiante1)</f>
        <v/>
      </c>
      <c r="G217" s="7"/>
      <c r="H217" s="8"/>
      <c r="I217" s="9"/>
      <c r="K217" s="12" t="str" cm="1">
        <f t="array" ref="K217">IF($B217&lt;&gt;"",TRANSPOSE(_xlfn._xlws.FILTER(plan!$C$4:$C$52, ($B217 &gt;= (plan!$J$4:$J$52-Indice_Plan_ExtensionPlazo))*($B217 &lt;= (plan!$K$4:$K$52+Indice_Plan_ExtensionPlazo)), "")), "")</f>
        <v/>
      </c>
      <c r="BH217" s="4"/>
    </row>
    <row r="218" spans="2:60" x14ac:dyDescent="0.3">
      <c r="B218" s="6"/>
      <c r="C218" s="10"/>
      <c r="D218" s="48" t="str">
        <f>IF(Tabla_Registro_Tareas1[[#This Row],[Actividad]]=Indice_Aux_Vacio,"",IFERROR(INDEX(plan!$D$4:$D$52,MATCH(Tabla_Registro_Tareas1[[#This Row],[Actividad]],plan!$C$4:$C$52,0)),""))</f>
        <v/>
      </c>
      <c r="E218" s="48" t="str">
        <f>IFERROR(INDEX(plan!$E$4:$E$52,MATCH(Tabla_Registro_Tareas1[[#This Row],[Actividad]],plan!$C$4:$C$52,0)),"")</f>
        <v/>
      </c>
      <c r="F218" s="49" t="str">
        <f>IF(Tabla_Registro_Tareas1[[#This Row],[Actividad]]=Indice_Aux_Vacio,"",Indice_PROBLAM_Estudiante1)</f>
        <v/>
      </c>
      <c r="G218" s="7"/>
      <c r="H218" s="8"/>
      <c r="I218" s="9"/>
      <c r="K218" s="12" t="str" cm="1">
        <f t="array" ref="K218">IF($B218&lt;&gt;"",TRANSPOSE(_xlfn._xlws.FILTER(plan!$C$4:$C$52, ($B218 &gt;= (plan!$J$4:$J$52-Indice_Plan_ExtensionPlazo))*($B218 &lt;= (plan!$K$4:$K$52+Indice_Plan_ExtensionPlazo)), "")), "")</f>
        <v/>
      </c>
      <c r="BH218" s="4"/>
    </row>
    <row r="219" spans="2:60" x14ac:dyDescent="0.3">
      <c r="B219" s="6"/>
      <c r="C219" s="10"/>
      <c r="D219" s="48" t="str">
        <f>IF(Tabla_Registro_Tareas1[[#This Row],[Actividad]]=Indice_Aux_Vacio,"",IFERROR(INDEX(plan!$D$4:$D$52,MATCH(Tabla_Registro_Tareas1[[#This Row],[Actividad]],plan!$C$4:$C$52,0)),""))</f>
        <v/>
      </c>
      <c r="E219" s="48" t="str">
        <f>IFERROR(INDEX(plan!$E$4:$E$52,MATCH(Tabla_Registro_Tareas1[[#This Row],[Actividad]],plan!$C$4:$C$52,0)),"")</f>
        <v/>
      </c>
      <c r="F219" s="49" t="str">
        <f>IF(Tabla_Registro_Tareas1[[#This Row],[Actividad]]=Indice_Aux_Vacio,"",Indice_PROBLAM_Estudiante1)</f>
        <v/>
      </c>
      <c r="G219" s="7"/>
      <c r="H219" s="8"/>
      <c r="I219" s="9"/>
      <c r="K219" s="12" t="str" cm="1">
        <f t="array" ref="K219">IF($B219&lt;&gt;"",TRANSPOSE(_xlfn._xlws.FILTER(plan!$C$4:$C$52, ($B219 &gt;= (plan!$J$4:$J$52-Indice_Plan_ExtensionPlazo))*($B219 &lt;= (plan!$K$4:$K$52+Indice_Plan_ExtensionPlazo)), "")), "")</f>
        <v/>
      </c>
      <c r="BH219" s="4"/>
    </row>
    <row r="220" spans="2:60" x14ac:dyDescent="0.3">
      <c r="B220" s="6"/>
      <c r="C220" s="10"/>
      <c r="D220" s="48" t="str">
        <f>IF(Tabla_Registro_Tareas1[[#This Row],[Actividad]]=Indice_Aux_Vacio,"",IFERROR(INDEX(plan!$D$4:$D$52,MATCH(Tabla_Registro_Tareas1[[#This Row],[Actividad]],plan!$C$4:$C$52,0)),""))</f>
        <v/>
      </c>
      <c r="E220" s="48" t="str">
        <f>IFERROR(INDEX(plan!$E$4:$E$52,MATCH(Tabla_Registro_Tareas1[[#This Row],[Actividad]],plan!$C$4:$C$52,0)),"")</f>
        <v/>
      </c>
      <c r="F220" s="49" t="str">
        <f>IF(Tabla_Registro_Tareas1[[#This Row],[Actividad]]=Indice_Aux_Vacio,"",Indice_PROBLAM_Estudiante1)</f>
        <v/>
      </c>
      <c r="G220" s="7"/>
      <c r="H220" s="8"/>
      <c r="I220" s="9"/>
      <c r="K220" s="12" t="str" cm="1">
        <f t="array" ref="K220">IF($B220&lt;&gt;"",TRANSPOSE(_xlfn._xlws.FILTER(plan!$C$4:$C$52, ($B220 &gt;= (plan!$J$4:$J$52-Indice_Plan_ExtensionPlazo))*($B220 &lt;= (plan!$K$4:$K$52+Indice_Plan_ExtensionPlazo)), "")), "")</f>
        <v/>
      </c>
      <c r="BH220" s="4"/>
    </row>
    <row r="221" spans="2:60" x14ac:dyDescent="0.3">
      <c r="B221" s="6"/>
      <c r="C221" s="10"/>
      <c r="D221" s="48" t="str">
        <f>IF(Tabla_Registro_Tareas1[[#This Row],[Actividad]]=Indice_Aux_Vacio,"",IFERROR(INDEX(plan!$D$4:$D$52,MATCH(Tabla_Registro_Tareas1[[#This Row],[Actividad]],plan!$C$4:$C$52,0)),""))</f>
        <v/>
      </c>
      <c r="E221" s="48" t="str">
        <f>IFERROR(INDEX(plan!$E$4:$E$52,MATCH(Tabla_Registro_Tareas1[[#This Row],[Actividad]],plan!$C$4:$C$52,0)),"")</f>
        <v/>
      </c>
      <c r="F221" s="49" t="str">
        <f>IF(Tabla_Registro_Tareas1[[#This Row],[Actividad]]=Indice_Aux_Vacio,"",Indice_PROBLAM_Estudiante1)</f>
        <v/>
      </c>
      <c r="G221" s="7"/>
      <c r="H221" s="8"/>
      <c r="I221" s="9"/>
      <c r="K221" s="12" t="str" cm="1">
        <f t="array" ref="K221">IF($B221&lt;&gt;"",TRANSPOSE(_xlfn._xlws.FILTER(plan!$C$4:$C$52, ($B221 &gt;= (plan!$J$4:$J$52-Indice_Plan_ExtensionPlazo))*($B221 &lt;= (plan!$K$4:$K$52+Indice_Plan_ExtensionPlazo)), "")), "")</f>
        <v/>
      </c>
      <c r="BH221" s="4"/>
    </row>
    <row r="222" spans="2:60" x14ac:dyDescent="0.3">
      <c r="B222" s="6"/>
      <c r="C222" s="10"/>
      <c r="D222" s="48" t="str">
        <f>IF(Tabla_Registro_Tareas1[[#This Row],[Actividad]]=Indice_Aux_Vacio,"",IFERROR(INDEX(plan!$D$4:$D$52,MATCH(Tabla_Registro_Tareas1[[#This Row],[Actividad]],plan!$C$4:$C$52,0)),""))</f>
        <v/>
      </c>
      <c r="E222" s="48" t="str">
        <f>IFERROR(INDEX(plan!$E$4:$E$52,MATCH(Tabla_Registro_Tareas1[[#This Row],[Actividad]],plan!$C$4:$C$52,0)),"")</f>
        <v/>
      </c>
      <c r="F222" s="49" t="str">
        <f>IF(Tabla_Registro_Tareas1[[#This Row],[Actividad]]=Indice_Aux_Vacio,"",Indice_PROBLAM_Estudiante1)</f>
        <v/>
      </c>
      <c r="G222" s="7"/>
      <c r="H222" s="8"/>
      <c r="I222" s="9"/>
      <c r="K222" s="12" t="str" cm="1">
        <f t="array" ref="K222">IF($B222&lt;&gt;"",TRANSPOSE(_xlfn._xlws.FILTER(plan!$C$4:$C$52, ($B222 &gt;= (plan!$J$4:$J$52-Indice_Plan_ExtensionPlazo))*($B222 &lt;= (plan!$K$4:$K$52+Indice_Plan_ExtensionPlazo)), "")), "")</f>
        <v/>
      </c>
      <c r="BH222" s="4"/>
    </row>
    <row r="223" spans="2:60" x14ac:dyDescent="0.3">
      <c r="B223" s="6"/>
      <c r="C223" s="10"/>
      <c r="D223" s="48" t="str">
        <f>IF(Tabla_Registro_Tareas1[[#This Row],[Actividad]]=Indice_Aux_Vacio,"",IFERROR(INDEX(plan!$D$4:$D$52,MATCH(Tabla_Registro_Tareas1[[#This Row],[Actividad]],plan!$C$4:$C$52,0)),""))</f>
        <v/>
      </c>
      <c r="E223" s="48" t="str">
        <f>IFERROR(INDEX(plan!$E$4:$E$52,MATCH(Tabla_Registro_Tareas1[[#This Row],[Actividad]],plan!$C$4:$C$52,0)),"")</f>
        <v/>
      </c>
      <c r="F223" s="49" t="str">
        <f>IF(Tabla_Registro_Tareas1[[#This Row],[Actividad]]=Indice_Aux_Vacio,"",Indice_PROBLAM_Estudiante1)</f>
        <v/>
      </c>
      <c r="G223" s="7"/>
      <c r="H223" s="8"/>
      <c r="I223" s="9"/>
      <c r="K223" s="12" t="str" cm="1">
        <f t="array" ref="K223">IF($B223&lt;&gt;"",TRANSPOSE(_xlfn._xlws.FILTER(plan!$C$4:$C$52, ($B223 &gt;= (plan!$J$4:$J$52-Indice_Plan_ExtensionPlazo))*($B223 &lt;= (plan!$K$4:$K$52+Indice_Plan_ExtensionPlazo)), "")), "")</f>
        <v/>
      </c>
      <c r="BH223" s="4"/>
    </row>
    <row r="224" spans="2:60" x14ac:dyDescent="0.3">
      <c r="B224" s="6"/>
      <c r="C224" s="10"/>
      <c r="D224" s="48" t="str">
        <f>IF(Tabla_Registro_Tareas1[[#This Row],[Actividad]]=Indice_Aux_Vacio,"",IFERROR(INDEX(plan!$D$4:$D$52,MATCH(Tabla_Registro_Tareas1[[#This Row],[Actividad]],plan!$C$4:$C$52,0)),""))</f>
        <v/>
      </c>
      <c r="E224" s="48" t="str">
        <f>IFERROR(INDEX(plan!$E$4:$E$52,MATCH(Tabla_Registro_Tareas1[[#This Row],[Actividad]],plan!$C$4:$C$52,0)),"")</f>
        <v/>
      </c>
      <c r="F224" s="49" t="str">
        <f>IF(Tabla_Registro_Tareas1[[#This Row],[Actividad]]=Indice_Aux_Vacio,"",Indice_PROBLAM_Estudiante1)</f>
        <v/>
      </c>
      <c r="G224" s="7"/>
      <c r="H224" s="8"/>
      <c r="I224" s="9"/>
      <c r="K224" s="12" t="str" cm="1">
        <f t="array" ref="K224">IF($B224&lt;&gt;"",TRANSPOSE(_xlfn._xlws.FILTER(plan!$C$4:$C$52, ($B224 &gt;= (plan!$J$4:$J$52-Indice_Plan_ExtensionPlazo))*($B224 &lt;= (plan!$K$4:$K$52+Indice_Plan_ExtensionPlazo)), "")), "")</f>
        <v/>
      </c>
      <c r="BH224" s="4"/>
    </row>
    <row r="225" spans="2:60" x14ac:dyDescent="0.3">
      <c r="B225" s="6"/>
      <c r="C225" s="10"/>
      <c r="D225" s="48" t="str">
        <f>IF(Tabla_Registro_Tareas1[[#This Row],[Actividad]]=Indice_Aux_Vacio,"",IFERROR(INDEX(plan!$D$4:$D$52,MATCH(Tabla_Registro_Tareas1[[#This Row],[Actividad]],plan!$C$4:$C$52,0)),""))</f>
        <v/>
      </c>
      <c r="E225" s="48" t="str">
        <f>IFERROR(INDEX(plan!$E$4:$E$52,MATCH(Tabla_Registro_Tareas1[[#This Row],[Actividad]],plan!$C$4:$C$52,0)),"")</f>
        <v/>
      </c>
      <c r="F225" s="49" t="str">
        <f>IF(Tabla_Registro_Tareas1[[#This Row],[Actividad]]=Indice_Aux_Vacio,"",Indice_PROBLAM_Estudiante1)</f>
        <v/>
      </c>
      <c r="G225" s="7"/>
      <c r="H225" s="8"/>
      <c r="I225" s="9"/>
      <c r="K225" s="12" t="str" cm="1">
        <f t="array" ref="K225">IF($B225&lt;&gt;"",TRANSPOSE(_xlfn._xlws.FILTER(plan!$C$4:$C$52, ($B225 &gt;= (plan!$J$4:$J$52-Indice_Plan_ExtensionPlazo))*($B225 &lt;= (plan!$K$4:$K$52+Indice_Plan_ExtensionPlazo)), "")), "")</f>
        <v/>
      </c>
      <c r="BH225" s="4"/>
    </row>
    <row r="226" spans="2:60" x14ac:dyDescent="0.3">
      <c r="B226" s="6"/>
      <c r="C226" s="10"/>
      <c r="D226" s="48" t="str">
        <f>IF(Tabla_Registro_Tareas1[[#This Row],[Actividad]]=Indice_Aux_Vacio,"",IFERROR(INDEX(plan!$D$4:$D$52,MATCH(Tabla_Registro_Tareas1[[#This Row],[Actividad]],plan!$C$4:$C$52,0)),""))</f>
        <v/>
      </c>
      <c r="E226" s="48" t="str">
        <f>IFERROR(INDEX(plan!$E$4:$E$52,MATCH(Tabla_Registro_Tareas1[[#This Row],[Actividad]],plan!$C$4:$C$52,0)),"")</f>
        <v/>
      </c>
      <c r="F226" s="49" t="str">
        <f>IF(Tabla_Registro_Tareas1[[#This Row],[Actividad]]=Indice_Aux_Vacio,"",Indice_PROBLAM_Estudiante1)</f>
        <v/>
      </c>
      <c r="G226" s="7"/>
      <c r="H226" s="8"/>
      <c r="I226" s="9"/>
      <c r="K226" s="12" t="str" cm="1">
        <f t="array" ref="K226">IF($B226&lt;&gt;"",TRANSPOSE(_xlfn._xlws.FILTER(plan!$C$4:$C$52, ($B226 &gt;= (plan!$J$4:$J$52-Indice_Plan_ExtensionPlazo))*($B226 &lt;= (plan!$K$4:$K$52+Indice_Plan_ExtensionPlazo)), "")), "")</f>
        <v/>
      </c>
      <c r="BH226" s="4"/>
    </row>
    <row r="227" spans="2:60" x14ac:dyDescent="0.3">
      <c r="B227" s="6"/>
      <c r="C227" s="10"/>
      <c r="D227" s="48" t="str">
        <f>IF(Tabla_Registro_Tareas1[[#This Row],[Actividad]]=Indice_Aux_Vacio,"",IFERROR(INDEX(plan!$D$4:$D$52,MATCH(Tabla_Registro_Tareas1[[#This Row],[Actividad]],plan!$C$4:$C$52,0)),""))</f>
        <v/>
      </c>
      <c r="E227" s="48" t="str">
        <f>IFERROR(INDEX(plan!$E$4:$E$52,MATCH(Tabla_Registro_Tareas1[[#This Row],[Actividad]],plan!$C$4:$C$52,0)),"")</f>
        <v/>
      </c>
      <c r="F227" s="49" t="str">
        <f>IF(Tabla_Registro_Tareas1[[#This Row],[Actividad]]=Indice_Aux_Vacio,"",Indice_PROBLAM_Estudiante1)</f>
        <v/>
      </c>
      <c r="G227" s="7"/>
      <c r="H227" s="8"/>
      <c r="I227" s="9"/>
      <c r="K227" s="12" t="str" cm="1">
        <f t="array" ref="K227">IF($B227&lt;&gt;"",TRANSPOSE(_xlfn._xlws.FILTER(plan!$C$4:$C$52, ($B227 &gt;= (plan!$J$4:$J$52-Indice_Plan_ExtensionPlazo))*($B227 &lt;= (plan!$K$4:$K$52+Indice_Plan_ExtensionPlazo)), "")), "")</f>
        <v/>
      </c>
      <c r="BH227" s="4"/>
    </row>
    <row r="228" spans="2:60" x14ac:dyDescent="0.3">
      <c r="B228" s="6"/>
      <c r="C228" s="10"/>
      <c r="D228" s="48" t="str">
        <f>IF(Tabla_Registro_Tareas1[[#This Row],[Actividad]]=Indice_Aux_Vacio,"",IFERROR(INDEX(plan!$D$4:$D$52,MATCH(Tabla_Registro_Tareas1[[#This Row],[Actividad]],plan!$C$4:$C$52,0)),""))</f>
        <v/>
      </c>
      <c r="E228" s="48" t="str">
        <f>IFERROR(INDEX(plan!$E$4:$E$52,MATCH(Tabla_Registro_Tareas1[[#This Row],[Actividad]],plan!$C$4:$C$52,0)),"")</f>
        <v/>
      </c>
      <c r="F228" s="49" t="str">
        <f>IF(Tabla_Registro_Tareas1[[#This Row],[Actividad]]=Indice_Aux_Vacio,"",Indice_PROBLAM_Estudiante1)</f>
        <v/>
      </c>
      <c r="G228" s="7"/>
      <c r="H228" s="8"/>
      <c r="I228" s="9"/>
      <c r="K228" s="12" t="str" cm="1">
        <f t="array" ref="K228">IF($B228&lt;&gt;"",TRANSPOSE(_xlfn._xlws.FILTER(plan!$C$4:$C$52, ($B228 &gt;= (plan!$J$4:$J$52-Indice_Plan_ExtensionPlazo))*($B228 &lt;= (plan!$K$4:$K$52+Indice_Plan_ExtensionPlazo)), "")), "")</f>
        <v/>
      </c>
      <c r="BH228" s="4"/>
    </row>
    <row r="229" spans="2:60" x14ac:dyDescent="0.3">
      <c r="B229" s="6"/>
      <c r="C229" s="10"/>
      <c r="D229" s="48" t="str">
        <f>IF(Tabla_Registro_Tareas1[[#This Row],[Actividad]]=Indice_Aux_Vacio,"",IFERROR(INDEX(plan!$D$4:$D$52,MATCH(Tabla_Registro_Tareas1[[#This Row],[Actividad]],plan!$C$4:$C$52,0)),""))</f>
        <v/>
      </c>
      <c r="E229" s="48" t="str">
        <f>IFERROR(INDEX(plan!$E$4:$E$52,MATCH(Tabla_Registro_Tareas1[[#This Row],[Actividad]],plan!$C$4:$C$52,0)),"")</f>
        <v/>
      </c>
      <c r="F229" s="49" t="str">
        <f>IF(Tabla_Registro_Tareas1[[#This Row],[Actividad]]=Indice_Aux_Vacio,"",Indice_PROBLAM_Estudiante1)</f>
        <v/>
      </c>
      <c r="G229" s="7"/>
      <c r="H229" s="8"/>
      <c r="I229" s="9"/>
      <c r="K229" s="12" t="str" cm="1">
        <f t="array" ref="K229">IF($B229&lt;&gt;"",TRANSPOSE(_xlfn._xlws.FILTER(plan!$C$4:$C$52, ($B229 &gt;= (plan!$J$4:$J$52-Indice_Plan_ExtensionPlazo))*($B229 &lt;= (plan!$K$4:$K$52+Indice_Plan_ExtensionPlazo)), "")), "")</f>
        <v/>
      </c>
      <c r="BH229" s="4"/>
    </row>
    <row r="230" spans="2:60" x14ac:dyDescent="0.3">
      <c r="B230" s="6"/>
      <c r="C230" s="10"/>
      <c r="D230" s="48" t="str">
        <f>IF(Tabla_Registro_Tareas1[[#This Row],[Actividad]]=Indice_Aux_Vacio,"",IFERROR(INDEX(plan!$D$4:$D$52,MATCH(Tabla_Registro_Tareas1[[#This Row],[Actividad]],plan!$C$4:$C$52,0)),""))</f>
        <v/>
      </c>
      <c r="E230" s="48" t="str">
        <f>IFERROR(INDEX(plan!$E$4:$E$52,MATCH(Tabla_Registro_Tareas1[[#This Row],[Actividad]],plan!$C$4:$C$52,0)),"")</f>
        <v/>
      </c>
      <c r="F230" s="49" t="str">
        <f>IF(Tabla_Registro_Tareas1[[#This Row],[Actividad]]=Indice_Aux_Vacio,"",Indice_PROBLAM_Estudiante1)</f>
        <v/>
      </c>
      <c r="G230" s="7"/>
      <c r="H230" s="8"/>
      <c r="I230" s="9"/>
      <c r="K230" s="12" t="str" cm="1">
        <f t="array" ref="K230">IF($B230&lt;&gt;"",TRANSPOSE(_xlfn._xlws.FILTER(plan!$C$4:$C$52, ($B230 &gt;= (plan!$J$4:$J$52-Indice_Plan_ExtensionPlazo))*($B230 &lt;= (plan!$K$4:$K$52+Indice_Plan_ExtensionPlazo)), "")), "")</f>
        <v/>
      </c>
      <c r="BH230" s="4"/>
    </row>
    <row r="231" spans="2:60" x14ac:dyDescent="0.3">
      <c r="B231" s="6"/>
      <c r="C231" s="10"/>
      <c r="D231" s="48" t="str">
        <f>IF(Tabla_Registro_Tareas1[[#This Row],[Actividad]]=Indice_Aux_Vacio,"",IFERROR(INDEX(plan!$D$4:$D$52,MATCH(Tabla_Registro_Tareas1[[#This Row],[Actividad]],plan!$C$4:$C$52,0)),""))</f>
        <v/>
      </c>
      <c r="E231" s="48" t="str">
        <f>IFERROR(INDEX(plan!$E$4:$E$52,MATCH(Tabla_Registro_Tareas1[[#This Row],[Actividad]],plan!$C$4:$C$52,0)),"")</f>
        <v/>
      </c>
      <c r="F231" s="49" t="str">
        <f>IF(Tabla_Registro_Tareas1[[#This Row],[Actividad]]=Indice_Aux_Vacio,"",Indice_PROBLAM_Estudiante1)</f>
        <v/>
      </c>
      <c r="G231" s="7"/>
      <c r="H231" s="8"/>
      <c r="I231" s="9"/>
      <c r="K231" s="12" t="str" cm="1">
        <f t="array" ref="K231">IF($B231&lt;&gt;"",TRANSPOSE(_xlfn._xlws.FILTER(plan!$C$4:$C$52, ($B231 &gt;= (plan!$J$4:$J$52-Indice_Plan_ExtensionPlazo))*($B231 &lt;= (plan!$K$4:$K$52+Indice_Plan_ExtensionPlazo)), "")), "")</f>
        <v/>
      </c>
      <c r="BH231" s="4"/>
    </row>
    <row r="232" spans="2:60" x14ac:dyDescent="0.3">
      <c r="B232" s="6"/>
      <c r="C232" s="10"/>
      <c r="D232" s="48" t="str">
        <f>IF(Tabla_Registro_Tareas1[[#This Row],[Actividad]]=Indice_Aux_Vacio,"",IFERROR(INDEX(plan!$D$4:$D$52,MATCH(Tabla_Registro_Tareas1[[#This Row],[Actividad]],plan!$C$4:$C$52,0)),""))</f>
        <v/>
      </c>
      <c r="E232" s="48" t="str">
        <f>IFERROR(INDEX(plan!$E$4:$E$52,MATCH(Tabla_Registro_Tareas1[[#This Row],[Actividad]],plan!$C$4:$C$52,0)),"")</f>
        <v/>
      </c>
      <c r="F232" s="49" t="str">
        <f>IF(Tabla_Registro_Tareas1[[#This Row],[Actividad]]=Indice_Aux_Vacio,"",Indice_PROBLAM_Estudiante1)</f>
        <v/>
      </c>
      <c r="G232" s="7"/>
      <c r="H232" s="8"/>
      <c r="I232" s="9"/>
      <c r="K232" s="12" t="str" cm="1">
        <f t="array" ref="K232">IF($B232&lt;&gt;"",TRANSPOSE(_xlfn._xlws.FILTER(plan!$C$4:$C$52, ($B232 &gt;= (plan!$J$4:$J$52-Indice_Plan_ExtensionPlazo))*($B232 &lt;= (plan!$K$4:$K$52+Indice_Plan_ExtensionPlazo)), "")), "")</f>
        <v/>
      </c>
      <c r="BH232" s="4"/>
    </row>
    <row r="233" spans="2:60" x14ac:dyDescent="0.3">
      <c r="B233" s="6"/>
      <c r="C233" s="10"/>
      <c r="D233" s="48" t="str">
        <f>IF(Tabla_Registro_Tareas1[[#This Row],[Actividad]]=Indice_Aux_Vacio,"",IFERROR(INDEX(plan!$D$4:$D$52,MATCH(Tabla_Registro_Tareas1[[#This Row],[Actividad]],plan!$C$4:$C$52,0)),""))</f>
        <v/>
      </c>
      <c r="E233" s="48" t="str">
        <f>IFERROR(INDEX(plan!$E$4:$E$52,MATCH(Tabla_Registro_Tareas1[[#This Row],[Actividad]],plan!$C$4:$C$52,0)),"")</f>
        <v/>
      </c>
      <c r="F233" s="49" t="str">
        <f>IF(Tabla_Registro_Tareas1[[#This Row],[Actividad]]=Indice_Aux_Vacio,"",Indice_PROBLAM_Estudiante1)</f>
        <v/>
      </c>
      <c r="G233" s="7"/>
      <c r="H233" s="8"/>
      <c r="I233" s="9"/>
      <c r="K233" s="12" t="str" cm="1">
        <f t="array" ref="K233">IF($B233&lt;&gt;"",TRANSPOSE(_xlfn._xlws.FILTER(plan!$C$4:$C$52, ($B233 &gt;= (plan!$J$4:$J$52-Indice_Plan_ExtensionPlazo))*($B233 &lt;= (plan!$K$4:$K$52+Indice_Plan_ExtensionPlazo)), "")), "")</f>
        <v/>
      </c>
      <c r="BH233" s="4"/>
    </row>
    <row r="234" spans="2:60" x14ac:dyDescent="0.3">
      <c r="B234" s="6"/>
      <c r="C234" s="10"/>
      <c r="D234" s="48" t="str">
        <f>IF(Tabla_Registro_Tareas1[[#This Row],[Actividad]]=Indice_Aux_Vacio,"",IFERROR(INDEX(plan!$D$4:$D$52,MATCH(Tabla_Registro_Tareas1[[#This Row],[Actividad]],plan!$C$4:$C$52,0)),""))</f>
        <v/>
      </c>
      <c r="E234" s="48" t="str">
        <f>IFERROR(INDEX(plan!$E$4:$E$52,MATCH(Tabla_Registro_Tareas1[[#This Row],[Actividad]],plan!$C$4:$C$52,0)),"")</f>
        <v/>
      </c>
      <c r="F234" s="49" t="str">
        <f>IF(Tabla_Registro_Tareas1[[#This Row],[Actividad]]=Indice_Aux_Vacio,"",Indice_PROBLAM_Estudiante1)</f>
        <v/>
      </c>
      <c r="G234" s="7"/>
      <c r="H234" s="8"/>
      <c r="I234" s="9"/>
      <c r="K234" s="12" t="str" cm="1">
        <f t="array" ref="K234">IF($B234&lt;&gt;"",TRANSPOSE(_xlfn._xlws.FILTER(plan!$C$4:$C$52, ($B234 &gt;= (plan!$J$4:$J$52-Indice_Plan_ExtensionPlazo))*($B234 &lt;= (plan!$K$4:$K$52+Indice_Plan_ExtensionPlazo)), "")), "")</f>
        <v/>
      </c>
      <c r="BH234" s="4"/>
    </row>
    <row r="235" spans="2:60" x14ac:dyDescent="0.3">
      <c r="B235" s="6"/>
      <c r="C235" s="10"/>
      <c r="D235" s="48" t="str">
        <f>IF(Tabla_Registro_Tareas1[[#This Row],[Actividad]]=Indice_Aux_Vacio,"",IFERROR(INDEX(plan!$D$4:$D$52,MATCH(Tabla_Registro_Tareas1[[#This Row],[Actividad]],plan!$C$4:$C$52,0)),""))</f>
        <v/>
      </c>
      <c r="E235" s="48" t="str">
        <f>IFERROR(INDEX(plan!$E$4:$E$52,MATCH(Tabla_Registro_Tareas1[[#This Row],[Actividad]],plan!$C$4:$C$52,0)),"")</f>
        <v/>
      </c>
      <c r="F235" s="49" t="str">
        <f>IF(Tabla_Registro_Tareas1[[#This Row],[Actividad]]=Indice_Aux_Vacio,"",Indice_PROBLAM_Estudiante1)</f>
        <v/>
      </c>
      <c r="G235" s="7"/>
      <c r="H235" s="8"/>
      <c r="I235" s="9"/>
      <c r="K235" s="12" t="str" cm="1">
        <f t="array" ref="K235">IF($B235&lt;&gt;"",TRANSPOSE(_xlfn._xlws.FILTER(plan!$C$4:$C$52, ($B235 &gt;= (plan!$J$4:$J$52-Indice_Plan_ExtensionPlazo))*($B235 &lt;= (plan!$K$4:$K$52+Indice_Plan_ExtensionPlazo)), "")), "")</f>
        <v/>
      </c>
      <c r="BH235" s="4"/>
    </row>
    <row r="236" spans="2:60" x14ac:dyDescent="0.3">
      <c r="B236" s="6"/>
      <c r="C236" s="10"/>
      <c r="D236" s="48" t="str">
        <f>IF(Tabla_Registro_Tareas1[[#This Row],[Actividad]]=Indice_Aux_Vacio,"",IFERROR(INDEX(plan!$D$4:$D$52,MATCH(Tabla_Registro_Tareas1[[#This Row],[Actividad]],plan!$C$4:$C$52,0)),""))</f>
        <v/>
      </c>
      <c r="E236" s="48" t="str">
        <f>IFERROR(INDEX(plan!$E$4:$E$52,MATCH(Tabla_Registro_Tareas1[[#This Row],[Actividad]],plan!$C$4:$C$52,0)),"")</f>
        <v/>
      </c>
      <c r="F236" s="49" t="str">
        <f>IF(Tabla_Registro_Tareas1[[#This Row],[Actividad]]=Indice_Aux_Vacio,"",Indice_PROBLAM_Estudiante1)</f>
        <v/>
      </c>
      <c r="G236" s="7"/>
      <c r="H236" s="8"/>
      <c r="I236" s="9"/>
      <c r="K236" s="12" t="str" cm="1">
        <f t="array" ref="K236">IF($B236&lt;&gt;"",TRANSPOSE(_xlfn._xlws.FILTER(plan!$C$4:$C$52, ($B236 &gt;= (plan!$J$4:$J$52-Indice_Plan_ExtensionPlazo))*($B236 &lt;= (plan!$K$4:$K$52+Indice_Plan_ExtensionPlazo)), "")), "")</f>
        <v/>
      </c>
      <c r="BH236" s="4"/>
    </row>
    <row r="237" spans="2:60" x14ac:dyDescent="0.3">
      <c r="B237" s="6"/>
      <c r="C237" s="10"/>
      <c r="D237" s="48" t="str">
        <f>IF(Tabla_Registro_Tareas1[[#This Row],[Actividad]]=Indice_Aux_Vacio,"",IFERROR(INDEX(plan!$D$4:$D$52,MATCH(Tabla_Registro_Tareas1[[#This Row],[Actividad]],plan!$C$4:$C$52,0)),""))</f>
        <v/>
      </c>
      <c r="E237" s="48" t="str">
        <f>IFERROR(INDEX(plan!$E$4:$E$52,MATCH(Tabla_Registro_Tareas1[[#This Row],[Actividad]],plan!$C$4:$C$52,0)),"")</f>
        <v/>
      </c>
      <c r="F237" s="49" t="str">
        <f>IF(Tabla_Registro_Tareas1[[#This Row],[Actividad]]=Indice_Aux_Vacio,"",Indice_PROBLAM_Estudiante1)</f>
        <v/>
      </c>
      <c r="G237" s="7"/>
      <c r="H237" s="8"/>
      <c r="I237" s="9"/>
      <c r="K237" s="12" t="str" cm="1">
        <f t="array" ref="K237">IF($B237&lt;&gt;"",TRANSPOSE(_xlfn._xlws.FILTER(plan!$C$4:$C$52, ($B237 &gt;= (plan!$J$4:$J$52-Indice_Plan_ExtensionPlazo))*($B237 &lt;= (plan!$K$4:$K$52+Indice_Plan_ExtensionPlazo)), "")), "")</f>
        <v/>
      </c>
      <c r="BH237" s="4"/>
    </row>
    <row r="238" spans="2:60" x14ac:dyDescent="0.3">
      <c r="B238" s="6"/>
      <c r="C238" s="10"/>
      <c r="D238" s="48" t="str">
        <f>IF(Tabla_Registro_Tareas1[[#This Row],[Actividad]]=Indice_Aux_Vacio,"",IFERROR(INDEX(plan!$D$4:$D$52,MATCH(Tabla_Registro_Tareas1[[#This Row],[Actividad]],plan!$C$4:$C$52,0)),""))</f>
        <v/>
      </c>
      <c r="E238" s="48" t="str">
        <f>IFERROR(INDEX(plan!$E$4:$E$52,MATCH(Tabla_Registro_Tareas1[[#This Row],[Actividad]],plan!$C$4:$C$52,0)),"")</f>
        <v/>
      </c>
      <c r="F238" s="49" t="str">
        <f>IF(Tabla_Registro_Tareas1[[#This Row],[Actividad]]=Indice_Aux_Vacio,"",Indice_PROBLAM_Estudiante1)</f>
        <v/>
      </c>
      <c r="G238" s="7"/>
      <c r="H238" s="8"/>
      <c r="I238" s="9"/>
      <c r="K238" s="12" t="str" cm="1">
        <f t="array" ref="K238">IF($B238&lt;&gt;"",TRANSPOSE(_xlfn._xlws.FILTER(plan!$C$4:$C$52, ($B238 &gt;= (plan!$J$4:$J$52-Indice_Plan_ExtensionPlazo))*($B238 &lt;= (plan!$K$4:$K$52+Indice_Plan_ExtensionPlazo)), "")), "")</f>
        <v/>
      </c>
      <c r="BH238" s="4"/>
    </row>
    <row r="239" spans="2:60" x14ac:dyDescent="0.3">
      <c r="B239" s="6"/>
      <c r="C239" s="10"/>
      <c r="D239" s="48" t="str">
        <f>IF(Tabla_Registro_Tareas1[[#This Row],[Actividad]]=Indice_Aux_Vacio,"",IFERROR(INDEX(plan!$D$4:$D$52,MATCH(Tabla_Registro_Tareas1[[#This Row],[Actividad]],plan!$C$4:$C$52,0)),""))</f>
        <v/>
      </c>
      <c r="E239" s="48" t="str">
        <f>IFERROR(INDEX(plan!$E$4:$E$52,MATCH(Tabla_Registro_Tareas1[[#This Row],[Actividad]],plan!$C$4:$C$52,0)),"")</f>
        <v/>
      </c>
      <c r="F239" s="49" t="str">
        <f>IF(Tabla_Registro_Tareas1[[#This Row],[Actividad]]=Indice_Aux_Vacio,"",Indice_PROBLAM_Estudiante1)</f>
        <v/>
      </c>
      <c r="G239" s="7"/>
      <c r="H239" s="8"/>
      <c r="I239" s="9"/>
      <c r="K239" s="12" t="str" cm="1">
        <f t="array" ref="K239">IF($B239&lt;&gt;"",TRANSPOSE(_xlfn._xlws.FILTER(plan!$C$4:$C$52, ($B239 &gt;= (plan!$J$4:$J$52-Indice_Plan_ExtensionPlazo))*($B239 &lt;= (plan!$K$4:$K$52+Indice_Plan_ExtensionPlazo)), "")), "")</f>
        <v/>
      </c>
      <c r="BH239" s="4"/>
    </row>
    <row r="240" spans="2:60" x14ac:dyDescent="0.3">
      <c r="B240" s="6"/>
      <c r="C240" s="10"/>
      <c r="D240" s="48" t="str">
        <f>IF(Tabla_Registro_Tareas1[[#This Row],[Actividad]]=Indice_Aux_Vacio,"",IFERROR(INDEX(plan!$D$4:$D$52,MATCH(Tabla_Registro_Tareas1[[#This Row],[Actividad]],plan!$C$4:$C$52,0)),""))</f>
        <v/>
      </c>
      <c r="E240" s="48" t="str">
        <f>IFERROR(INDEX(plan!$E$4:$E$52,MATCH(Tabla_Registro_Tareas1[[#This Row],[Actividad]],plan!$C$4:$C$52,0)),"")</f>
        <v/>
      </c>
      <c r="F240" s="49" t="str">
        <f>IF(Tabla_Registro_Tareas1[[#This Row],[Actividad]]=Indice_Aux_Vacio,"",Indice_PROBLAM_Estudiante1)</f>
        <v/>
      </c>
      <c r="G240" s="7"/>
      <c r="H240" s="8"/>
      <c r="I240" s="9"/>
      <c r="K240" s="12" t="str" cm="1">
        <f t="array" ref="K240">IF($B240&lt;&gt;"",TRANSPOSE(_xlfn._xlws.FILTER(plan!$C$4:$C$52, ($B240 &gt;= (plan!$J$4:$J$52-Indice_Plan_ExtensionPlazo))*($B240 &lt;= (plan!$K$4:$K$52+Indice_Plan_ExtensionPlazo)), "")), "")</f>
        <v/>
      </c>
      <c r="BH240" s="4"/>
    </row>
    <row r="241" spans="2:60" x14ac:dyDescent="0.3">
      <c r="B241" s="6"/>
      <c r="C241" s="10"/>
      <c r="D241" s="48" t="str">
        <f>IF(Tabla_Registro_Tareas1[[#This Row],[Actividad]]=Indice_Aux_Vacio,"",IFERROR(INDEX(plan!$D$4:$D$52,MATCH(Tabla_Registro_Tareas1[[#This Row],[Actividad]],plan!$C$4:$C$52,0)),""))</f>
        <v/>
      </c>
      <c r="E241" s="48" t="str">
        <f>IFERROR(INDEX(plan!$E$4:$E$52,MATCH(Tabla_Registro_Tareas1[[#This Row],[Actividad]],plan!$C$4:$C$52,0)),"")</f>
        <v/>
      </c>
      <c r="F241" s="49" t="str">
        <f>IF(Tabla_Registro_Tareas1[[#This Row],[Actividad]]=Indice_Aux_Vacio,"",Indice_PROBLAM_Estudiante1)</f>
        <v/>
      </c>
      <c r="G241" s="7"/>
      <c r="H241" s="8"/>
      <c r="I241" s="9"/>
      <c r="K241" s="12" t="str" cm="1">
        <f t="array" ref="K241">IF($B241&lt;&gt;"",TRANSPOSE(_xlfn._xlws.FILTER(plan!$C$4:$C$52, ($B241 &gt;= (plan!$J$4:$J$52-Indice_Plan_ExtensionPlazo))*($B241 &lt;= (plan!$K$4:$K$52+Indice_Plan_ExtensionPlazo)), "")), "")</f>
        <v/>
      </c>
      <c r="BH241" s="4"/>
    </row>
    <row r="242" spans="2:60" x14ac:dyDescent="0.3">
      <c r="B242" s="6"/>
      <c r="C242" s="10"/>
      <c r="D242" s="48" t="str">
        <f>IF(Tabla_Registro_Tareas1[[#This Row],[Actividad]]=Indice_Aux_Vacio,"",IFERROR(INDEX(plan!$D$4:$D$52,MATCH(Tabla_Registro_Tareas1[[#This Row],[Actividad]],plan!$C$4:$C$52,0)),""))</f>
        <v/>
      </c>
      <c r="E242" s="48" t="str">
        <f>IFERROR(INDEX(plan!$E$4:$E$52,MATCH(Tabla_Registro_Tareas1[[#This Row],[Actividad]],plan!$C$4:$C$52,0)),"")</f>
        <v/>
      </c>
      <c r="F242" s="49" t="str">
        <f>IF(Tabla_Registro_Tareas1[[#This Row],[Actividad]]=Indice_Aux_Vacio,"",Indice_PROBLAM_Estudiante1)</f>
        <v/>
      </c>
      <c r="G242" s="7"/>
      <c r="H242" s="8"/>
      <c r="I242" s="9"/>
      <c r="K242" s="12" t="str" cm="1">
        <f t="array" ref="K242">IF($B242&lt;&gt;"",TRANSPOSE(_xlfn._xlws.FILTER(plan!$C$4:$C$52, ($B242 &gt;= (plan!$J$4:$J$52-Indice_Plan_ExtensionPlazo))*($B242 &lt;= (plan!$K$4:$K$52+Indice_Plan_ExtensionPlazo)), "")), "")</f>
        <v/>
      </c>
      <c r="BH242" s="4"/>
    </row>
    <row r="243" spans="2:60" x14ac:dyDescent="0.3">
      <c r="B243" s="6"/>
      <c r="C243" s="10"/>
      <c r="D243" s="48" t="str">
        <f>IF(Tabla_Registro_Tareas1[[#This Row],[Actividad]]=Indice_Aux_Vacio,"",IFERROR(INDEX(plan!$D$4:$D$52,MATCH(Tabla_Registro_Tareas1[[#This Row],[Actividad]],plan!$C$4:$C$52,0)),""))</f>
        <v/>
      </c>
      <c r="E243" s="48" t="str">
        <f>IFERROR(INDEX(plan!$E$4:$E$52,MATCH(Tabla_Registro_Tareas1[[#This Row],[Actividad]],plan!$C$4:$C$52,0)),"")</f>
        <v/>
      </c>
      <c r="F243" s="49" t="str">
        <f>IF(Tabla_Registro_Tareas1[[#This Row],[Actividad]]=Indice_Aux_Vacio,"",Indice_PROBLAM_Estudiante1)</f>
        <v/>
      </c>
      <c r="G243" s="7"/>
      <c r="H243" s="8"/>
      <c r="I243" s="9"/>
      <c r="K243" s="12" t="str" cm="1">
        <f t="array" ref="K243">IF($B243&lt;&gt;"",TRANSPOSE(_xlfn._xlws.FILTER(plan!$C$4:$C$52, ($B243 &gt;= (plan!$J$4:$J$52-Indice_Plan_ExtensionPlazo))*($B243 &lt;= (plan!$K$4:$K$52+Indice_Plan_ExtensionPlazo)), "")), "")</f>
        <v/>
      </c>
      <c r="BH243" s="4"/>
    </row>
    <row r="244" spans="2:60" x14ac:dyDescent="0.3">
      <c r="B244" s="6"/>
      <c r="C244" s="10"/>
      <c r="D244" s="48" t="str">
        <f>IF(Tabla_Registro_Tareas1[[#This Row],[Actividad]]=Indice_Aux_Vacio,"",IFERROR(INDEX(plan!$D$4:$D$52,MATCH(Tabla_Registro_Tareas1[[#This Row],[Actividad]],plan!$C$4:$C$52,0)),""))</f>
        <v/>
      </c>
      <c r="E244" s="48" t="str">
        <f>IFERROR(INDEX(plan!$E$4:$E$52,MATCH(Tabla_Registro_Tareas1[[#This Row],[Actividad]],plan!$C$4:$C$52,0)),"")</f>
        <v/>
      </c>
      <c r="F244" s="49" t="str">
        <f>IF(Tabla_Registro_Tareas1[[#This Row],[Actividad]]=Indice_Aux_Vacio,"",Indice_PROBLAM_Estudiante1)</f>
        <v/>
      </c>
      <c r="G244" s="7"/>
      <c r="H244" s="8"/>
      <c r="I244" s="9"/>
      <c r="K244" s="12" t="str" cm="1">
        <f t="array" ref="K244">IF($B244&lt;&gt;"",TRANSPOSE(_xlfn._xlws.FILTER(plan!$C$4:$C$52, ($B244 &gt;= (plan!$J$4:$J$52-Indice_Plan_ExtensionPlazo))*($B244 &lt;= (plan!$K$4:$K$52+Indice_Plan_ExtensionPlazo)), "")), "")</f>
        <v/>
      </c>
      <c r="BH244" s="4"/>
    </row>
    <row r="245" spans="2:60" x14ac:dyDescent="0.3">
      <c r="B245" s="6"/>
      <c r="C245" s="10"/>
      <c r="D245" s="48" t="str">
        <f>IF(Tabla_Registro_Tareas1[[#This Row],[Actividad]]=Indice_Aux_Vacio,"",IFERROR(INDEX(plan!$D$4:$D$52,MATCH(Tabla_Registro_Tareas1[[#This Row],[Actividad]],plan!$C$4:$C$52,0)),""))</f>
        <v/>
      </c>
      <c r="E245" s="48" t="str">
        <f>IFERROR(INDEX(plan!$E$4:$E$52,MATCH(Tabla_Registro_Tareas1[[#This Row],[Actividad]],plan!$C$4:$C$52,0)),"")</f>
        <v/>
      </c>
      <c r="F245" s="49" t="str">
        <f>IF(Tabla_Registro_Tareas1[[#This Row],[Actividad]]=Indice_Aux_Vacio,"",Indice_PROBLAM_Estudiante1)</f>
        <v/>
      </c>
      <c r="G245" s="7"/>
      <c r="H245" s="8"/>
      <c r="I245" s="9"/>
      <c r="K245" s="12" t="str" cm="1">
        <f t="array" ref="K245">IF($B245&lt;&gt;"",TRANSPOSE(_xlfn._xlws.FILTER(plan!$C$4:$C$52, ($B245 &gt;= (plan!$J$4:$J$52-Indice_Plan_ExtensionPlazo))*($B245 &lt;= (plan!$K$4:$K$52+Indice_Plan_ExtensionPlazo)), "")), "")</f>
        <v/>
      </c>
      <c r="BH245" s="4"/>
    </row>
    <row r="246" spans="2:60" x14ac:dyDescent="0.3">
      <c r="B246" s="6"/>
      <c r="C246" s="10"/>
      <c r="D246" s="48" t="str">
        <f>IF(Tabla_Registro_Tareas1[[#This Row],[Actividad]]=Indice_Aux_Vacio,"",IFERROR(INDEX(plan!$D$4:$D$52,MATCH(Tabla_Registro_Tareas1[[#This Row],[Actividad]],plan!$C$4:$C$52,0)),""))</f>
        <v/>
      </c>
      <c r="E246" s="48" t="str">
        <f>IFERROR(INDEX(plan!$E$4:$E$52,MATCH(Tabla_Registro_Tareas1[[#This Row],[Actividad]],plan!$C$4:$C$52,0)),"")</f>
        <v/>
      </c>
      <c r="F246" s="49" t="str">
        <f>IF(Tabla_Registro_Tareas1[[#This Row],[Actividad]]=Indice_Aux_Vacio,"",Indice_PROBLAM_Estudiante1)</f>
        <v/>
      </c>
      <c r="G246" s="7"/>
      <c r="H246" s="8"/>
      <c r="I246" s="9"/>
      <c r="K246" s="12" t="str" cm="1">
        <f t="array" ref="K246">IF($B246&lt;&gt;"",TRANSPOSE(_xlfn._xlws.FILTER(plan!$C$4:$C$52, ($B246 &gt;= (plan!$J$4:$J$52-Indice_Plan_ExtensionPlazo))*($B246 &lt;= (plan!$K$4:$K$52+Indice_Plan_ExtensionPlazo)), "")), "")</f>
        <v/>
      </c>
      <c r="BH246" s="4"/>
    </row>
    <row r="247" spans="2:60" x14ac:dyDescent="0.3">
      <c r="B247" s="6"/>
      <c r="C247" s="10"/>
      <c r="D247" s="48" t="str">
        <f>IF(Tabla_Registro_Tareas1[[#This Row],[Actividad]]=Indice_Aux_Vacio,"",IFERROR(INDEX(plan!$D$4:$D$52,MATCH(Tabla_Registro_Tareas1[[#This Row],[Actividad]],plan!$C$4:$C$52,0)),""))</f>
        <v/>
      </c>
      <c r="E247" s="48" t="str">
        <f>IFERROR(INDEX(plan!$E$4:$E$52,MATCH(Tabla_Registro_Tareas1[[#This Row],[Actividad]],plan!$C$4:$C$52,0)),"")</f>
        <v/>
      </c>
      <c r="F247" s="49" t="str">
        <f>IF(Tabla_Registro_Tareas1[[#This Row],[Actividad]]=Indice_Aux_Vacio,"",Indice_PROBLAM_Estudiante1)</f>
        <v/>
      </c>
      <c r="G247" s="7"/>
      <c r="H247" s="8"/>
      <c r="I247" s="9"/>
      <c r="K247" s="12" t="str" cm="1">
        <f t="array" ref="K247">IF($B247&lt;&gt;"",TRANSPOSE(_xlfn._xlws.FILTER(plan!$C$4:$C$52, ($B247 &gt;= (plan!$J$4:$J$52-Indice_Plan_ExtensionPlazo))*($B247 &lt;= (plan!$K$4:$K$52+Indice_Plan_ExtensionPlazo)), "")), "")</f>
        <v/>
      </c>
      <c r="BH247" s="4"/>
    </row>
    <row r="248" spans="2:60" x14ac:dyDescent="0.3">
      <c r="B248" s="6"/>
      <c r="C248" s="10"/>
      <c r="D248" s="48" t="str">
        <f>IF(Tabla_Registro_Tareas1[[#This Row],[Actividad]]=Indice_Aux_Vacio,"",IFERROR(INDEX(plan!$D$4:$D$52,MATCH(Tabla_Registro_Tareas1[[#This Row],[Actividad]],plan!$C$4:$C$52,0)),""))</f>
        <v/>
      </c>
      <c r="E248" s="48" t="str">
        <f>IFERROR(INDEX(plan!$E$4:$E$52,MATCH(Tabla_Registro_Tareas1[[#This Row],[Actividad]],plan!$C$4:$C$52,0)),"")</f>
        <v/>
      </c>
      <c r="F248" s="49" t="str">
        <f>IF(Tabla_Registro_Tareas1[[#This Row],[Actividad]]=Indice_Aux_Vacio,"",Indice_PROBLAM_Estudiante1)</f>
        <v/>
      </c>
      <c r="G248" s="7"/>
      <c r="H248" s="8"/>
      <c r="I248" s="9"/>
      <c r="K248" s="12" t="str" cm="1">
        <f t="array" ref="K248">IF($B248&lt;&gt;"",TRANSPOSE(_xlfn._xlws.FILTER(plan!$C$4:$C$52, ($B248 &gt;= (plan!$J$4:$J$52-Indice_Plan_ExtensionPlazo))*($B248 &lt;= (plan!$K$4:$K$52+Indice_Plan_ExtensionPlazo)), "")), "")</f>
        <v/>
      </c>
      <c r="BH248" s="4"/>
    </row>
    <row r="249" spans="2:60" x14ac:dyDescent="0.3">
      <c r="B249" s="6"/>
      <c r="C249" s="10"/>
      <c r="D249" s="48" t="str">
        <f>IF(Tabla_Registro_Tareas1[[#This Row],[Actividad]]=Indice_Aux_Vacio,"",IFERROR(INDEX(plan!$D$4:$D$52,MATCH(Tabla_Registro_Tareas1[[#This Row],[Actividad]],plan!$C$4:$C$52,0)),""))</f>
        <v/>
      </c>
      <c r="E249" s="48" t="str">
        <f>IFERROR(INDEX(plan!$E$4:$E$52,MATCH(Tabla_Registro_Tareas1[[#This Row],[Actividad]],plan!$C$4:$C$52,0)),"")</f>
        <v/>
      </c>
      <c r="F249" s="49" t="str">
        <f>IF(Tabla_Registro_Tareas1[[#This Row],[Actividad]]=Indice_Aux_Vacio,"",Indice_PROBLAM_Estudiante1)</f>
        <v/>
      </c>
      <c r="G249" s="7"/>
      <c r="H249" s="8"/>
      <c r="I249" s="9"/>
      <c r="K249" s="12" t="str" cm="1">
        <f t="array" ref="K249">IF($B249&lt;&gt;"",TRANSPOSE(_xlfn._xlws.FILTER(plan!$C$4:$C$52, ($B249 &gt;= (plan!$J$4:$J$52-Indice_Plan_ExtensionPlazo))*($B249 &lt;= (plan!$K$4:$K$52+Indice_Plan_ExtensionPlazo)), "")), "")</f>
        <v/>
      </c>
      <c r="BH249" s="4"/>
    </row>
    <row r="250" spans="2:60" x14ac:dyDescent="0.3">
      <c r="B250" s="6"/>
      <c r="C250" s="10"/>
      <c r="D250" s="48" t="str">
        <f>IF(Tabla_Registro_Tareas1[[#This Row],[Actividad]]=Indice_Aux_Vacio,"",IFERROR(INDEX(plan!$D$4:$D$52,MATCH(Tabla_Registro_Tareas1[[#This Row],[Actividad]],plan!$C$4:$C$52,0)),""))</f>
        <v/>
      </c>
      <c r="E250" s="48" t="str">
        <f>IFERROR(INDEX(plan!$E$4:$E$52,MATCH(Tabla_Registro_Tareas1[[#This Row],[Actividad]],plan!$C$4:$C$52,0)),"")</f>
        <v/>
      </c>
      <c r="F250" s="49" t="str">
        <f>IF(Tabla_Registro_Tareas1[[#This Row],[Actividad]]=Indice_Aux_Vacio,"",Indice_PROBLAM_Estudiante1)</f>
        <v/>
      </c>
      <c r="G250" s="7"/>
      <c r="H250" s="8"/>
      <c r="I250" s="9"/>
      <c r="K250" s="12" t="str" cm="1">
        <f t="array" ref="K250">IF($B250&lt;&gt;"",TRANSPOSE(_xlfn._xlws.FILTER(plan!$C$4:$C$52, ($B250 &gt;= (plan!$J$4:$J$52-Indice_Plan_ExtensionPlazo))*($B250 &lt;= (plan!$K$4:$K$52+Indice_Plan_ExtensionPlazo)), "")), "")</f>
        <v/>
      </c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4"/>
    </row>
  </sheetData>
  <sheetProtection algorithmName="SHA-512" hashValue="mq7CKGNY/wZL1VWhjf4hNWKDVIQK7zh2eAy09ByYhTCHIuUy9Zp3Lj1kQzN4tUQ4idnYjcXLFqUcAg8ObzBBAw==" saltValue="cydUgr10EtQAIBCaJPRFGg==" spinCount="100000" sheet="1" objects="1" scenarios="1" selectLockedCells="1"/>
  <phoneticPr fontId="3" type="noConversion"/>
  <conditionalFormatting sqref="B3:C250 F3:I250">
    <cfRule type="containsBlanks" dxfId="18" priority="3">
      <formula>LEN(TRIM(B3))=0</formula>
    </cfRule>
  </conditionalFormatting>
  <dataValidations count="6">
    <dataValidation type="whole" operator="greaterThan" allowBlank="1" showInputMessage="1" showErrorMessage="1" error="La tarea no puede tener una duración inferior a 1 minuto." sqref="H5:H250" xr:uid="{66C48B86-B90C-4896-9C60-E9B4A317C688}">
      <formula1>0</formula1>
    </dataValidation>
    <dataValidation type="date" allowBlank="1" showInputMessage="1" showErrorMessage="1" error="La fecha está fuera del periodo temporal planificado en este sprint." sqref="B3:B250" xr:uid="{95F217F3-796B-4C54-B629-AC6645FB71A5}">
      <formula1>Indice_Plan_FechaInicio</formula1>
      <formula2>Indice_Plan_FechaFin</formula2>
    </dataValidation>
    <dataValidation allowBlank="1" showInputMessage="1" showErrorMessage="1" error="El valor indicado no se corresponde con ninguno de los tipos soportados en esta columna." sqref="D3:D250" xr:uid="{913310C1-E1D9-4C64-B6AE-3358CB9D892C}"/>
    <dataValidation type="custom" operator="greaterThan" showInputMessage="1" showErrorMessage="1" error="No puedes asignar tiempo a una actividad no definida o el tiempo asignado es inferior a 1 minuto." sqref="H3" xr:uid="{C2079BD2-D95B-42D8-B12C-32B18D0DF729}">
      <formula1>IF($C3="",ISBLANK(H3),ISNUMBER(H3))</formula1>
    </dataValidation>
    <dataValidation type="list" allowBlank="1" showInputMessage="1" showErrorMessage="1" sqref="C3:C250" xr:uid="{903DEE83-FCD9-456C-9D76-79082C3988B2}">
      <formula1>IF($B3&lt;&gt;"",_xlfn.ANCHORARRAY($K3),Indice_Aux_Vacio)</formula1>
    </dataValidation>
    <dataValidation type="custom" operator="greaterThan" allowBlank="1" showInputMessage="1" showErrorMessage="1" error="La tarea no puede tener una duración inferior a 1 minuto." sqref="H4" xr:uid="{25F7B743-1D6A-4D02-B3B2-4C7ABA5C1624}">
      <formula1>OR($C4="",AND(ISNUMBER($H4),$H4&lt;&gt;""))</formula1>
    </dataValidation>
  </dataValidations>
  <pageMargins left="0.7" right="0.7" top="0.75" bottom="0.75" header="0.3" footer="0.3"/>
  <ignoredErrors>
    <ignoredError sqref="B8:B250" calculatedColumn="1"/>
  </ignoredErrors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5DFC7-B48C-41EA-AF0F-09DC97579983}">
  <dimension ref="B1:BH250"/>
  <sheetViews>
    <sheetView workbookViewId="0">
      <selection activeCell="B4" sqref="B4"/>
    </sheetView>
  </sheetViews>
  <sheetFormatPr baseColWidth="10" defaultColWidth="11.44140625" defaultRowHeight="15.05" x14ac:dyDescent="0.3"/>
  <cols>
    <col min="1" max="1" width="2.5546875" style="2" customWidth="1"/>
    <col min="2" max="2" width="11.44140625" style="2"/>
    <col min="3" max="3" width="33.88671875" style="2" customWidth="1"/>
    <col min="4" max="4" width="15.109375" style="2" hidden="1" customWidth="1"/>
    <col min="5" max="5" width="16.6640625" style="2" hidden="1" customWidth="1"/>
    <col min="6" max="6" width="24.6640625" style="2" customWidth="1"/>
    <col min="7" max="7" width="38.5546875" style="2" customWidth="1"/>
    <col min="8" max="8" width="16.5546875" style="2" customWidth="1"/>
    <col min="9" max="9" width="60.109375" style="2" customWidth="1"/>
    <col min="10" max="10" width="2.5546875" style="2" customWidth="1"/>
    <col min="11" max="11" width="19.5546875" style="2" hidden="1" customWidth="1"/>
    <col min="12" max="60" width="11.44140625" style="2" hidden="1" customWidth="1"/>
    <col min="61" max="16384" width="11.44140625" style="2"/>
  </cols>
  <sheetData>
    <row r="1" spans="2:60" x14ac:dyDescent="0.3"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</row>
    <row r="2" spans="2:60" x14ac:dyDescent="0.3">
      <c r="B2" s="5" t="s">
        <v>0</v>
      </c>
      <c r="C2" s="5" t="s">
        <v>11</v>
      </c>
      <c r="D2" s="5" t="s">
        <v>49</v>
      </c>
      <c r="E2" s="5" t="s">
        <v>50</v>
      </c>
      <c r="F2" s="5" t="s">
        <v>45</v>
      </c>
      <c r="G2" s="5" t="s">
        <v>14</v>
      </c>
      <c r="H2" s="5" t="s">
        <v>1</v>
      </c>
      <c r="I2" s="5" t="s">
        <v>52</v>
      </c>
      <c r="K2" s="12"/>
      <c r="BH2" s="4"/>
    </row>
    <row r="3" spans="2:60" hidden="1" x14ac:dyDescent="0.3">
      <c r="B3" s="6">
        <v>46062</v>
      </c>
      <c r="C3" s="10" t="s">
        <v>114</v>
      </c>
      <c r="D3" s="48" t="str">
        <f>IF(Tabla_Registro_Tareas2[[#This Row],[Actividad]]=Indice_Aux_Vacio,"",IFERROR(INDEX(plan!$D$4:$D$52,MATCH(Tabla_Registro_Tareas2[[#This Row],[Actividad]],plan!$C$4:$C$52,0)),""))</f>
        <v>Ingeniería de datos</v>
      </c>
      <c r="E3" s="48" t="str">
        <f>IFERROR(INDEX(plan!$E$4:$E$52,MATCH(Tabla_Registro_Tareas2[[#This Row],[Actividad]],plan!$C$4:$C$52,0)),"")</f>
        <v>Ficticia #2</v>
      </c>
      <c r="F3" s="49" t="str">
        <f>IF(Tabla_Registro_Tareas2[[#This Row],[Actividad]]=Indice_Aux_Vacio,"",Indice_PROBLAM_Estudiante2)</f>
        <v>Nombre#2 Apellido#21 Apellido#22</v>
      </c>
      <c r="G3" s="7" t="s">
        <v>96</v>
      </c>
      <c r="H3" s="8">
        <v>0</v>
      </c>
      <c r="I3" s="9"/>
      <c r="K3" s="12" t="str" cm="1">
        <f t="array" ref="K3">IF($B3&lt;&gt;"",TRANSPOSE(_xlfn._xlws.FILTER(plan!$C$4:$C$52, ($B3 &gt;= (plan!$J$4:$J$52-Indice_Plan_ExtensionPlazo))*($B3 &lt;= (plan!$K$4:$K$52+Indice_Plan_ExtensionPlazo)), "")), "")</f>
        <v/>
      </c>
      <c r="BH3" s="4"/>
    </row>
    <row r="4" spans="2:60" x14ac:dyDescent="0.3">
      <c r="B4" s="6"/>
      <c r="C4" s="10"/>
      <c r="D4" s="48" t="str">
        <f>IF(Tabla_Registro_Tareas2[[#This Row],[Actividad]]=Indice_Aux_Vacio,"",IFERROR(INDEX(plan!$D$4:$D$52,MATCH(Tabla_Registro_Tareas2[[#This Row],[Actividad]],plan!$C$4:$C$52,0)),""))</f>
        <v/>
      </c>
      <c r="E4" s="48" t="str">
        <f>IFERROR(INDEX(plan!$E$4:$E$52,MATCH(Tabla_Registro_Tareas2[[#This Row],[Actividad]],plan!$C$4:$C$52,0)),"")</f>
        <v/>
      </c>
      <c r="F4" s="49" t="str">
        <f>IF(Tabla_Registro_Tareas2[[#This Row],[Actividad]]=Indice_Aux_Vacio,"",Indice_PROBLAM_Estudiante2)</f>
        <v/>
      </c>
      <c r="G4" s="7"/>
      <c r="H4" s="8"/>
      <c r="I4" s="9"/>
      <c r="K4" s="12" t="str" cm="1">
        <f t="array" ref="K4">IF($B4&lt;&gt;"",TRANSPOSE(_xlfn._xlws.FILTER(plan!$C$4:$C$52, ($B4 &gt;= (plan!$J$4:$J$52-Indice_Plan_ExtensionPlazo))*($B4 &lt;= (plan!$K$4:$K$52+Indice_Plan_ExtensionPlazo)), "")), "")</f>
        <v/>
      </c>
      <c r="BH4" s="4"/>
    </row>
    <row r="5" spans="2:60" x14ac:dyDescent="0.3">
      <c r="B5" s="6"/>
      <c r="C5" s="10"/>
      <c r="D5" s="48" t="str">
        <f>IF(Tabla_Registro_Tareas2[[#This Row],[Actividad]]=Indice_Aux_Vacio,"",IFERROR(INDEX(plan!$D$4:$D$52,MATCH(Tabla_Registro_Tareas2[[#This Row],[Actividad]],plan!$C$4:$C$52,0)),""))</f>
        <v/>
      </c>
      <c r="E5" s="48" t="str">
        <f>IFERROR(INDEX(plan!$E$4:$E$52,MATCH(Tabla_Registro_Tareas2[[#This Row],[Actividad]],plan!$C$4:$C$52,0)),"")</f>
        <v/>
      </c>
      <c r="F5" s="49" t="str">
        <f>IF(Tabla_Registro_Tareas2[[#This Row],[Actividad]]=Indice_Aux_Vacio,"",Indice_PROBLAM_Estudiante2)</f>
        <v/>
      </c>
      <c r="G5" s="7"/>
      <c r="H5" s="8"/>
      <c r="I5" s="9"/>
      <c r="K5" s="12" t="str" cm="1">
        <f t="array" ref="K5">IF($B5&lt;&gt;"",TRANSPOSE(_xlfn._xlws.FILTER(plan!$C$4:$C$52, ($B5 &gt;= (plan!$J$4:$J$52-Indice_Plan_ExtensionPlazo))*($B5 &lt;= (plan!$K$4:$K$52+Indice_Plan_ExtensionPlazo)), "")), "")</f>
        <v/>
      </c>
      <c r="BH5" s="4"/>
    </row>
    <row r="6" spans="2:60" x14ac:dyDescent="0.3">
      <c r="B6" s="6"/>
      <c r="C6" s="10"/>
      <c r="D6" s="48" t="str">
        <f>IF(Tabla_Registro_Tareas2[[#This Row],[Actividad]]=Indice_Aux_Vacio,"",IFERROR(INDEX(plan!$D$4:$D$52,MATCH(Tabla_Registro_Tareas2[[#This Row],[Actividad]],plan!$C$4:$C$52,0)),""))</f>
        <v/>
      </c>
      <c r="E6" s="48" t="str">
        <f>IFERROR(INDEX(plan!$E$4:$E$52,MATCH(Tabla_Registro_Tareas2[[#This Row],[Actividad]],plan!$C$4:$C$52,0)),"")</f>
        <v/>
      </c>
      <c r="F6" s="49" t="str">
        <f>IF(Tabla_Registro_Tareas2[[#This Row],[Actividad]]=Indice_Aux_Vacio,"",Indice_PROBLAM_Estudiante2)</f>
        <v/>
      </c>
      <c r="G6" s="7"/>
      <c r="H6" s="8"/>
      <c r="I6" s="9"/>
      <c r="K6" s="12" t="str" cm="1">
        <f t="array" ref="K6">IF($B6&lt;&gt;"",TRANSPOSE(_xlfn._xlws.FILTER(plan!$C$4:$C$52, ($B6 &gt;= (plan!$J$4:$J$52-Indice_Plan_ExtensionPlazo))*($B6 &lt;= (plan!$K$4:$K$52+Indice_Plan_ExtensionPlazo)), "")), "")</f>
        <v/>
      </c>
      <c r="BH6" s="4"/>
    </row>
    <row r="7" spans="2:60" x14ac:dyDescent="0.3">
      <c r="B7" s="6"/>
      <c r="C7" s="10"/>
      <c r="D7" s="48" t="str">
        <f>IF(Tabla_Registro_Tareas2[[#This Row],[Actividad]]=Indice_Aux_Vacio,"",IFERROR(INDEX(plan!$D$4:$D$52,MATCH(Tabla_Registro_Tareas2[[#This Row],[Actividad]],plan!$C$4:$C$52,0)),""))</f>
        <v/>
      </c>
      <c r="E7" s="48" t="str">
        <f>IFERROR(INDEX(plan!$E$4:$E$52,MATCH(Tabla_Registro_Tareas2[[#This Row],[Actividad]],plan!$C$4:$C$52,0)),"")</f>
        <v/>
      </c>
      <c r="F7" s="49" t="str">
        <f>IF(Tabla_Registro_Tareas2[[#This Row],[Actividad]]=Indice_Aux_Vacio,"",Indice_PROBLAM_Estudiante2)</f>
        <v/>
      </c>
      <c r="G7" s="7"/>
      <c r="H7" s="8"/>
      <c r="I7" s="9"/>
      <c r="K7" s="12" t="str" cm="1">
        <f t="array" ref="K7">IF($B7&lt;&gt;"",TRANSPOSE(_xlfn._xlws.FILTER(plan!$C$4:$C$52, ($B7 &gt;= (plan!$J$4:$J$52-Indice_Plan_ExtensionPlazo))*($B7 &lt;= (plan!$K$4:$K$52+Indice_Plan_ExtensionPlazo)), "")), "")</f>
        <v/>
      </c>
      <c r="BH7" s="4"/>
    </row>
    <row r="8" spans="2:60" x14ac:dyDescent="0.3">
      <c r="B8" s="6"/>
      <c r="C8" s="10"/>
      <c r="D8" s="48" t="str">
        <f>IF(Tabla_Registro_Tareas2[[#This Row],[Actividad]]=Indice_Aux_Vacio,"",IFERROR(INDEX(plan!$D$4:$D$52,MATCH(Tabla_Registro_Tareas2[[#This Row],[Actividad]],plan!$C$4:$C$52,0)),""))</f>
        <v/>
      </c>
      <c r="E8" s="48" t="str">
        <f>IFERROR(INDEX(plan!$E$4:$E$52,MATCH(Tabla_Registro_Tareas2[[#This Row],[Actividad]],plan!$C$4:$C$52,0)),"")</f>
        <v/>
      </c>
      <c r="F8" s="49" t="str">
        <f>IF(Tabla_Registro_Tareas2[[#This Row],[Actividad]]=Indice_Aux_Vacio,"",Indice_PROBLAM_Estudiante2)</f>
        <v/>
      </c>
      <c r="G8" s="7"/>
      <c r="H8" s="8"/>
      <c r="I8" s="9"/>
      <c r="K8" s="12" t="str" cm="1">
        <f t="array" ref="K8">IF($B8&lt;&gt;"",TRANSPOSE(_xlfn._xlws.FILTER(plan!$C$4:$C$52, ($B8 &gt;= (plan!$J$4:$J$52-Indice_Plan_ExtensionPlazo))*($B8 &lt;= (plan!$K$4:$K$52+Indice_Plan_ExtensionPlazo)), "")), "")</f>
        <v/>
      </c>
      <c r="BH8" s="4"/>
    </row>
    <row r="9" spans="2:60" x14ac:dyDescent="0.3">
      <c r="B9" s="6"/>
      <c r="C9" s="10"/>
      <c r="D9" s="48" t="str">
        <f>IF(Tabla_Registro_Tareas2[[#This Row],[Actividad]]=Indice_Aux_Vacio,"",IFERROR(INDEX(plan!$D$4:$D$52,MATCH(Tabla_Registro_Tareas2[[#This Row],[Actividad]],plan!$C$4:$C$52,0)),""))</f>
        <v/>
      </c>
      <c r="E9" s="48" t="str">
        <f>IFERROR(INDEX(plan!$E$4:$E$52,MATCH(Tabla_Registro_Tareas2[[#This Row],[Actividad]],plan!$C$4:$C$52,0)),"")</f>
        <v/>
      </c>
      <c r="F9" s="49" t="str">
        <f>IF(Tabla_Registro_Tareas2[[#This Row],[Actividad]]=Indice_Aux_Vacio,"",Indice_PROBLAM_Estudiante2)</f>
        <v/>
      </c>
      <c r="G9" s="7"/>
      <c r="H9" s="8"/>
      <c r="I9" s="9"/>
      <c r="K9" s="12" t="str" cm="1">
        <f t="array" ref="K9">IF($B9&lt;&gt;"",TRANSPOSE(_xlfn._xlws.FILTER(plan!$C$4:$C$52, ($B9 &gt;= (plan!$J$4:$J$52-Indice_Plan_ExtensionPlazo))*($B9 &lt;= (plan!$K$4:$K$52+Indice_Plan_ExtensionPlazo)), "")), "")</f>
        <v/>
      </c>
      <c r="BH9" s="4"/>
    </row>
    <row r="10" spans="2:60" x14ac:dyDescent="0.3">
      <c r="B10" s="6"/>
      <c r="C10" s="10"/>
      <c r="D10" s="48" t="str">
        <f>IF(Tabla_Registro_Tareas2[[#This Row],[Actividad]]=Indice_Aux_Vacio,"",IFERROR(INDEX(plan!$D$4:$D$52,MATCH(Tabla_Registro_Tareas2[[#This Row],[Actividad]],plan!$C$4:$C$52,0)),""))</f>
        <v/>
      </c>
      <c r="E10" s="48" t="str">
        <f>IFERROR(INDEX(plan!$E$4:$E$52,MATCH(Tabla_Registro_Tareas2[[#This Row],[Actividad]],plan!$C$4:$C$52,0)),"")</f>
        <v/>
      </c>
      <c r="F10" s="49" t="str">
        <f>IF(Tabla_Registro_Tareas2[[#This Row],[Actividad]]=Indice_Aux_Vacio,"",Indice_PROBLAM_Estudiante2)</f>
        <v/>
      </c>
      <c r="G10" s="7"/>
      <c r="H10" s="8"/>
      <c r="I10" s="9"/>
      <c r="K10" s="12" t="str" cm="1">
        <f t="array" ref="K10">IF($B10&lt;&gt;"",TRANSPOSE(_xlfn._xlws.FILTER(plan!$C$4:$C$52, ($B10 &gt;= (plan!$J$4:$J$52-Indice_Plan_ExtensionPlazo))*($B10 &lt;= (plan!$K$4:$K$52+Indice_Plan_ExtensionPlazo)), "")), "")</f>
        <v/>
      </c>
      <c r="BH10" s="4"/>
    </row>
    <row r="11" spans="2:60" x14ac:dyDescent="0.3">
      <c r="B11" s="6"/>
      <c r="C11" s="10"/>
      <c r="D11" s="48" t="str">
        <f>IF(Tabla_Registro_Tareas2[[#This Row],[Actividad]]=Indice_Aux_Vacio,"",IFERROR(INDEX(plan!$D$4:$D$52,MATCH(Tabla_Registro_Tareas2[[#This Row],[Actividad]],plan!$C$4:$C$52,0)),""))</f>
        <v/>
      </c>
      <c r="E11" s="48" t="str">
        <f>IFERROR(INDEX(plan!$E$4:$E$52,MATCH(Tabla_Registro_Tareas2[[#This Row],[Actividad]],plan!$C$4:$C$52,0)),"")</f>
        <v/>
      </c>
      <c r="F11" s="49" t="str">
        <f>IF(Tabla_Registro_Tareas2[[#This Row],[Actividad]]=Indice_Aux_Vacio,"",Indice_PROBLAM_Estudiante2)</f>
        <v/>
      </c>
      <c r="G11" s="7"/>
      <c r="H11" s="8"/>
      <c r="I11" s="9"/>
      <c r="K11" s="12" t="str" cm="1">
        <f t="array" ref="K11">IF($B11&lt;&gt;"",TRANSPOSE(_xlfn._xlws.FILTER(plan!$C$4:$C$52, ($B11 &gt;= (plan!$J$4:$J$52-Indice_Plan_ExtensionPlazo))*($B11 &lt;= (plan!$K$4:$K$52+Indice_Plan_ExtensionPlazo)), "")), "")</f>
        <v/>
      </c>
      <c r="BH11" s="4"/>
    </row>
    <row r="12" spans="2:60" x14ac:dyDescent="0.3">
      <c r="B12" s="6"/>
      <c r="C12" s="10"/>
      <c r="D12" s="48" t="str">
        <f>IF(Tabla_Registro_Tareas2[[#This Row],[Actividad]]=Indice_Aux_Vacio,"",IFERROR(INDEX(plan!$D$4:$D$52,MATCH(Tabla_Registro_Tareas2[[#This Row],[Actividad]],plan!$C$4:$C$52,0)),""))</f>
        <v/>
      </c>
      <c r="E12" s="48" t="str">
        <f>IFERROR(INDEX(plan!$E$4:$E$52,MATCH(Tabla_Registro_Tareas2[[#This Row],[Actividad]],plan!$C$4:$C$52,0)),"")</f>
        <v/>
      </c>
      <c r="F12" s="49" t="str">
        <f>IF(Tabla_Registro_Tareas2[[#This Row],[Actividad]]=Indice_Aux_Vacio,"",Indice_PROBLAM_Estudiante2)</f>
        <v/>
      </c>
      <c r="G12" s="7"/>
      <c r="H12" s="8"/>
      <c r="I12" s="9"/>
      <c r="K12" s="12" t="str" cm="1">
        <f t="array" ref="K12">IF($B12&lt;&gt;"",TRANSPOSE(_xlfn._xlws.FILTER(plan!$C$4:$C$52, ($B12 &gt;= (plan!$J$4:$J$52-Indice_Plan_ExtensionPlazo))*($B12 &lt;= (plan!$K$4:$K$52+Indice_Plan_ExtensionPlazo)), "")), "")</f>
        <v/>
      </c>
      <c r="BH12" s="4"/>
    </row>
    <row r="13" spans="2:60" x14ac:dyDescent="0.3">
      <c r="B13" s="6"/>
      <c r="C13" s="10"/>
      <c r="D13" s="48" t="str">
        <f>IF(Tabla_Registro_Tareas2[[#This Row],[Actividad]]=Indice_Aux_Vacio,"",IFERROR(INDEX(plan!$D$4:$D$52,MATCH(Tabla_Registro_Tareas2[[#This Row],[Actividad]],plan!$C$4:$C$52,0)),""))</f>
        <v/>
      </c>
      <c r="E13" s="48" t="str">
        <f>IFERROR(INDEX(plan!$E$4:$E$52,MATCH(Tabla_Registro_Tareas2[[#This Row],[Actividad]],plan!$C$4:$C$52,0)),"")</f>
        <v/>
      </c>
      <c r="F13" s="49" t="str">
        <f>IF(Tabla_Registro_Tareas2[[#This Row],[Actividad]]=Indice_Aux_Vacio,"",Indice_PROBLAM_Estudiante2)</f>
        <v/>
      </c>
      <c r="G13" s="7"/>
      <c r="H13" s="8"/>
      <c r="I13" s="9"/>
      <c r="K13" s="12" t="str" cm="1">
        <f t="array" ref="K13">IF($B13&lt;&gt;"",TRANSPOSE(_xlfn._xlws.FILTER(plan!$C$4:$C$52, ($B13 &gt;= (plan!$J$4:$J$52-Indice_Plan_ExtensionPlazo))*($B13 &lt;= (plan!$K$4:$K$52+Indice_Plan_ExtensionPlazo)), "")), "")</f>
        <v/>
      </c>
      <c r="BH13" s="4"/>
    </row>
    <row r="14" spans="2:60" x14ac:dyDescent="0.3">
      <c r="B14" s="6"/>
      <c r="C14" s="10"/>
      <c r="D14" s="48" t="str">
        <f>IF(Tabla_Registro_Tareas2[[#This Row],[Actividad]]=Indice_Aux_Vacio,"",IFERROR(INDEX(plan!$D$4:$D$52,MATCH(Tabla_Registro_Tareas2[[#This Row],[Actividad]],plan!$C$4:$C$52,0)),""))</f>
        <v/>
      </c>
      <c r="E14" s="48" t="str">
        <f>IFERROR(INDEX(plan!$E$4:$E$52,MATCH(Tabla_Registro_Tareas2[[#This Row],[Actividad]],plan!$C$4:$C$52,0)),"")</f>
        <v/>
      </c>
      <c r="F14" s="49" t="str">
        <f>IF(Tabla_Registro_Tareas2[[#This Row],[Actividad]]=Indice_Aux_Vacio,"",Indice_PROBLAM_Estudiante2)</f>
        <v/>
      </c>
      <c r="G14" s="7"/>
      <c r="H14" s="8"/>
      <c r="I14" s="9"/>
      <c r="K14" s="12" t="str" cm="1">
        <f t="array" ref="K14">IF($B14&lt;&gt;"",TRANSPOSE(_xlfn._xlws.FILTER(plan!$C$4:$C$52, ($B14 &gt;= (plan!$J$4:$J$52-Indice_Plan_ExtensionPlazo))*($B14 &lt;= (plan!$K$4:$K$52+Indice_Plan_ExtensionPlazo)), "")), "")</f>
        <v/>
      </c>
      <c r="BH14" s="4"/>
    </row>
    <row r="15" spans="2:60" x14ac:dyDescent="0.3">
      <c r="B15" s="6"/>
      <c r="C15" s="10"/>
      <c r="D15" s="48" t="str">
        <f>IF(Tabla_Registro_Tareas2[[#This Row],[Actividad]]=Indice_Aux_Vacio,"",IFERROR(INDEX(plan!$D$4:$D$52,MATCH(Tabla_Registro_Tareas2[[#This Row],[Actividad]],plan!$C$4:$C$52,0)),""))</f>
        <v/>
      </c>
      <c r="E15" s="48" t="str">
        <f>IFERROR(INDEX(plan!$E$4:$E$52,MATCH(Tabla_Registro_Tareas2[[#This Row],[Actividad]],plan!$C$4:$C$52,0)),"")</f>
        <v/>
      </c>
      <c r="F15" s="49" t="str">
        <f>IF(Tabla_Registro_Tareas2[[#This Row],[Actividad]]=Indice_Aux_Vacio,"",Indice_PROBLAM_Estudiante2)</f>
        <v/>
      </c>
      <c r="G15" s="7"/>
      <c r="H15" s="8"/>
      <c r="I15" s="9"/>
      <c r="K15" s="12" t="str" cm="1">
        <f t="array" ref="K15">IF($B15&lt;&gt;"",TRANSPOSE(_xlfn._xlws.FILTER(plan!$C$4:$C$52, ($B15 &gt;= (plan!$J$4:$J$52-Indice_Plan_ExtensionPlazo))*($B15 &lt;= (plan!$K$4:$K$52+Indice_Plan_ExtensionPlazo)), "")), "")</f>
        <v/>
      </c>
      <c r="BH15" s="4"/>
    </row>
    <row r="16" spans="2:60" x14ac:dyDescent="0.3">
      <c r="B16" s="6"/>
      <c r="C16" s="10"/>
      <c r="D16" s="48" t="str">
        <f>IF(Tabla_Registro_Tareas2[[#This Row],[Actividad]]=Indice_Aux_Vacio,"",IFERROR(INDEX(plan!$D$4:$D$52,MATCH(Tabla_Registro_Tareas2[[#This Row],[Actividad]],plan!$C$4:$C$52,0)),""))</f>
        <v/>
      </c>
      <c r="E16" s="48" t="str">
        <f>IFERROR(INDEX(plan!$E$4:$E$52,MATCH(Tabla_Registro_Tareas2[[#This Row],[Actividad]],plan!$C$4:$C$52,0)),"")</f>
        <v/>
      </c>
      <c r="F16" s="49" t="str">
        <f>IF(Tabla_Registro_Tareas2[[#This Row],[Actividad]]=Indice_Aux_Vacio,"",Indice_PROBLAM_Estudiante2)</f>
        <v/>
      </c>
      <c r="G16" s="7"/>
      <c r="H16" s="8"/>
      <c r="I16" s="9"/>
      <c r="K16" s="12" t="str" cm="1">
        <f t="array" ref="K16">IF($B16&lt;&gt;"",TRANSPOSE(_xlfn._xlws.FILTER(plan!$C$4:$C$52, ($B16 &gt;= (plan!$J$4:$J$52-Indice_Plan_ExtensionPlazo))*($B16 &lt;= (plan!$K$4:$K$52+Indice_Plan_ExtensionPlazo)), "")), "")</f>
        <v/>
      </c>
      <c r="BH16" s="4"/>
    </row>
    <row r="17" spans="2:60" x14ac:dyDescent="0.3">
      <c r="B17" s="6"/>
      <c r="C17" s="10"/>
      <c r="D17" s="48" t="str">
        <f>IF(Tabla_Registro_Tareas2[[#This Row],[Actividad]]=Indice_Aux_Vacio,"",IFERROR(INDEX(plan!$D$4:$D$52,MATCH(Tabla_Registro_Tareas2[[#This Row],[Actividad]],plan!$C$4:$C$52,0)),""))</f>
        <v/>
      </c>
      <c r="E17" s="48" t="str">
        <f>IFERROR(INDEX(plan!$E$4:$E$52,MATCH(Tabla_Registro_Tareas2[[#This Row],[Actividad]],plan!$C$4:$C$52,0)),"")</f>
        <v/>
      </c>
      <c r="F17" s="49" t="str">
        <f>IF(Tabla_Registro_Tareas2[[#This Row],[Actividad]]=Indice_Aux_Vacio,"",Indice_PROBLAM_Estudiante2)</f>
        <v/>
      </c>
      <c r="G17" s="7"/>
      <c r="H17" s="8"/>
      <c r="I17" s="9"/>
      <c r="K17" s="12" t="str" cm="1">
        <f t="array" ref="K17">IF($B17&lt;&gt;"",TRANSPOSE(_xlfn._xlws.FILTER(plan!$C$4:$C$52, ($B17 &gt;= (plan!$J$4:$J$52-Indice_Plan_ExtensionPlazo))*($B17 &lt;= (plan!$K$4:$K$52+Indice_Plan_ExtensionPlazo)), "")), "")</f>
        <v/>
      </c>
      <c r="BH17" s="4"/>
    </row>
    <row r="18" spans="2:60" x14ac:dyDescent="0.3">
      <c r="B18" s="6"/>
      <c r="C18" s="10"/>
      <c r="D18" s="48" t="str">
        <f>IF(Tabla_Registro_Tareas2[[#This Row],[Actividad]]=Indice_Aux_Vacio,"",IFERROR(INDEX(plan!$D$4:$D$52,MATCH(Tabla_Registro_Tareas2[[#This Row],[Actividad]],plan!$C$4:$C$52,0)),""))</f>
        <v/>
      </c>
      <c r="E18" s="48" t="str">
        <f>IFERROR(INDEX(plan!$E$4:$E$52,MATCH(Tabla_Registro_Tareas2[[#This Row],[Actividad]],plan!$C$4:$C$52,0)),"")</f>
        <v/>
      </c>
      <c r="F18" s="49" t="str">
        <f>IF(Tabla_Registro_Tareas2[[#This Row],[Actividad]]=Indice_Aux_Vacio,"",Indice_PROBLAM_Estudiante2)</f>
        <v/>
      </c>
      <c r="G18" s="7"/>
      <c r="H18" s="8"/>
      <c r="I18" s="9"/>
      <c r="K18" s="12" t="str" cm="1">
        <f t="array" ref="K18">IF($B18&lt;&gt;"",TRANSPOSE(_xlfn._xlws.FILTER(plan!$C$4:$C$52, ($B18 &gt;= (plan!$J$4:$J$52-Indice_Plan_ExtensionPlazo))*($B18 &lt;= (plan!$K$4:$K$52+Indice_Plan_ExtensionPlazo)), "")), "")</f>
        <v/>
      </c>
      <c r="BH18" s="4"/>
    </row>
    <row r="19" spans="2:60" x14ac:dyDescent="0.3">
      <c r="B19" s="6"/>
      <c r="C19" s="10"/>
      <c r="D19" s="48" t="str">
        <f>IF(Tabla_Registro_Tareas2[[#This Row],[Actividad]]=Indice_Aux_Vacio,"",IFERROR(INDEX(plan!$D$4:$D$52,MATCH(Tabla_Registro_Tareas2[[#This Row],[Actividad]],plan!$C$4:$C$52,0)),""))</f>
        <v/>
      </c>
      <c r="E19" s="48" t="str">
        <f>IFERROR(INDEX(plan!$E$4:$E$52,MATCH(Tabla_Registro_Tareas2[[#This Row],[Actividad]],plan!$C$4:$C$52,0)),"")</f>
        <v/>
      </c>
      <c r="F19" s="49" t="str">
        <f>IF(Tabla_Registro_Tareas2[[#This Row],[Actividad]]=Indice_Aux_Vacio,"",Indice_PROBLAM_Estudiante2)</f>
        <v/>
      </c>
      <c r="G19" s="7"/>
      <c r="H19" s="8"/>
      <c r="I19" s="9"/>
      <c r="K19" s="12" t="str" cm="1">
        <f t="array" ref="K19">IF($B19&lt;&gt;"",TRANSPOSE(_xlfn._xlws.FILTER(plan!$C$4:$C$52, ($B19 &gt;= (plan!$J$4:$J$52-Indice_Plan_ExtensionPlazo))*($B19 &lt;= (plan!$K$4:$K$52+Indice_Plan_ExtensionPlazo)), "")), "")</f>
        <v/>
      </c>
      <c r="BH19" s="4"/>
    </row>
    <row r="20" spans="2:60" x14ac:dyDescent="0.3">
      <c r="B20" s="6"/>
      <c r="C20" s="10"/>
      <c r="D20" s="48" t="str">
        <f>IF(Tabla_Registro_Tareas2[[#This Row],[Actividad]]=Indice_Aux_Vacio,"",IFERROR(INDEX(plan!$D$4:$D$52,MATCH(Tabla_Registro_Tareas2[[#This Row],[Actividad]],plan!$C$4:$C$52,0)),""))</f>
        <v/>
      </c>
      <c r="E20" s="48" t="str">
        <f>IFERROR(INDEX(plan!$E$4:$E$52,MATCH(Tabla_Registro_Tareas2[[#This Row],[Actividad]],plan!$C$4:$C$52,0)),"")</f>
        <v/>
      </c>
      <c r="F20" s="49" t="str">
        <f>IF(Tabla_Registro_Tareas2[[#This Row],[Actividad]]=Indice_Aux_Vacio,"",Indice_PROBLAM_Estudiante2)</f>
        <v/>
      </c>
      <c r="G20" s="7"/>
      <c r="H20" s="8"/>
      <c r="I20" s="9"/>
      <c r="K20" s="12" t="str" cm="1">
        <f t="array" ref="K20">IF($B20&lt;&gt;"",TRANSPOSE(_xlfn._xlws.FILTER(plan!$C$4:$C$52, ($B20 &gt;= (plan!$J$4:$J$52-Indice_Plan_ExtensionPlazo))*($B20 &lt;= (plan!$K$4:$K$52+Indice_Plan_ExtensionPlazo)), "")), "")</f>
        <v/>
      </c>
      <c r="BH20" s="4"/>
    </row>
    <row r="21" spans="2:60" x14ac:dyDescent="0.3">
      <c r="B21" s="6"/>
      <c r="C21" s="10"/>
      <c r="D21" s="48" t="str">
        <f>IF(Tabla_Registro_Tareas2[[#This Row],[Actividad]]=Indice_Aux_Vacio,"",IFERROR(INDEX(plan!$D$4:$D$52,MATCH(Tabla_Registro_Tareas2[[#This Row],[Actividad]],plan!$C$4:$C$52,0)),""))</f>
        <v/>
      </c>
      <c r="E21" s="48" t="str">
        <f>IFERROR(INDEX(plan!$E$4:$E$52,MATCH(Tabla_Registro_Tareas2[[#This Row],[Actividad]],plan!$C$4:$C$52,0)),"")</f>
        <v/>
      </c>
      <c r="F21" s="49" t="str">
        <f>IF(Tabla_Registro_Tareas2[[#This Row],[Actividad]]=Indice_Aux_Vacio,"",Indice_PROBLAM_Estudiante2)</f>
        <v/>
      </c>
      <c r="G21" s="7"/>
      <c r="H21" s="8"/>
      <c r="I21" s="9"/>
      <c r="K21" s="12" t="str" cm="1">
        <f t="array" ref="K21">IF($B21&lt;&gt;"",TRANSPOSE(_xlfn._xlws.FILTER(plan!$C$4:$C$52, ($B21 &gt;= (plan!$J$4:$J$52-Indice_Plan_ExtensionPlazo))*($B21 &lt;= (plan!$K$4:$K$52+Indice_Plan_ExtensionPlazo)), "")), "")</f>
        <v/>
      </c>
      <c r="BH21" s="4"/>
    </row>
    <row r="22" spans="2:60" x14ac:dyDescent="0.3">
      <c r="B22" s="6"/>
      <c r="C22" s="10"/>
      <c r="D22" s="48" t="str">
        <f>IF(Tabla_Registro_Tareas2[[#This Row],[Actividad]]=Indice_Aux_Vacio,"",IFERROR(INDEX(plan!$D$4:$D$52,MATCH(Tabla_Registro_Tareas2[[#This Row],[Actividad]],plan!$C$4:$C$52,0)),""))</f>
        <v/>
      </c>
      <c r="E22" s="48" t="str">
        <f>IFERROR(INDEX(plan!$E$4:$E$52,MATCH(Tabla_Registro_Tareas2[[#This Row],[Actividad]],plan!$C$4:$C$52,0)),"")</f>
        <v/>
      </c>
      <c r="F22" s="49" t="str">
        <f>IF(Tabla_Registro_Tareas2[[#This Row],[Actividad]]=Indice_Aux_Vacio,"",Indice_PROBLAM_Estudiante2)</f>
        <v/>
      </c>
      <c r="G22" s="7"/>
      <c r="H22" s="8"/>
      <c r="I22" s="9"/>
      <c r="K22" s="12" t="str" cm="1">
        <f t="array" ref="K22">IF($B22&lt;&gt;"",TRANSPOSE(_xlfn._xlws.FILTER(plan!$C$4:$C$52, ($B22 &gt;= (plan!$J$4:$J$52-Indice_Plan_ExtensionPlazo))*($B22 &lt;= (plan!$K$4:$K$52+Indice_Plan_ExtensionPlazo)), "")), "")</f>
        <v/>
      </c>
      <c r="BH22" s="4"/>
    </row>
    <row r="23" spans="2:60" x14ac:dyDescent="0.3">
      <c r="B23" s="6"/>
      <c r="C23" s="10"/>
      <c r="D23" s="48" t="str">
        <f>IF(Tabla_Registro_Tareas2[[#This Row],[Actividad]]=Indice_Aux_Vacio,"",IFERROR(INDEX(plan!$D$4:$D$52,MATCH(Tabla_Registro_Tareas2[[#This Row],[Actividad]],plan!$C$4:$C$52,0)),""))</f>
        <v/>
      </c>
      <c r="E23" s="48" t="str">
        <f>IFERROR(INDEX(plan!$E$4:$E$52,MATCH(Tabla_Registro_Tareas2[[#This Row],[Actividad]],plan!$C$4:$C$52,0)),"")</f>
        <v/>
      </c>
      <c r="F23" s="49" t="str">
        <f>IF(Tabla_Registro_Tareas2[[#This Row],[Actividad]]=Indice_Aux_Vacio,"",Indice_PROBLAM_Estudiante2)</f>
        <v/>
      </c>
      <c r="G23" s="7"/>
      <c r="H23" s="8"/>
      <c r="I23" s="9"/>
      <c r="K23" s="12" t="str" cm="1">
        <f t="array" ref="K23">IF($B23&lt;&gt;"",TRANSPOSE(_xlfn._xlws.FILTER(plan!$C$4:$C$52, ($B23 &gt;= (plan!$J$4:$J$52-Indice_Plan_ExtensionPlazo))*($B23 &lt;= (plan!$K$4:$K$52+Indice_Plan_ExtensionPlazo)), "")), "")</f>
        <v/>
      </c>
      <c r="BH23" s="4"/>
    </row>
    <row r="24" spans="2:60" x14ac:dyDescent="0.3">
      <c r="B24" s="6"/>
      <c r="C24" s="10"/>
      <c r="D24" s="48" t="str">
        <f>IF(Tabla_Registro_Tareas2[[#This Row],[Actividad]]=Indice_Aux_Vacio,"",IFERROR(INDEX(plan!$D$4:$D$52,MATCH(Tabla_Registro_Tareas2[[#This Row],[Actividad]],plan!$C$4:$C$52,0)),""))</f>
        <v/>
      </c>
      <c r="E24" s="48" t="str">
        <f>IFERROR(INDEX(plan!$E$4:$E$52,MATCH(Tabla_Registro_Tareas2[[#This Row],[Actividad]],plan!$C$4:$C$52,0)),"")</f>
        <v/>
      </c>
      <c r="F24" s="49" t="str">
        <f>IF(Tabla_Registro_Tareas2[[#This Row],[Actividad]]=Indice_Aux_Vacio,"",Indice_PROBLAM_Estudiante2)</f>
        <v/>
      </c>
      <c r="G24" s="7"/>
      <c r="H24" s="8"/>
      <c r="I24" s="9"/>
      <c r="K24" s="12" t="str" cm="1">
        <f t="array" ref="K24">IF($B24&lt;&gt;"",TRANSPOSE(_xlfn._xlws.FILTER(plan!$C$4:$C$52, ($B24 &gt;= (plan!$J$4:$J$52-Indice_Plan_ExtensionPlazo))*($B24 &lt;= (plan!$K$4:$K$52+Indice_Plan_ExtensionPlazo)), "")), "")</f>
        <v/>
      </c>
      <c r="BH24" s="4"/>
    </row>
    <row r="25" spans="2:60" x14ac:dyDescent="0.3">
      <c r="B25" s="6"/>
      <c r="C25" s="10"/>
      <c r="D25" s="48" t="str">
        <f>IF(Tabla_Registro_Tareas2[[#This Row],[Actividad]]=Indice_Aux_Vacio,"",IFERROR(INDEX(plan!$D$4:$D$52,MATCH(Tabla_Registro_Tareas2[[#This Row],[Actividad]],plan!$C$4:$C$52,0)),""))</f>
        <v/>
      </c>
      <c r="E25" s="48" t="str">
        <f>IFERROR(INDEX(plan!$E$4:$E$52,MATCH(Tabla_Registro_Tareas2[[#This Row],[Actividad]],plan!$C$4:$C$52,0)),"")</f>
        <v/>
      </c>
      <c r="F25" s="49" t="str">
        <f>IF(Tabla_Registro_Tareas2[[#This Row],[Actividad]]=Indice_Aux_Vacio,"",Indice_PROBLAM_Estudiante2)</f>
        <v/>
      </c>
      <c r="G25" s="7"/>
      <c r="H25" s="8"/>
      <c r="I25" s="9"/>
      <c r="K25" s="12" t="str" cm="1">
        <f t="array" ref="K25">IF($B25&lt;&gt;"",TRANSPOSE(_xlfn._xlws.FILTER(plan!$C$4:$C$52, ($B25 &gt;= (plan!$J$4:$J$52-Indice_Plan_ExtensionPlazo))*($B25 &lt;= (plan!$K$4:$K$52+Indice_Plan_ExtensionPlazo)), "")), "")</f>
        <v/>
      </c>
      <c r="BH25" s="4"/>
    </row>
    <row r="26" spans="2:60" x14ac:dyDescent="0.3">
      <c r="B26" s="6"/>
      <c r="C26" s="10"/>
      <c r="D26" s="48" t="str">
        <f>IF(Tabla_Registro_Tareas2[[#This Row],[Actividad]]=Indice_Aux_Vacio,"",IFERROR(INDEX(plan!$D$4:$D$52,MATCH(Tabla_Registro_Tareas2[[#This Row],[Actividad]],plan!$C$4:$C$52,0)),""))</f>
        <v/>
      </c>
      <c r="E26" s="48" t="str">
        <f>IFERROR(INDEX(plan!$E$4:$E$52,MATCH(Tabla_Registro_Tareas2[[#This Row],[Actividad]],plan!$C$4:$C$52,0)),"")</f>
        <v/>
      </c>
      <c r="F26" s="49" t="str">
        <f>IF(Tabla_Registro_Tareas2[[#This Row],[Actividad]]=Indice_Aux_Vacio,"",Indice_PROBLAM_Estudiante2)</f>
        <v/>
      </c>
      <c r="G26" s="7"/>
      <c r="H26" s="8"/>
      <c r="I26" s="9"/>
      <c r="K26" s="12" t="str" cm="1">
        <f t="array" ref="K26">IF($B26&lt;&gt;"",TRANSPOSE(_xlfn._xlws.FILTER(plan!$C$4:$C$52, ($B26 &gt;= (plan!$J$4:$J$52-Indice_Plan_ExtensionPlazo))*($B26 &lt;= (plan!$K$4:$K$52+Indice_Plan_ExtensionPlazo)), "")), "")</f>
        <v/>
      </c>
      <c r="BH26" s="4"/>
    </row>
    <row r="27" spans="2:60" x14ac:dyDescent="0.3">
      <c r="B27" s="6"/>
      <c r="C27" s="10"/>
      <c r="D27" s="48" t="str">
        <f>IF(Tabla_Registro_Tareas2[[#This Row],[Actividad]]=Indice_Aux_Vacio,"",IFERROR(INDEX(plan!$D$4:$D$52,MATCH(Tabla_Registro_Tareas2[[#This Row],[Actividad]],plan!$C$4:$C$52,0)),""))</f>
        <v/>
      </c>
      <c r="E27" s="48" t="str">
        <f>IFERROR(INDEX(plan!$E$4:$E$52,MATCH(Tabla_Registro_Tareas2[[#This Row],[Actividad]],plan!$C$4:$C$52,0)),"")</f>
        <v/>
      </c>
      <c r="F27" s="49" t="str">
        <f>IF(Tabla_Registro_Tareas2[[#This Row],[Actividad]]=Indice_Aux_Vacio,"",Indice_PROBLAM_Estudiante2)</f>
        <v/>
      </c>
      <c r="G27" s="7"/>
      <c r="H27" s="8"/>
      <c r="I27" s="9"/>
      <c r="K27" s="12" t="str" cm="1">
        <f t="array" ref="K27">IF($B27&lt;&gt;"",TRANSPOSE(_xlfn._xlws.FILTER(plan!$C$4:$C$52, ($B27 &gt;= (plan!$J$4:$J$52-Indice_Plan_ExtensionPlazo))*($B27 &lt;= (plan!$K$4:$K$52+Indice_Plan_ExtensionPlazo)), "")), "")</f>
        <v/>
      </c>
      <c r="BH27" s="4"/>
    </row>
    <row r="28" spans="2:60" x14ac:dyDescent="0.3">
      <c r="B28" s="6"/>
      <c r="C28" s="10"/>
      <c r="D28" s="48" t="str">
        <f>IF(Tabla_Registro_Tareas2[[#This Row],[Actividad]]=Indice_Aux_Vacio,"",IFERROR(INDEX(plan!$D$4:$D$52,MATCH(Tabla_Registro_Tareas2[[#This Row],[Actividad]],plan!$C$4:$C$52,0)),""))</f>
        <v/>
      </c>
      <c r="E28" s="48" t="str">
        <f>IFERROR(INDEX(plan!$E$4:$E$52,MATCH(Tabla_Registro_Tareas2[[#This Row],[Actividad]],plan!$C$4:$C$52,0)),"")</f>
        <v/>
      </c>
      <c r="F28" s="49" t="str">
        <f>IF(Tabla_Registro_Tareas2[[#This Row],[Actividad]]=Indice_Aux_Vacio,"",Indice_PROBLAM_Estudiante2)</f>
        <v/>
      </c>
      <c r="G28" s="7"/>
      <c r="H28" s="8"/>
      <c r="I28" s="9"/>
      <c r="K28" s="12" t="str" cm="1">
        <f t="array" ref="K28">IF($B28&lt;&gt;"",TRANSPOSE(_xlfn._xlws.FILTER(plan!$C$4:$C$52, ($B28 &gt;= (plan!$J$4:$J$52-Indice_Plan_ExtensionPlazo))*($B28 &lt;= (plan!$K$4:$K$52+Indice_Plan_ExtensionPlazo)), "")), "")</f>
        <v/>
      </c>
      <c r="BH28" s="4"/>
    </row>
    <row r="29" spans="2:60" x14ac:dyDescent="0.3">
      <c r="B29" s="6"/>
      <c r="C29" s="10"/>
      <c r="D29" s="48" t="str">
        <f>IF(Tabla_Registro_Tareas2[[#This Row],[Actividad]]=Indice_Aux_Vacio,"",IFERROR(INDEX(plan!$D$4:$D$52,MATCH(Tabla_Registro_Tareas2[[#This Row],[Actividad]],plan!$C$4:$C$52,0)),""))</f>
        <v/>
      </c>
      <c r="E29" s="48" t="str">
        <f>IFERROR(INDEX(plan!$E$4:$E$52,MATCH(Tabla_Registro_Tareas2[[#This Row],[Actividad]],plan!$C$4:$C$52,0)),"")</f>
        <v/>
      </c>
      <c r="F29" s="49" t="str">
        <f>IF(Tabla_Registro_Tareas2[[#This Row],[Actividad]]=Indice_Aux_Vacio,"",Indice_PROBLAM_Estudiante2)</f>
        <v/>
      </c>
      <c r="G29" s="7"/>
      <c r="H29" s="8"/>
      <c r="I29" s="9"/>
      <c r="K29" s="12" t="str" cm="1">
        <f t="array" ref="K29">IF($B29&lt;&gt;"",TRANSPOSE(_xlfn._xlws.FILTER(plan!$C$4:$C$52, ($B29 &gt;= (plan!$J$4:$J$52-Indice_Plan_ExtensionPlazo))*($B29 &lt;= (plan!$K$4:$K$52+Indice_Plan_ExtensionPlazo)), "")), "")</f>
        <v/>
      </c>
      <c r="BH29" s="4"/>
    </row>
    <row r="30" spans="2:60" x14ac:dyDescent="0.3">
      <c r="B30" s="6"/>
      <c r="C30" s="10"/>
      <c r="D30" s="48" t="str">
        <f>IF(Tabla_Registro_Tareas2[[#This Row],[Actividad]]=Indice_Aux_Vacio,"",IFERROR(INDEX(plan!$D$4:$D$52,MATCH(Tabla_Registro_Tareas2[[#This Row],[Actividad]],plan!$C$4:$C$52,0)),""))</f>
        <v/>
      </c>
      <c r="E30" s="48" t="str">
        <f>IFERROR(INDEX(plan!$E$4:$E$52,MATCH(Tabla_Registro_Tareas2[[#This Row],[Actividad]],plan!$C$4:$C$52,0)),"")</f>
        <v/>
      </c>
      <c r="F30" s="49" t="str">
        <f>IF(Tabla_Registro_Tareas2[[#This Row],[Actividad]]=Indice_Aux_Vacio,"",Indice_PROBLAM_Estudiante2)</f>
        <v/>
      </c>
      <c r="G30" s="7"/>
      <c r="H30" s="8"/>
      <c r="I30" s="9"/>
      <c r="K30" s="12" t="str" cm="1">
        <f t="array" ref="K30">IF($B30&lt;&gt;"",TRANSPOSE(_xlfn._xlws.FILTER(plan!$C$4:$C$52, ($B30 &gt;= (plan!$J$4:$J$52-Indice_Plan_ExtensionPlazo))*($B30 &lt;= (plan!$K$4:$K$52+Indice_Plan_ExtensionPlazo)), "")), "")</f>
        <v/>
      </c>
      <c r="BH30" s="4"/>
    </row>
    <row r="31" spans="2:60" x14ac:dyDescent="0.3">
      <c r="B31" s="6"/>
      <c r="C31" s="10"/>
      <c r="D31" s="48" t="str">
        <f>IF(Tabla_Registro_Tareas2[[#This Row],[Actividad]]=Indice_Aux_Vacio,"",IFERROR(INDEX(plan!$D$4:$D$52,MATCH(Tabla_Registro_Tareas2[[#This Row],[Actividad]],plan!$C$4:$C$52,0)),""))</f>
        <v/>
      </c>
      <c r="E31" s="48" t="str">
        <f>IFERROR(INDEX(plan!$E$4:$E$52,MATCH(Tabla_Registro_Tareas2[[#This Row],[Actividad]],plan!$C$4:$C$52,0)),"")</f>
        <v/>
      </c>
      <c r="F31" s="49" t="str">
        <f>IF(Tabla_Registro_Tareas2[[#This Row],[Actividad]]=Indice_Aux_Vacio,"",Indice_PROBLAM_Estudiante2)</f>
        <v/>
      </c>
      <c r="G31" s="7"/>
      <c r="H31" s="8"/>
      <c r="I31" s="9"/>
      <c r="K31" s="12" t="str" cm="1">
        <f t="array" ref="K31">IF($B31&lt;&gt;"",TRANSPOSE(_xlfn._xlws.FILTER(plan!$C$4:$C$52, ($B31 &gt;= (plan!$J$4:$J$52-Indice_Plan_ExtensionPlazo))*($B31 &lt;= (plan!$K$4:$K$52+Indice_Plan_ExtensionPlazo)), "")), "")</f>
        <v/>
      </c>
      <c r="BH31" s="4"/>
    </row>
    <row r="32" spans="2:60" x14ac:dyDescent="0.3">
      <c r="B32" s="6"/>
      <c r="C32" s="10"/>
      <c r="D32" s="48" t="str">
        <f>IF(Tabla_Registro_Tareas2[[#This Row],[Actividad]]=Indice_Aux_Vacio,"",IFERROR(INDEX(plan!$D$4:$D$52,MATCH(Tabla_Registro_Tareas2[[#This Row],[Actividad]],plan!$C$4:$C$52,0)),""))</f>
        <v/>
      </c>
      <c r="E32" s="48" t="str">
        <f>IFERROR(INDEX(plan!$E$4:$E$52,MATCH(Tabla_Registro_Tareas2[[#This Row],[Actividad]],plan!$C$4:$C$52,0)),"")</f>
        <v/>
      </c>
      <c r="F32" s="49" t="str">
        <f>IF(Tabla_Registro_Tareas2[[#This Row],[Actividad]]=Indice_Aux_Vacio,"",Indice_PROBLAM_Estudiante2)</f>
        <v/>
      </c>
      <c r="G32" s="7"/>
      <c r="H32" s="8"/>
      <c r="I32" s="9"/>
      <c r="K32" s="12" t="str" cm="1">
        <f t="array" ref="K32">IF($B32&lt;&gt;"",TRANSPOSE(_xlfn._xlws.FILTER(plan!$C$4:$C$52, ($B32 &gt;= (plan!$J$4:$J$52-Indice_Plan_ExtensionPlazo))*($B32 &lt;= (plan!$K$4:$K$52+Indice_Plan_ExtensionPlazo)), "")), "")</f>
        <v/>
      </c>
      <c r="BH32" s="4"/>
    </row>
    <row r="33" spans="2:60" x14ac:dyDescent="0.3">
      <c r="B33" s="6"/>
      <c r="C33" s="10"/>
      <c r="D33" s="48" t="str">
        <f>IF(Tabla_Registro_Tareas2[[#This Row],[Actividad]]=Indice_Aux_Vacio,"",IFERROR(INDEX(plan!$D$4:$D$52,MATCH(Tabla_Registro_Tareas2[[#This Row],[Actividad]],plan!$C$4:$C$52,0)),""))</f>
        <v/>
      </c>
      <c r="E33" s="48" t="str">
        <f>IFERROR(INDEX(plan!$E$4:$E$52,MATCH(Tabla_Registro_Tareas2[[#This Row],[Actividad]],plan!$C$4:$C$52,0)),"")</f>
        <v/>
      </c>
      <c r="F33" s="49" t="str">
        <f>IF(Tabla_Registro_Tareas2[[#This Row],[Actividad]]=Indice_Aux_Vacio,"",Indice_PROBLAM_Estudiante2)</f>
        <v/>
      </c>
      <c r="G33" s="7"/>
      <c r="H33" s="8"/>
      <c r="I33" s="9"/>
      <c r="K33" s="12" t="str" cm="1">
        <f t="array" ref="K33">IF($B33&lt;&gt;"",TRANSPOSE(_xlfn._xlws.FILTER(plan!$C$4:$C$52, ($B33 &gt;= (plan!$J$4:$J$52-Indice_Plan_ExtensionPlazo))*($B33 &lt;= (plan!$K$4:$K$52+Indice_Plan_ExtensionPlazo)), "")), "")</f>
        <v/>
      </c>
      <c r="BH33" s="4"/>
    </row>
    <row r="34" spans="2:60" x14ac:dyDescent="0.3">
      <c r="B34" s="6"/>
      <c r="C34" s="10"/>
      <c r="D34" s="48" t="str">
        <f>IF(Tabla_Registro_Tareas2[[#This Row],[Actividad]]=Indice_Aux_Vacio,"",IFERROR(INDEX(plan!$D$4:$D$52,MATCH(Tabla_Registro_Tareas2[[#This Row],[Actividad]],plan!$C$4:$C$52,0)),""))</f>
        <v/>
      </c>
      <c r="E34" s="48" t="str">
        <f>IFERROR(INDEX(plan!$E$4:$E$52,MATCH(Tabla_Registro_Tareas2[[#This Row],[Actividad]],plan!$C$4:$C$52,0)),"")</f>
        <v/>
      </c>
      <c r="F34" s="49" t="str">
        <f>IF(Tabla_Registro_Tareas2[[#This Row],[Actividad]]=Indice_Aux_Vacio,"",Indice_PROBLAM_Estudiante2)</f>
        <v/>
      </c>
      <c r="G34" s="7"/>
      <c r="H34" s="8"/>
      <c r="I34" s="9"/>
      <c r="K34" s="12" t="str" cm="1">
        <f t="array" ref="K34">IF($B34&lt;&gt;"",TRANSPOSE(_xlfn._xlws.FILTER(plan!$C$4:$C$52, ($B34 &gt;= (plan!$J$4:$J$52-Indice_Plan_ExtensionPlazo))*($B34 &lt;= (plan!$K$4:$K$52+Indice_Plan_ExtensionPlazo)), "")), "")</f>
        <v/>
      </c>
      <c r="BH34" s="4"/>
    </row>
    <row r="35" spans="2:60" x14ac:dyDescent="0.3">
      <c r="B35" s="6"/>
      <c r="C35" s="10"/>
      <c r="D35" s="48" t="str">
        <f>IF(Tabla_Registro_Tareas2[[#This Row],[Actividad]]=Indice_Aux_Vacio,"",IFERROR(INDEX(plan!$D$4:$D$52,MATCH(Tabla_Registro_Tareas2[[#This Row],[Actividad]],plan!$C$4:$C$52,0)),""))</f>
        <v/>
      </c>
      <c r="E35" s="48" t="str">
        <f>IFERROR(INDEX(plan!$E$4:$E$52,MATCH(Tabla_Registro_Tareas2[[#This Row],[Actividad]],plan!$C$4:$C$52,0)),"")</f>
        <v/>
      </c>
      <c r="F35" s="49" t="str">
        <f>IF(Tabla_Registro_Tareas2[[#This Row],[Actividad]]=Indice_Aux_Vacio,"",Indice_PROBLAM_Estudiante2)</f>
        <v/>
      </c>
      <c r="G35" s="7"/>
      <c r="H35" s="8"/>
      <c r="I35" s="9"/>
      <c r="K35" s="12" t="str" cm="1">
        <f t="array" ref="K35">IF($B35&lt;&gt;"",TRANSPOSE(_xlfn._xlws.FILTER(plan!$C$4:$C$52, ($B35 &gt;= (plan!$J$4:$J$52-Indice_Plan_ExtensionPlazo))*($B35 &lt;= (plan!$K$4:$K$52+Indice_Plan_ExtensionPlazo)), "")), "")</f>
        <v/>
      </c>
      <c r="BH35" s="4"/>
    </row>
    <row r="36" spans="2:60" x14ac:dyDescent="0.3">
      <c r="B36" s="6"/>
      <c r="C36" s="10"/>
      <c r="D36" s="48" t="str">
        <f>IF(Tabla_Registro_Tareas2[[#This Row],[Actividad]]=Indice_Aux_Vacio,"",IFERROR(INDEX(plan!$D$4:$D$52,MATCH(Tabla_Registro_Tareas2[[#This Row],[Actividad]],plan!$C$4:$C$52,0)),""))</f>
        <v/>
      </c>
      <c r="E36" s="48" t="str">
        <f>IFERROR(INDEX(plan!$E$4:$E$52,MATCH(Tabla_Registro_Tareas2[[#This Row],[Actividad]],plan!$C$4:$C$52,0)),"")</f>
        <v/>
      </c>
      <c r="F36" s="49" t="str">
        <f>IF(Tabla_Registro_Tareas2[[#This Row],[Actividad]]=Indice_Aux_Vacio,"",Indice_PROBLAM_Estudiante2)</f>
        <v/>
      </c>
      <c r="G36" s="7"/>
      <c r="H36" s="8"/>
      <c r="I36" s="9"/>
      <c r="K36" s="12" t="str" cm="1">
        <f t="array" ref="K36">IF($B36&lt;&gt;"",TRANSPOSE(_xlfn._xlws.FILTER(plan!$C$4:$C$52, ($B36 &gt;= (plan!$J$4:$J$52-Indice_Plan_ExtensionPlazo))*($B36 &lt;= (plan!$K$4:$K$52+Indice_Plan_ExtensionPlazo)), "")), "")</f>
        <v/>
      </c>
      <c r="BH36" s="4"/>
    </row>
    <row r="37" spans="2:60" x14ac:dyDescent="0.3">
      <c r="B37" s="6"/>
      <c r="C37" s="10"/>
      <c r="D37" s="48" t="str">
        <f>IF(Tabla_Registro_Tareas2[[#This Row],[Actividad]]=Indice_Aux_Vacio,"",IFERROR(INDEX(plan!$D$4:$D$52,MATCH(Tabla_Registro_Tareas2[[#This Row],[Actividad]],plan!$C$4:$C$52,0)),""))</f>
        <v/>
      </c>
      <c r="E37" s="48" t="str">
        <f>IFERROR(INDEX(plan!$E$4:$E$52,MATCH(Tabla_Registro_Tareas2[[#This Row],[Actividad]],plan!$C$4:$C$52,0)),"")</f>
        <v/>
      </c>
      <c r="F37" s="49" t="str">
        <f>IF(Tabla_Registro_Tareas2[[#This Row],[Actividad]]=Indice_Aux_Vacio,"",Indice_PROBLAM_Estudiante2)</f>
        <v/>
      </c>
      <c r="G37" s="7"/>
      <c r="H37" s="8"/>
      <c r="I37" s="9"/>
      <c r="K37" s="12" t="str" cm="1">
        <f t="array" ref="K37">IF($B37&lt;&gt;"",TRANSPOSE(_xlfn._xlws.FILTER(plan!$C$4:$C$52, ($B37 &gt;= (plan!$J$4:$J$52-Indice_Plan_ExtensionPlazo))*($B37 &lt;= (plan!$K$4:$K$52+Indice_Plan_ExtensionPlazo)), "")), "")</f>
        <v/>
      </c>
      <c r="BH37" s="4"/>
    </row>
    <row r="38" spans="2:60" x14ac:dyDescent="0.3">
      <c r="B38" s="6"/>
      <c r="C38" s="10"/>
      <c r="D38" s="48" t="str">
        <f>IF(Tabla_Registro_Tareas2[[#This Row],[Actividad]]=Indice_Aux_Vacio,"",IFERROR(INDEX(plan!$D$4:$D$52,MATCH(Tabla_Registro_Tareas2[[#This Row],[Actividad]],plan!$C$4:$C$52,0)),""))</f>
        <v/>
      </c>
      <c r="E38" s="48" t="str">
        <f>IFERROR(INDEX(plan!$E$4:$E$52,MATCH(Tabla_Registro_Tareas2[[#This Row],[Actividad]],plan!$C$4:$C$52,0)),"")</f>
        <v/>
      </c>
      <c r="F38" s="49" t="str">
        <f>IF(Tabla_Registro_Tareas2[[#This Row],[Actividad]]=Indice_Aux_Vacio,"",Indice_PROBLAM_Estudiante2)</f>
        <v/>
      </c>
      <c r="G38" s="7"/>
      <c r="H38" s="8"/>
      <c r="I38" s="9"/>
      <c r="K38" s="12" t="str" cm="1">
        <f t="array" ref="K38">IF($B38&lt;&gt;"",TRANSPOSE(_xlfn._xlws.FILTER(plan!$C$4:$C$52, ($B38 &gt;= (plan!$J$4:$J$52-Indice_Plan_ExtensionPlazo))*($B38 &lt;= (plan!$K$4:$K$52+Indice_Plan_ExtensionPlazo)), "")), "")</f>
        <v/>
      </c>
      <c r="BH38" s="4"/>
    </row>
    <row r="39" spans="2:60" x14ac:dyDescent="0.3">
      <c r="B39" s="6"/>
      <c r="C39" s="10"/>
      <c r="D39" s="48" t="str">
        <f>IF(Tabla_Registro_Tareas2[[#This Row],[Actividad]]=Indice_Aux_Vacio,"",IFERROR(INDEX(plan!$D$4:$D$52,MATCH(Tabla_Registro_Tareas2[[#This Row],[Actividad]],plan!$C$4:$C$52,0)),""))</f>
        <v/>
      </c>
      <c r="E39" s="48" t="str">
        <f>IFERROR(INDEX(plan!$E$4:$E$52,MATCH(Tabla_Registro_Tareas2[[#This Row],[Actividad]],plan!$C$4:$C$52,0)),"")</f>
        <v/>
      </c>
      <c r="F39" s="49" t="str">
        <f>IF(Tabla_Registro_Tareas2[[#This Row],[Actividad]]=Indice_Aux_Vacio,"",Indice_PROBLAM_Estudiante2)</f>
        <v/>
      </c>
      <c r="G39" s="7"/>
      <c r="H39" s="8"/>
      <c r="I39" s="9"/>
      <c r="K39" s="12" t="str" cm="1">
        <f t="array" ref="K39">IF($B39&lt;&gt;"",TRANSPOSE(_xlfn._xlws.FILTER(plan!$C$4:$C$52, ($B39 &gt;= (plan!$J$4:$J$52-Indice_Plan_ExtensionPlazo))*($B39 &lt;= (plan!$K$4:$K$52+Indice_Plan_ExtensionPlazo)), "")), "")</f>
        <v/>
      </c>
      <c r="BH39" s="4"/>
    </row>
    <row r="40" spans="2:60" x14ac:dyDescent="0.3">
      <c r="B40" s="6"/>
      <c r="C40" s="10"/>
      <c r="D40" s="48" t="str">
        <f>IF(Tabla_Registro_Tareas2[[#This Row],[Actividad]]=Indice_Aux_Vacio,"",IFERROR(INDEX(plan!$D$4:$D$52,MATCH(Tabla_Registro_Tareas2[[#This Row],[Actividad]],plan!$C$4:$C$52,0)),""))</f>
        <v/>
      </c>
      <c r="E40" s="48" t="str">
        <f>IFERROR(INDEX(plan!$E$4:$E$52,MATCH(Tabla_Registro_Tareas2[[#This Row],[Actividad]],plan!$C$4:$C$52,0)),"")</f>
        <v/>
      </c>
      <c r="F40" s="49" t="str">
        <f>IF(Tabla_Registro_Tareas2[[#This Row],[Actividad]]=Indice_Aux_Vacio,"",Indice_PROBLAM_Estudiante2)</f>
        <v/>
      </c>
      <c r="G40" s="7"/>
      <c r="H40" s="8"/>
      <c r="I40" s="9"/>
      <c r="K40" s="12" t="str" cm="1">
        <f t="array" ref="K40">IF($B40&lt;&gt;"",TRANSPOSE(_xlfn._xlws.FILTER(plan!$C$4:$C$52, ($B40 &gt;= (plan!$J$4:$J$52-Indice_Plan_ExtensionPlazo))*($B40 &lt;= (plan!$K$4:$K$52+Indice_Plan_ExtensionPlazo)), "")), "")</f>
        <v/>
      </c>
      <c r="BH40" s="4"/>
    </row>
    <row r="41" spans="2:60" x14ac:dyDescent="0.3">
      <c r="B41" s="6"/>
      <c r="C41" s="10"/>
      <c r="D41" s="48" t="str">
        <f>IF(Tabla_Registro_Tareas2[[#This Row],[Actividad]]=Indice_Aux_Vacio,"",IFERROR(INDEX(plan!$D$4:$D$52,MATCH(Tabla_Registro_Tareas2[[#This Row],[Actividad]],plan!$C$4:$C$52,0)),""))</f>
        <v/>
      </c>
      <c r="E41" s="48" t="str">
        <f>IFERROR(INDEX(plan!$E$4:$E$52,MATCH(Tabla_Registro_Tareas2[[#This Row],[Actividad]],plan!$C$4:$C$52,0)),"")</f>
        <v/>
      </c>
      <c r="F41" s="49" t="str">
        <f>IF(Tabla_Registro_Tareas2[[#This Row],[Actividad]]=Indice_Aux_Vacio,"",Indice_PROBLAM_Estudiante2)</f>
        <v/>
      </c>
      <c r="G41" s="7"/>
      <c r="H41" s="8"/>
      <c r="I41" s="9"/>
      <c r="K41" s="12" t="str" cm="1">
        <f t="array" ref="K41">IF($B41&lt;&gt;"",TRANSPOSE(_xlfn._xlws.FILTER(plan!$C$4:$C$52, ($B41 &gt;= (plan!$J$4:$J$52-Indice_Plan_ExtensionPlazo))*($B41 &lt;= (plan!$K$4:$K$52+Indice_Plan_ExtensionPlazo)), "")), "")</f>
        <v/>
      </c>
      <c r="BH41" s="4"/>
    </row>
    <row r="42" spans="2:60" x14ac:dyDescent="0.3">
      <c r="B42" s="6"/>
      <c r="C42" s="10"/>
      <c r="D42" s="48" t="str">
        <f>IF(Tabla_Registro_Tareas2[[#This Row],[Actividad]]=Indice_Aux_Vacio,"",IFERROR(INDEX(plan!$D$4:$D$52,MATCH(Tabla_Registro_Tareas2[[#This Row],[Actividad]],plan!$C$4:$C$52,0)),""))</f>
        <v/>
      </c>
      <c r="E42" s="48" t="str">
        <f>IFERROR(INDEX(plan!$E$4:$E$52,MATCH(Tabla_Registro_Tareas2[[#This Row],[Actividad]],plan!$C$4:$C$52,0)),"")</f>
        <v/>
      </c>
      <c r="F42" s="49" t="str">
        <f>IF(Tabla_Registro_Tareas2[[#This Row],[Actividad]]=Indice_Aux_Vacio,"",Indice_PROBLAM_Estudiante2)</f>
        <v/>
      </c>
      <c r="G42" s="7"/>
      <c r="H42" s="8"/>
      <c r="I42" s="9"/>
      <c r="K42" s="12" t="str" cm="1">
        <f t="array" ref="K42">IF($B42&lt;&gt;"",TRANSPOSE(_xlfn._xlws.FILTER(plan!$C$4:$C$52, ($B42 &gt;= (plan!$J$4:$J$52-Indice_Plan_ExtensionPlazo))*($B42 &lt;= (plan!$K$4:$K$52+Indice_Plan_ExtensionPlazo)), "")), "")</f>
        <v/>
      </c>
      <c r="BH42" s="4"/>
    </row>
    <row r="43" spans="2:60" x14ac:dyDescent="0.3">
      <c r="B43" s="6"/>
      <c r="C43" s="10"/>
      <c r="D43" s="48" t="str">
        <f>IF(Tabla_Registro_Tareas2[[#This Row],[Actividad]]=Indice_Aux_Vacio,"",IFERROR(INDEX(plan!$D$4:$D$52,MATCH(Tabla_Registro_Tareas2[[#This Row],[Actividad]],plan!$C$4:$C$52,0)),""))</f>
        <v/>
      </c>
      <c r="E43" s="48" t="str">
        <f>IFERROR(INDEX(plan!$E$4:$E$52,MATCH(Tabla_Registro_Tareas2[[#This Row],[Actividad]],plan!$C$4:$C$52,0)),"")</f>
        <v/>
      </c>
      <c r="F43" s="49" t="str">
        <f>IF(Tabla_Registro_Tareas2[[#This Row],[Actividad]]=Indice_Aux_Vacio,"",Indice_PROBLAM_Estudiante2)</f>
        <v/>
      </c>
      <c r="G43" s="7"/>
      <c r="H43" s="8"/>
      <c r="I43" s="9"/>
      <c r="K43" s="12" t="str" cm="1">
        <f t="array" ref="K43">IF($B43&lt;&gt;"",TRANSPOSE(_xlfn._xlws.FILTER(plan!$C$4:$C$52, ($B43 &gt;= (plan!$J$4:$J$52-Indice_Plan_ExtensionPlazo))*($B43 &lt;= (plan!$K$4:$K$52+Indice_Plan_ExtensionPlazo)), "")), "")</f>
        <v/>
      </c>
      <c r="BH43" s="4"/>
    </row>
    <row r="44" spans="2:60" x14ac:dyDescent="0.3">
      <c r="B44" s="6"/>
      <c r="C44" s="10"/>
      <c r="D44" s="48" t="str">
        <f>IF(Tabla_Registro_Tareas2[[#This Row],[Actividad]]=Indice_Aux_Vacio,"",IFERROR(INDEX(plan!$D$4:$D$52,MATCH(Tabla_Registro_Tareas2[[#This Row],[Actividad]],plan!$C$4:$C$52,0)),""))</f>
        <v/>
      </c>
      <c r="E44" s="48" t="str">
        <f>IFERROR(INDEX(plan!$E$4:$E$52,MATCH(Tabla_Registro_Tareas2[[#This Row],[Actividad]],plan!$C$4:$C$52,0)),"")</f>
        <v/>
      </c>
      <c r="F44" s="49" t="str">
        <f>IF(Tabla_Registro_Tareas2[[#This Row],[Actividad]]=Indice_Aux_Vacio,"",Indice_PROBLAM_Estudiante2)</f>
        <v/>
      </c>
      <c r="G44" s="7"/>
      <c r="H44" s="8"/>
      <c r="I44" s="9"/>
      <c r="K44" s="12" t="str" cm="1">
        <f t="array" ref="K44">IF($B44&lt;&gt;"",TRANSPOSE(_xlfn._xlws.FILTER(plan!$C$4:$C$52, ($B44 &gt;= (plan!$J$4:$J$52-Indice_Plan_ExtensionPlazo))*($B44 &lt;= (plan!$K$4:$K$52+Indice_Plan_ExtensionPlazo)), "")), "")</f>
        <v/>
      </c>
      <c r="BH44" s="4"/>
    </row>
    <row r="45" spans="2:60" x14ac:dyDescent="0.3">
      <c r="B45" s="6"/>
      <c r="C45" s="10"/>
      <c r="D45" s="48" t="str">
        <f>IF(Tabla_Registro_Tareas2[[#This Row],[Actividad]]=Indice_Aux_Vacio,"",IFERROR(INDEX(plan!$D$4:$D$52,MATCH(Tabla_Registro_Tareas2[[#This Row],[Actividad]],plan!$C$4:$C$52,0)),""))</f>
        <v/>
      </c>
      <c r="E45" s="48" t="str">
        <f>IFERROR(INDEX(plan!$E$4:$E$52,MATCH(Tabla_Registro_Tareas2[[#This Row],[Actividad]],plan!$C$4:$C$52,0)),"")</f>
        <v/>
      </c>
      <c r="F45" s="49" t="str">
        <f>IF(Tabla_Registro_Tareas2[[#This Row],[Actividad]]=Indice_Aux_Vacio,"",Indice_PROBLAM_Estudiante2)</f>
        <v/>
      </c>
      <c r="G45" s="7"/>
      <c r="H45" s="8"/>
      <c r="I45" s="9"/>
      <c r="K45" s="12" t="str" cm="1">
        <f t="array" ref="K45">IF($B45&lt;&gt;"",TRANSPOSE(_xlfn._xlws.FILTER(plan!$C$4:$C$52, ($B45 &gt;= (plan!$J$4:$J$52-Indice_Plan_ExtensionPlazo))*($B45 &lt;= (plan!$K$4:$K$52+Indice_Plan_ExtensionPlazo)), "")), "")</f>
        <v/>
      </c>
      <c r="BH45" s="4"/>
    </row>
    <row r="46" spans="2:60" x14ac:dyDescent="0.3">
      <c r="B46" s="6"/>
      <c r="C46" s="10"/>
      <c r="D46" s="48" t="str">
        <f>IF(Tabla_Registro_Tareas2[[#This Row],[Actividad]]=Indice_Aux_Vacio,"",IFERROR(INDEX(plan!$D$4:$D$52,MATCH(Tabla_Registro_Tareas2[[#This Row],[Actividad]],plan!$C$4:$C$52,0)),""))</f>
        <v/>
      </c>
      <c r="E46" s="48" t="str">
        <f>IFERROR(INDEX(plan!$E$4:$E$52,MATCH(Tabla_Registro_Tareas2[[#This Row],[Actividad]],plan!$C$4:$C$52,0)),"")</f>
        <v/>
      </c>
      <c r="F46" s="49" t="str">
        <f>IF(Tabla_Registro_Tareas2[[#This Row],[Actividad]]=Indice_Aux_Vacio,"",Indice_PROBLAM_Estudiante2)</f>
        <v/>
      </c>
      <c r="G46" s="7"/>
      <c r="H46" s="8"/>
      <c r="I46" s="9"/>
      <c r="K46" s="12" t="str" cm="1">
        <f t="array" ref="K46">IF($B46&lt;&gt;"",TRANSPOSE(_xlfn._xlws.FILTER(plan!$C$4:$C$52, ($B46 &gt;= (plan!$J$4:$J$52-Indice_Plan_ExtensionPlazo))*($B46 &lt;= (plan!$K$4:$K$52+Indice_Plan_ExtensionPlazo)), "")), "")</f>
        <v/>
      </c>
      <c r="BH46" s="4"/>
    </row>
    <row r="47" spans="2:60" x14ac:dyDescent="0.3">
      <c r="B47" s="6"/>
      <c r="C47" s="10"/>
      <c r="D47" s="48" t="str">
        <f>IF(Tabla_Registro_Tareas2[[#This Row],[Actividad]]=Indice_Aux_Vacio,"",IFERROR(INDEX(plan!$D$4:$D$52,MATCH(Tabla_Registro_Tareas2[[#This Row],[Actividad]],plan!$C$4:$C$52,0)),""))</f>
        <v/>
      </c>
      <c r="E47" s="48" t="str">
        <f>IFERROR(INDEX(plan!$E$4:$E$52,MATCH(Tabla_Registro_Tareas2[[#This Row],[Actividad]],plan!$C$4:$C$52,0)),"")</f>
        <v/>
      </c>
      <c r="F47" s="49" t="str">
        <f>IF(Tabla_Registro_Tareas2[[#This Row],[Actividad]]=Indice_Aux_Vacio,"",Indice_PROBLAM_Estudiante2)</f>
        <v/>
      </c>
      <c r="G47" s="7"/>
      <c r="H47" s="8"/>
      <c r="I47" s="9"/>
      <c r="K47" s="12" t="str" cm="1">
        <f t="array" ref="K47">IF($B47&lt;&gt;"",TRANSPOSE(_xlfn._xlws.FILTER(plan!$C$4:$C$52, ($B47 &gt;= (plan!$J$4:$J$52-Indice_Plan_ExtensionPlazo))*($B47 &lt;= (plan!$K$4:$K$52+Indice_Plan_ExtensionPlazo)), "")), "")</f>
        <v/>
      </c>
      <c r="BH47" s="4"/>
    </row>
    <row r="48" spans="2:60" x14ac:dyDescent="0.3">
      <c r="B48" s="6"/>
      <c r="C48" s="10"/>
      <c r="D48" s="48" t="str">
        <f>IF(Tabla_Registro_Tareas2[[#This Row],[Actividad]]=Indice_Aux_Vacio,"",IFERROR(INDEX(plan!$D$4:$D$52,MATCH(Tabla_Registro_Tareas2[[#This Row],[Actividad]],plan!$C$4:$C$52,0)),""))</f>
        <v/>
      </c>
      <c r="E48" s="48" t="str">
        <f>IFERROR(INDEX(plan!$E$4:$E$52,MATCH(Tabla_Registro_Tareas2[[#This Row],[Actividad]],plan!$C$4:$C$52,0)),"")</f>
        <v/>
      </c>
      <c r="F48" s="49" t="str">
        <f>IF(Tabla_Registro_Tareas2[[#This Row],[Actividad]]=Indice_Aux_Vacio,"",Indice_PROBLAM_Estudiante2)</f>
        <v/>
      </c>
      <c r="G48" s="7"/>
      <c r="H48" s="8"/>
      <c r="I48" s="9"/>
      <c r="K48" s="12" t="str" cm="1">
        <f t="array" ref="K48">IF($B48&lt;&gt;"",TRANSPOSE(_xlfn._xlws.FILTER(plan!$C$4:$C$52, ($B48 &gt;= (plan!$J$4:$J$52-Indice_Plan_ExtensionPlazo))*($B48 &lt;= (plan!$K$4:$K$52+Indice_Plan_ExtensionPlazo)), "")), "")</f>
        <v/>
      </c>
      <c r="BH48" s="4"/>
    </row>
    <row r="49" spans="2:60" x14ac:dyDescent="0.3">
      <c r="B49" s="6"/>
      <c r="C49" s="10"/>
      <c r="D49" s="48" t="str">
        <f>IF(Tabla_Registro_Tareas2[[#This Row],[Actividad]]=Indice_Aux_Vacio,"",IFERROR(INDEX(plan!$D$4:$D$52,MATCH(Tabla_Registro_Tareas2[[#This Row],[Actividad]],plan!$C$4:$C$52,0)),""))</f>
        <v/>
      </c>
      <c r="E49" s="48" t="str">
        <f>IFERROR(INDEX(plan!$E$4:$E$52,MATCH(Tabla_Registro_Tareas2[[#This Row],[Actividad]],plan!$C$4:$C$52,0)),"")</f>
        <v/>
      </c>
      <c r="F49" s="49" t="str">
        <f>IF(Tabla_Registro_Tareas2[[#This Row],[Actividad]]=Indice_Aux_Vacio,"",Indice_PROBLAM_Estudiante2)</f>
        <v/>
      </c>
      <c r="G49" s="7"/>
      <c r="H49" s="8"/>
      <c r="I49" s="9"/>
      <c r="K49" s="12" t="str" cm="1">
        <f t="array" ref="K49">IF($B49&lt;&gt;"",TRANSPOSE(_xlfn._xlws.FILTER(plan!$C$4:$C$52, ($B49 &gt;= (plan!$J$4:$J$52-Indice_Plan_ExtensionPlazo))*($B49 &lt;= (plan!$K$4:$K$52+Indice_Plan_ExtensionPlazo)), "")), "")</f>
        <v/>
      </c>
      <c r="BH49" s="4"/>
    </row>
    <row r="50" spans="2:60" x14ac:dyDescent="0.3">
      <c r="B50" s="6"/>
      <c r="C50" s="10"/>
      <c r="D50" s="48" t="str">
        <f>IF(Tabla_Registro_Tareas2[[#This Row],[Actividad]]=Indice_Aux_Vacio,"",IFERROR(INDEX(plan!$D$4:$D$52,MATCH(Tabla_Registro_Tareas2[[#This Row],[Actividad]],plan!$C$4:$C$52,0)),""))</f>
        <v/>
      </c>
      <c r="E50" s="48" t="str">
        <f>IFERROR(INDEX(plan!$E$4:$E$52,MATCH(Tabla_Registro_Tareas2[[#This Row],[Actividad]],plan!$C$4:$C$52,0)),"")</f>
        <v/>
      </c>
      <c r="F50" s="49" t="str">
        <f>IF(Tabla_Registro_Tareas2[[#This Row],[Actividad]]=Indice_Aux_Vacio,"",Indice_PROBLAM_Estudiante2)</f>
        <v/>
      </c>
      <c r="G50" s="7"/>
      <c r="H50" s="8"/>
      <c r="I50" s="9"/>
      <c r="K50" s="12" t="str" cm="1">
        <f t="array" ref="K50">IF($B50&lt;&gt;"",TRANSPOSE(_xlfn._xlws.FILTER(plan!$C$4:$C$52, ($B50 &gt;= (plan!$J$4:$J$52-Indice_Plan_ExtensionPlazo))*($B50 &lt;= (plan!$K$4:$K$52+Indice_Plan_ExtensionPlazo)), "")), "")</f>
        <v/>
      </c>
      <c r="BH50" s="4"/>
    </row>
    <row r="51" spans="2:60" x14ac:dyDescent="0.3">
      <c r="B51" s="6"/>
      <c r="C51" s="10"/>
      <c r="D51" s="48" t="str">
        <f>IF(Tabla_Registro_Tareas2[[#This Row],[Actividad]]=Indice_Aux_Vacio,"",IFERROR(INDEX(plan!$D$4:$D$52,MATCH(Tabla_Registro_Tareas2[[#This Row],[Actividad]],plan!$C$4:$C$52,0)),""))</f>
        <v/>
      </c>
      <c r="E51" s="48" t="str">
        <f>IFERROR(INDEX(plan!$E$4:$E$52,MATCH(Tabla_Registro_Tareas2[[#This Row],[Actividad]],plan!$C$4:$C$52,0)),"")</f>
        <v/>
      </c>
      <c r="F51" s="49" t="str">
        <f>IF(Tabla_Registro_Tareas2[[#This Row],[Actividad]]=Indice_Aux_Vacio,"",Indice_PROBLAM_Estudiante2)</f>
        <v/>
      </c>
      <c r="G51" s="7"/>
      <c r="H51" s="8"/>
      <c r="I51" s="9"/>
      <c r="K51" s="12" t="str" cm="1">
        <f t="array" ref="K51">IF($B51&lt;&gt;"",TRANSPOSE(_xlfn._xlws.FILTER(plan!$C$4:$C$52, ($B51 &gt;= (plan!$J$4:$J$52-Indice_Plan_ExtensionPlazo))*($B51 &lt;= (plan!$K$4:$K$52+Indice_Plan_ExtensionPlazo)), "")), "")</f>
        <v/>
      </c>
      <c r="BH51" s="4"/>
    </row>
    <row r="52" spans="2:60" x14ac:dyDescent="0.3">
      <c r="B52" s="6"/>
      <c r="C52" s="10"/>
      <c r="D52" s="48" t="str">
        <f>IF(Tabla_Registro_Tareas2[[#This Row],[Actividad]]=Indice_Aux_Vacio,"",IFERROR(INDEX(plan!$D$4:$D$52,MATCH(Tabla_Registro_Tareas2[[#This Row],[Actividad]],plan!$C$4:$C$52,0)),""))</f>
        <v/>
      </c>
      <c r="E52" s="48" t="str">
        <f>IFERROR(INDEX(plan!$E$4:$E$52,MATCH(Tabla_Registro_Tareas2[[#This Row],[Actividad]],plan!$C$4:$C$52,0)),"")</f>
        <v/>
      </c>
      <c r="F52" s="49" t="str">
        <f>IF(Tabla_Registro_Tareas2[[#This Row],[Actividad]]=Indice_Aux_Vacio,"",Indice_PROBLAM_Estudiante2)</f>
        <v/>
      </c>
      <c r="G52" s="7"/>
      <c r="H52" s="8"/>
      <c r="I52" s="9"/>
      <c r="K52" s="12" t="str" cm="1">
        <f t="array" ref="K52">IF($B52&lt;&gt;"",TRANSPOSE(_xlfn._xlws.FILTER(plan!$C$4:$C$52, ($B52 &gt;= (plan!$J$4:$J$52-Indice_Plan_ExtensionPlazo))*($B52 &lt;= (plan!$K$4:$K$52+Indice_Plan_ExtensionPlazo)), "")), "")</f>
        <v/>
      </c>
      <c r="BH52" s="4"/>
    </row>
    <row r="53" spans="2:60" x14ac:dyDescent="0.3">
      <c r="B53" s="6"/>
      <c r="C53" s="10"/>
      <c r="D53" s="48" t="str">
        <f>IF(Tabla_Registro_Tareas2[[#This Row],[Actividad]]=Indice_Aux_Vacio,"",IFERROR(INDEX(plan!$D$4:$D$52,MATCH(Tabla_Registro_Tareas2[[#This Row],[Actividad]],plan!$C$4:$C$52,0)),""))</f>
        <v/>
      </c>
      <c r="E53" s="48" t="str">
        <f>IFERROR(INDEX(plan!$E$4:$E$52,MATCH(Tabla_Registro_Tareas2[[#This Row],[Actividad]],plan!$C$4:$C$52,0)),"")</f>
        <v/>
      </c>
      <c r="F53" s="49" t="str">
        <f>IF(Tabla_Registro_Tareas2[[#This Row],[Actividad]]=Indice_Aux_Vacio,"",Indice_PROBLAM_Estudiante2)</f>
        <v/>
      </c>
      <c r="G53" s="7"/>
      <c r="H53" s="8"/>
      <c r="I53" s="9"/>
      <c r="K53" s="12" t="str" cm="1">
        <f t="array" ref="K53">IF($B53&lt;&gt;"",TRANSPOSE(_xlfn._xlws.FILTER(plan!$C$4:$C$52, ($B53 &gt;= (plan!$J$4:$J$52-Indice_Plan_ExtensionPlazo))*($B53 &lt;= (plan!$K$4:$K$52+Indice_Plan_ExtensionPlazo)), "")), "")</f>
        <v/>
      </c>
      <c r="BH53" s="4"/>
    </row>
    <row r="54" spans="2:60" x14ac:dyDescent="0.3">
      <c r="B54" s="6"/>
      <c r="C54" s="10"/>
      <c r="D54" s="48" t="str">
        <f>IF(Tabla_Registro_Tareas2[[#This Row],[Actividad]]=Indice_Aux_Vacio,"",IFERROR(INDEX(plan!$D$4:$D$52,MATCH(Tabla_Registro_Tareas2[[#This Row],[Actividad]],plan!$C$4:$C$52,0)),""))</f>
        <v/>
      </c>
      <c r="E54" s="48" t="str">
        <f>IFERROR(INDEX(plan!$E$4:$E$52,MATCH(Tabla_Registro_Tareas2[[#This Row],[Actividad]],plan!$C$4:$C$52,0)),"")</f>
        <v/>
      </c>
      <c r="F54" s="49" t="str">
        <f>IF(Tabla_Registro_Tareas2[[#This Row],[Actividad]]=Indice_Aux_Vacio,"",Indice_PROBLAM_Estudiante2)</f>
        <v/>
      </c>
      <c r="G54" s="7"/>
      <c r="H54" s="8"/>
      <c r="I54" s="9"/>
      <c r="K54" s="12" t="str" cm="1">
        <f t="array" ref="K54">IF($B54&lt;&gt;"",TRANSPOSE(_xlfn._xlws.FILTER(plan!$C$4:$C$52, ($B54 &gt;= (plan!$J$4:$J$52-Indice_Plan_ExtensionPlazo))*($B54 &lt;= (plan!$K$4:$K$52+Indice_Plan_ExtensionPlazo)), "")), "")</f>
        <v/>
      </c>
      <c r="BH54" s="4"/>
    </row>
    <row r="55" spans="2:60" x14ac:dyDescent="0.3">
      <c r="B55" s="6"/>
      <c r="C55" s="10"/>
      <c r="D55" s="48" t="str">
        <f>IF(Tabla_Registro_Tareas2[[#This Row],[Actividad]]=Indice_Aux_Vacio,"",IFERROR(INDEX(plan!$D$4:$D$52,MATCH(Tabla_Registro_Tareas2[[#This Row],[Actividad]],plan!$C$4:$C$52,0)),""))</f>
        <v/>
      </c>
      <c r="E55" s="48" t="str">
        <f>IFERROR(INDEX(plan!$E$4:$E$52,MATCH(Tabla_Registro_Tareas2[[#This Row],[Actividad]],plan!$C$4:$C$52,0)),"")</f>
        <v/>
      </c>
      <c r="F55" s="49" t="str">
        <f>IF(Tabla_Registro_Tareas2[[#This Row],[Actividad]]=Indice_Aux_Vacio,"",Indice_PROBLAM_Estudiante2)</f>
        <v/>
      </c>
      <c r="G55" s="7"/>
      <c r="H55" s="8"/>
      <c r="I55" s="9"/>
      <c r="K55" s="12" t="str" cm="1">
        <f t="array" ref="K55">IF($B55&lt;&gt;"",TRANSPOSE(_xlfn._xlws.FILTER(plan!$C$4:$C$52, ($B55 &gt;= (plan!$J$4:$J$52-Indice_Plan_ExtensionPlazo))*($B55 &lt;= (plan!$K$4:$K$52+Indice_Plan_ExtensionPlazo)), "")), "")</f>
        <v/>
      </c>
      <c r="BH55" s="4"/>
    </row>
    <row r="56" spans="2:60" x14ac:dyDescent="0.3">
      <c r="B56" s="6"/>
      <c r="C56" s="10"/>
      <c r="D56" s="48" t="str">
        <f>IF(Tabla_Registro_Tareas2[[#This Row],[Actividad]]=Indice_Aux_Vacio,"",IFERROR(INDEX(plan!$D$4:$D$52,MATCH(Tabla_Registro_Tareas2[[#This Row],[Actividad]],plan!$C$4:$C$52,0)),""))</f>
        <v/>
      </c>
      <c r="E56" s="48" t="str">
        <f>IFERROR(INDEX(plan!$E$4:$E$52,MATCH(Tabla_Registro_Tareas2[[#This Row],[Actividad]],plan!$C$4:$C$52,0)),"")</f>
        <v/>
      </c>
      <c r="F56" s="49" t="str">
        <f>IF(Tabla_Registro_Tareas2[[#This Row],[Actividad]]=Indice_Aux_Vacio,"",Indice_PROBLAM_Estudiante2)</f>
        <v/>
      </c>
      <c r="G56" s="7"/>
      <c r="H56" s="8"/>
      <c r="I56" s="9"/>
      <c r="K56" s="12" t="str" cm="1">
        <f t="array" ref="K56">IF($B56&lt;&gt;"",TRANSPOSE(_xlfn._xlws.FILTER(plan!$C$4:$C$52, ($B56 &gt;= (plan!$J$4:$J$52-Indice_Plan_ExtensionPlazo))*($B56 &lt;= (plan!$K$4:$K$52+Indice_Plan_ExtensionPlazo)), "")), "")</f>
        <v/>
      </c>
      <c r="BH56" s="4"/>
    </row>
    <row r="57" spans="2:60" x14ac:dyDescent="0.3">
      <c r="B57" s="6"/>
      <c r="C57" s="10"/>
      <c r="D57" s="48" t="str">
        <f>IF(Tabla_Registro_Tareas2[[#This Row],[Actividad]]=Indice_Aux_Vacio,"",IFERROR(INDEX(plan!$D$4:$D$52,MATCH(Tabla_Registro_Tareas2[[#This Row],[Actividad]],plan!$C$4:$C$52,0)),""))</f>
        <v/>
      </c>
      <c r="E57" s="48" t="str">
        <f>IFERROR(INDEX(plan!$E$4:$E$52,MATCH(Tabla_Registro_Tareas2[[#This Row],[Actividad]],plan!$C$4:$C$52,0)),"")</f>
        <v/>
      </c>
      <c r="F57" s="49" t="str">
        <f>IF(Tabla_Registro_Tareas2[[#This Row],[Actividad]]=Indice_Aux_Vacio,"",Indice_PROBLAM_Estudiante2)</f>
        <v/>
      </c>
      <c r="G57" s="7"/>
      <c r="H57" s="8"/>
      <c r="I57" s="9"/>
      <c r="K57" s="12" t="str" cm="1">
        <f t="array" ref="K57">IF($B57&lt;&gt;"",TRANSPOSE(_xlfn._xlws.FILTER(plan!$C$4:$C$52, ($B57 &gt;= (plan!$J$4:$J$52-Indice_Plan_ExtensionPlazo))*($B57 &lt;= (plan!$K$4:$K$52+Indice_Plan_ExtensionPlazo)), "")), "")</f>
        <v/>
      </c>
      <c r="BH57" s="4"/>
    </row>
    <row r="58" spans="2:60" x14ac:dyDescent="0.3">
      <c r="B58" s="6"/>
      <c r="C58" s="10"/>
      <c r="D58" s="48" t="str">
        <f>IF(Tabla_Registro_Tareas2[[#This Row],[Actividad]]=Indice_Aux_Vacio,"",IFERROR(INDEX(plan!$D$4:$D$52,MATCH(Tabla_Registro_Tareas2[[#This Row],[Actividad]],plan!$C$4:$C$52,0)),""))</f>
        <v/>
      </c>
      <c r="E58" s="48" t="str">
        <f>IFERROR(INDEX(plan!$E$4:$E$52,MATCH(Tabla_Registro_Tareas2[[#This Row],[Actividad]],plan!$C$4:$C$52,0)),"")</f>
        <v/>
      </c>
      <c r="F58" s="49" t="str">
        <f>IF(Tabla_Registro_Tareas2[[#This Row],[Actividad]]=Indice_Aux_Vacio,"",Indice_PROBLAM_Estudiante2)</f>
        <v/>
      </c>
      <c r="G58" s="7"/>
      <c r="H58" s="8"/>
      <c r="I58" s="9"/>
      <c r="K58" s="12" t="str" cm="1">
        <f t="array" ref="K58">IF($B58&lt;&gt;"",TRANSPOSE(_xlfn._xlws.FILTER(plan!$C$4:$C$52, ($B58 &gt;= (plan!$J$4:$J$52-Indice_Plan_ExtensionPlazo))*($B58 &lt;= (plan!$K$4:$K$52+Indice_Plan_ExtensionPlazo)), "")), "")</f>
        <v/>
      </c>
      <c r="BH58" s="4"/>
    </row>
    <row r="59" spans="2:60" x14ac:dyDescent="0.3">
      <c r="B59" s="6"/>
      <c r="C59" s="10"/>
      <c r="D59" s="48" t="str">
        <f>IF(Tabla_Registro_Tareas2[[#This Row],[Actividad]]=Indice_Aux_Vacio,"",IFERROR(INDEX(plan!$D$4:$D$52,MATCH(Tabla_Registro_Tareas2[[#This Row],[Actividad]],plan!$C$4:$C$52,0)),""))</f>
        <v/>
      </c>
      <c r="E59" s="48" t="str">
        <f>IFERROR(INDEX(plan!$E$4:$E$52,MATCH(Tabla_Registro_Tareas2[[#This Row],[Actividad]],plan!$C$4:$C$52,0)),"")</f>
        <v/>
      </c>
      <c r="F59" s="49" t="str">
        <f>IF(Tabla_Registro_Tareas2[[#This Row],[Actividad]]=Indice_Aux_Vacio,"",Indice_PROBLAM_Estudiante2)</f>
        <v/>
      </c>
      <c r="G59" s="7"/>
      <c r="H59" s="8"/>
      <c r="I59" s="9"/>
      <c r="K59" s="12" t="str" cm="1">
        <f t="array" ref="K59">IF($B59&lt;&gt;"",TRANSPOSE(_xlfn._xlws.FILTER(plan!$C$4:$C$52, ($B59 &gt;= (plan!$J$4:$J$52-Indice_Plan_ExtensionPlazo))*($B59 &lt;= (plan!$K$4:$K$52+Indice_Plan_ExtensionPlazo)), "")), "")</f>
        <v/>
      </c>
      <c r="BH59" s="4"/>
    </row>
    <row r="60" spans="2:60" x14ac:dyDescent="0.3">
      <c r="B60" s="6"/>
      <c r="C60" s="10"/>
      <c r="D60" s="48" t="str">
        <f>IF(Tabla_Registro_Tareas2[[#This Row],[Actividad]]=Indice_Aux_Vacio,"",IFERROR(INDEX(plan!$D$4:$D$52,MATCH(Tabla_Registro_Tareas2[[#This Row],[Actividad]],plan!$C$4:$C$52,0)),""))</f>
        <v/>
      </c>
      <c r="E60" s="48" t="str">
        <f>IFERROR(INDEX(plan!$E$4:$E$52,MATCH(Tabla_Registro_Tareas2[[#This Row],[Actividad]],plan!$C$4:$C$52,0)),"")</f>
        <v/>
      </c>
      <c r="F60" s="49" t="str">
        <f>IF(Tabla_Registro_Tareas2[[#This Row],[Actividad]]=Indice_Aux_Vacio,"",Indice_PROBLAM_Estudiante2)</f>
        <v/>
      </c>
      <c r="G60" s="7"/>
      <c r="H60" s="8"/>
      <c r="I60" s="9"/>
      <c r="K60" s="12" t="str" cm="1">
        <f t="array" ref="K60">IF($B60&lt;&gt;"",TRANSPOSE(_xlfn._xlws.FILTER(plan!$C$4:$C$52, ($B60 &gt;= (plan!$J$4:$J$52-Indice_Plan_ExtensionPlazo))*($B60 &lt;= (plan!$K$4:$K$52+Indice_Plan_ExtensionPlazo)), "")), "")</f>
        <v/>
      </c>
      <c r="BH60" s="4"/>
    </row>
    <row r="61" spans="2:60" x14ac:dyDescent="0.3">
      <c r="B61" s="6"/>
      <c r="C61" s="10"/>
      <c r="D61" s="48" t="str">
        <f>IF(Tabla_Registro_Tareas2[[#This Row],[Actividad]]=Indice_Aux_Vacio,"",IFERROR(INDEX(plan!$D$4:$D$52,MATCH(Tabla_Registro_Tareas2[[#This Row],[Actividad]],plan!$C$4:$C$52,0)),""))</f>
        <v/>
      </c>
      <c r="E61" s="48" t="str">
        <f>IFERROR(INDEX(plan!$E$4:$E$52,MATCH(Tabla_Registro_Tareas2[[#This Row],[Actividad]],plan!$C$4:$C$52,0)),"")</f>
        <v/>
      </c>
      <c r="F61" s="49" t="str">
        <f>IF(Tabla_Registro_Tareas2[[#This Row],[Actividad]]=Indice_Aux_Vacio,"",Indice_PROBLAM_Estudiante2)</f>
        <v/>
      </c>
      <c r="G61" s="7"/>
      <c r="H61" s="8"/>
      <c r="I61" s="9"/>
      <c r="K61" s="12" t="str" cm="1">
        <f t="array" ref="K61">IF($B61&lt;&gt;"",TRANSPOSE(_xlfn._xlws.FILTER(plan!$C$4:$C$52, ($B61 &gt;= (plan!$J$4:$J$52-Indice_Plan_ExtensionPlazo))*($B61 &lt;= (plan!$K$4:$K$52+Indice_Plan_ExtensionPlazo)), "")), "")</f>
        <v/>
      </c>
      <c r="BH61" s="4"/>
    </row>
    <row r="62" spans="2:60" x14ac:dyDescent="0.3">
      <c r="B62" s="6"/>
      <c r="C62" s="10"/>
      <c r="D62" s="48" t="str">
        <f>IF(Tabla_Registro_Tareas2[[#This Row],[Actividad]]=Indice_Aux_Vacio,"",IFERROR(INDEX(plan!$D$4:$D$52,MATCH(Tabla_Registro_Tareas2[[#This Row],[Actividad]],plan!$C$4:$C$52,0)),""))</f>
        <v/>
      </c>
      <c r="E62" s="48" t="str">
        <f>IFERROR(INDEX(plan!$E$4:$E$52,MATCH(Tabla_Registro_Tareas2[[#This Row],[Actividad]],plan!$C$4:$C$52,0)),"")</f>
        <v/>
      </c>
      <c r="F62" s="49" t="str">
        <f>IF(Tabla_Registro_Tareas2[[#This Row],[Actividad]]=Indice_Aux_Vacio,"",Indice_PROBLAM_Estudiante2)</f>
        <v/>
      </c>
      <c r="G62" s="7"/>
      <c r="H62" s="8"/>
      <c r="I62" s="9"/>
      <c r="K62" s="12" t="str" cm="1">
        <f t="array" ref="K62">IF($B62&lt;&gt;"",TRANSPOSE(_xlfn._xlws.FILTER(plan!$C$4:$C$52, ($B62 &gt;= (plan!$J$4:$J$52-Indice_Plan_ExtensionPlazo))*($B62 &lt;= (plan!$K$4:$K$52+Indice_Plan_ExtensionPlazo)), "")), "")</f>
        <v/>
      </c>
      <c r="BH62" s="4"/>
    </row>
    <row r="63" spans="2:60" x14ac:dyDescent="0.3">
      <c r="B63" s="6"/>
      <c r="C63" s="10"/>
      <c r="D63" s="48" t="str">
        <f>IF(Tabla_Registro_Tareas2[[#This Row],[Actividad]]=Indice_Aux_Vacio,"",IFERROR(INDEX(plan!$D$4:$D$52,MATCH(Tabla_Registro_Tareas2[[#This Row],[Actividad]],plan!$C$4:$C$52,0)),""))</f>
        <v/>
      </c>
      <c r="E63" s="48" t="str">
        <f>IFERROR(INDEX(plan!$E$4:$E$52,MATCH(Tabla_Registro_Tareas2[[#This Row],[Actividad]],plan!$C$4:$C$52,0)),"")</f>
        <v/>
      </c>
      <c r="F63" s="49" t="str">
        <f>IF(Tabla_Registro_Tareas2[[#This Row],[Actividad]]=Indice_Aux_Vacio,"",Indice_PROBLAM_Estudiante2)</f>
        <v/>
      </c>
      <c r="G63" s="7"/>
      <c r="H63" s="8"/>
      <c r="I63" s="9"/>
      <c r="K63" s="12" t="str" cm="1">
        <f t="array" ref="K63">IF($B63&lt;&gt;"",TRANSPOSE(_xlfn._xlws.FILTER(plan!$C$4:$C$52, ($B63 &gt;= (plan!$J$4:$J$52-Indice_Plan_ExtensionPlazo))*($B63 &lt;= (plan!$K$4:$K$52+Indice_Plan_ExtensionPlazo)), "")), "")</f>
        <v/>
      </c>
      <c r="BH63" s="4"/>
    </row>
    <row r="64" spans="2:60" x14ac:dyDescent="0.3">
      <c r="B64" s="6"/>
      <c r="C64" s="10"/>
      <c r="D64" s="48" t="str">
        <f>IF(Tabla_Registro_Tareas2[[#This Row],[Actividad]]=Indice_Aux_Vacio,"",IFERROR(INDEX(plan!$D$4:$D$52,MATCH(Tabla_Registro_Tareas2[[#This Row],[Actividad]],plan!$C$4:$C$52,0)),""))</f>
        <v/>
      </c>
      <c r="E64" s="48" t="str">
        <f>IFERROR(INDEX(plan!$E$4:$E$52,MATCH(Tabla_Registro_Tareas2[[#This Row],[Actividad]],plan!$C$4:$C$52,0)),"")</f>
        <v/>
      </c>
      <c r="F64" s="49" t="str">
        <f>IF(Tabla_Registro_Tareas2[[#This Row],[Actividad]]=Indice_Aux_Vacio,"",Indice_PROBLAM_Estudiante2)</f>
        <v/>
      </c>
      <c r="G64" s="7"/>
      <c r="H64" s="8"/>
      <c r="I64" s="9"/>
      <c r="K64" s="12" t="str" cm="1">
        <f t="array" ref="K64">IF($B64&lt;&gt;"",TRANSPOSE(_xlfn._xlws.FILTER(plan!$C$4:$C$52, ($B64 &gt;= (plan!$J$4:$J$52-Indice_Plan_ExtensionPlazo))*($B64 &lt;= (plan!$K$4:$K$52+Indice_Plan_ExtensionPlazo)), "")), "")</f>
        <v/>
      </c>
      <c r="BH64" s="4"/>
    </row>
    <row r="65" spans="2:60" x14ac:dyDescent="0.3">
      <c r="B65" s="6"/>
      <c r="C65" s="10"/>
      <c r="D65" s="48" t="str">
        <f>IF(Tabla_Registro_Tareas2[[#This Row],[Actividad]]=Indice_Aux_Vacio,"",IFERROR(INDEX(plan!$D$4:$D$52,MATCH(Tabla_Registro_Tareas2[[#This Row],[Actividad]],plan!$C$4:$C$52,0)),""))</f>
        <v/>
      </c>
      <c r="E65" s="48" t="str">
        <f>IFERROR(INDEX(plan!$E$4:$E$52,MATCH(Tabla_Registro_Tareas2[[#This Row],[Actividad]],plan!$C$4:$C$52,0)),"")</f>
        <v/>
      </c>
      <c r="F65" s="49" t="str">
        <f>IF(Tabla_Registro_Tareas2[[#This Row],[Actividad]]=Indice_Aux_Vacio,"",Indice_PROBLAM_Estudiante2)</f>
        <v/>
      </c>
      <c r="G65" s="7"/>
      <c r="H65" s="8"/>
      <c r="I65" s="9"/>
      <c r="K65" s="12" t="str" cm="1">
        <f t="array" ref="K65">IF($B65&lt;&gt;"",TRANSPOSE(_xlfn._xlws.FILTER(plan!$C$4:$C$52, ($B65 &gt;= (plan!$J$4:$J$52-Indice_Plan_ExtensionPlazo))*($B65 &lt;= (plan!$K$4:$K$52+Indice_Plan_ExtensionPlazo)), "")), "")</f>
        <v/>
      </c>
      <c r="BH65" s="4"/>
    </row>
    <row r="66" spans="2:60" x14ac:dyDescent="0.3">
      <c r="B66" s="6"/>
      <c r="C66" s="10"/>
      <c r="D66" s="48" t="str">
        <f>IF(Tabla_Registro_Tareas2[[#This Row],[Actividad]]=Indice_Aux_Vacio,"",IFERROR(INDEX(plan!$D$4:$D$52,MATCH(Tabla_Registro_Tareas2[[#This Row],[Actividad]],plan!$C$4:$C$52,0)),""))</f>
        <v/>
      </c>
      <c r="E66" s="48" t="str">
        <f>IFERROR(INDEX(plan!$E$4:$E$52,MATCH(Tabla_Registro_Tareas2[[#This Row],[Actividad]],plan!$C$4:$C$52,0)),"")</f>
        <v/>
      </c>
      <c r="F66" s="49" t="str">
        <f>IF(Tabla_Registro_Tareas2[[#This Row],[Actividad]]=Indice_Aux_Vacio,"",Indice_PROBLAM_Estudiante2)</f>
        <v/>
      </c>
      <c r="G66" s="7"/>
      <c r="H66" s="8"/>
      <c r="I66" s="9"/>
      <c r="K66" s="12" t="str" cm="1">
        <f t="array" ref="K66">IF($B66&lt;&gt;"",TRANSPOSE(_xlfn._xlws.FILTER(plan!$C$4:$C$52, ($B66 &gt;= (plan!$J$4:$J$52-Indice_Plan_ExtensionPlazo))*($B66 &lt;= (plan!$K$4:$K$52+Indice_Plan_ExtensionPlazo)), "")), "")</f>
        <v/>
      </c>
      <c r="BH66" s="4"/>
    </row>
    <row r="67" spans="2:60" x14ac:dyDescent="0.3">
      <c r="B67" s="6"/>
      <c r="C67" s="10"/>
      <c r="D67" s="48" t="str">
        <f>IF(Tabla_Registro_Tareas2[[#This Row],[Actividad]]=Indice_Aux_Vacio,"",IFERROR(INDEX(plan!$D$4:$D$52,MATCH(Tabla_Registro_Tareas2[[#This Row],[Actividad]],plan!$C$4:$C$52,0)),""))</f>
        <v/>
      </c>
      <c r="E67" s="48" t="str">
        <f>IFERROR(INDEX(plan!$E$4:$E$52,MATCH(Tabla_Registro_Tareas2[[#This Row],[Actividad]],plan!$C$4:$C$52,0)),"")</f>
        <v/>
      </c>
      <c r="F67" s="49" t="str">
        <f>IF(Tabla_Registro_Tareas2[[#This Row],[Actividad]]=Indice_Aux_Vacio,"",Indice_PROBLAM_Estudiante2)</f>
        <v/>
      </c>
      <c r="G67" s="7"/>
      <c r="H67" s="8"/>
      <c r="I67" s="9"/>
      <c r="K67" s="12" t="str" cm="1">
        <f t="array" ref="K67">IF($B67&lt;&gt;"",TRANSPOSE(_xlfn._xlws.FILTER(plan!$C$4:$C$52, ($B67 &gt;= (plan!$J$4:$J$52-Indice_Plan_ExtensionPlazo))*($B67 &lt;= (plan!$K$4:$K$52+Indice_Plan_ExtensionPlazo)), "")), "")</f>
        <v/>
      </c>
      <c r="BH67" s="4"/>
    </row>
    <row r="68" spans="2:60" x14ac:dyDescent="0.3">
      <c r="B68" s="6"/>
      <c r="C68" s="10"/>
      <c r="D68" s="48" t="str">
        <f>IF(Tabla_Registro_Tareas2[[#This Row],[Actividad]]=Indice_Aux_Vacio,"",IFERROR(INDEX(plan!$D$4:$D$52,MATCH(Tabla_Registro_Tareas2[[#This Row],[Actividad]],plan!$C$4:$C$52,0)),""))</f>
        <v/>
      </c>
      <c r="E68" s="48" t="str">
        <f>IFERROR(INDEX(plan!$E$4:$E$52,MATCH(Tabla_Registro_Tareas2[[#This Row],[Actividad]],plan!$C$4:$C$52,0)),"")</f>
        <v/>
      </c>
      <c r="F68" s="49" t="str">
        <f>IF(Tabla_Registro_Tareas2[[#This Row],[Actividad]]=Indice_Aux_Vacio,"",Indice_PROBLAM_Estudiante2)</f>
        <v/>
      </c>
      <c r="G68" s="7"/>
      <c r="H68" s="8"/>
      <c r="I68" s="9"/>
      <c r="K68" s="12" t="str" cm="1">
        <f t="array" ref="K68">IF($B68&lt;&gt;"",TRANSPOSE(_xlfn._xlws.FILTER(plan!$C$4:$C$52, ($B68 &gt;= (plan!$J$4:$J$52-Indice_Plan_ExtensionPlazo))*($B68 &lt;= (plan!$K$4:$K$52+Indice_Plan_ExtensionPlazo)), "")), "")</f>
        <v/>
      </c>
      <c r="BH68" s="4"/>
    </row>
    <row r="69" spans="2:60" x14ac:dyDescent="0.3">
      <c r="B69" s="6"/>
      <c r="C69" s="10"/>
      <c r="D69" s="48" t="str">
        <f>IF(Tabla_Registro_Tareas2[[#This Row],[Actividad]]=Indice_Aux_Vacio,"",IFERROR(INDEX(plan!$D$4:$D$52,MATCH(Tabla_Registro_Tareas2[[#This Row],[Actividad]],plan!$C$4:$C$52,0)),""))</f>
        <v/>
      </c>
      <c r="E69" s="48" t="str">
        <f>IFERROR(INDEX(plan!$E$4:$E$52,MATCH(Tabla_Registro_Tareas2[[#This Row],[Actividad]],plan!$C$4:$C$52,0)),"")</f>
        <v/>
      </c>
      <c r="F69" s="49" t="str">
        <f>IF(Tabla_Registro_Tareas2[[#This Row],[Actividad]]=Indice_Aux_Vacio,"",Indice_PROBLAM_Estudiante2)</f>
        <v/>
      </c>
      <c r="G69" s="7"/>
      <c r="H69" s="8"/>
      <c r="I69" s="9"/>
      <c r="K69" s="12" t="str" cm="1">
        <f t="array" ref="K69">IF($B69&lt;&gt;"",TRANSPOSE(_xlfn._xlws.FILTER(plan!$C$4:$C$52, ($B69 &gt;= (plan!$J$4:$J$52-Indice_Plan_ExtensionPlazo))*($B69 &lt;= (plan!$K$4:$K$52+Indice_Plan_ExtensionPlazo)), "")), "")</f>
        <v/>
      </c>
      <c r="BH69" s="4"/>
    </row>
    <row r="70" spans="2:60" x14ac:dyDescent="0.3">
      <c r="B70" s="6"/>
      <c r="C70" s="10"/>
      <c r="D70" s="48" t="str">
        <f>IF(Tabla_Registro_Tareas2[[#This Row],[Actividad]]=Indice_Aux_Vacio,"",IFERROR(INDEX(plan!$D$4:$D$52,MATCH(Tabla_Registro_Tareas2[[#This Row],[Actividad]],plan!$C$4:$C$52,0)),""))</f>
        <v/>
      </c>
      <c r="E70" s="48" t="str">
        <f>IFERROR(INDEX(plan!$E$4:$E$52,MATCH(Tabla_Registro_Tareas2[[#This Row],[Actividad]],plan!$C$4:$C$52,0)),"")</f>
        <v/>
      </c>
      <c r="F70" s="49" t="str">
        <f>IF(Tabla_Registro_Tareas2[[#This Row],[Actividad]]=Indice_Aux_Vacio,"",Indice_PROBLAM_Estudiante2)</f>
        <v/>
      </c>
      <c r="G70" s="7"/>
      <c r="H70" s="8"/>
      <c r="I70" s="9"/>
      <c r="K70" s="12" t="str" cm="1">
        <f t="array" ref="K70">IF($B70&lt;&gt;"",TRANSPOSE(_xlfn._xlws.FILTER(plan!$C$4:$C$52, ($B70 &gt;= (plan!$J$4:$J$52-Indice_Plan_ExtensionPlazo))*($B70 &lt;= (plan!$K$4:$K$52+Indice_Plan_ExtensionPlazo)), "")), "")</f>
        <v/>
      </c>
      <c r="BH70" s="4"/>
    </row>
    <row r="71" spans="2:60" x14ac:dyDescent="0.3">
      <c r="B71" s="6"/>
      <c r="C71" s="10"/>
      <c r="D71" s="48" t="str">
        <f>IF(Tabla_Registro_Tareas2[[#This Row],[Actividad]]=Indice_Aux_Vacio,"",IFERROR(INDEX(plan!$D$4:$D$52,MATCH(Tabla_Registro_Tareas2[[#This Row],[Actividad]],plan!$C$4:$C$52,0)),""))</f>
        <v/>
      </c>
      <c r="E71" s="48" t="str">
        <f>IFERROR(INDEX(plan!$E$4:$E$52,MATCH(Tabla_Registro_Tareas2[[#This Row],[Actividad]],plan!$C$4:$C$52,0)),"")</f>
        <v/>
      </c>
      <c r="F71" s="49" t="str">
        <f>IF(Tabla_Registro_Tareas2[[#This Row],[Actividad]]=Indice_Aux_Vacio,"",Indice_PROBLAM_Estudiante2)</f>
        <v/>
      </c>
      <c r="G71" s="7"/>
      <c r="H71" s="8"/>
      <c r="I71" s="9"/>
      <c r="K71" s="12" t="str" cm="1">
        <f t="array" ref="K71">IF($B71&lt;&gt;"",TRANSPOSE(_xlfn._xlws.FILTER(plan!$C$4:$C$52, ($B71 &gt;= (plan!$J$4:$J$52-Indice_Plan_ExtensionPlazo))*($B71 &lt;= (plan!$K$4:$K$52+Indice_Plan_ExtensionPlazo)), "")), "")</f>
        <v/>
      </c>
      <c r="BH71" s="4"/>
    </row>
    <row r="72" spans="2:60" x14ac:dyDescent="0.3">
      <c r="B72" s="6"/>
      <c r="C72" s="10"/>
      <c r="D72" s="48" t="str">
        <f>IF(Tabla_Registro_Tareas2[[#This Row],[Actividad]]=Indice_Aux_Vacio,"",IFERROR(INDEX(plan!$D$4:$D$52,MATCH(Tabla_Registro_Tareas2[[#This Row],[Actividad]],plan!$C$4:$C$52,0)),""))</f>
        <v/>
      </c>
      <c r="E72" s="48" t="str">
        <f>IFERROR(INDEX(plan!$E$4:$E$52,MATCH(Tabla_Registro_Tareas2[[#This Row],[Actividad]],plan!$C$4:$C$52,0)),"")</f>
        <v/>
      </c>
      <c r="F72" s="49" t="str">
        <f>IF(Tabla_Registro_Tareas2[[#This Row],[Actividad]]=Indice_Aux_Vacio,"",Indice_PROBLAM_Estudiante2)</f>
        <v/>
      </c>
      <c r="G72" s="7"/>
      <c r="H72" s="8"/>
      <c r="I72" s="9"/>
      <c r="K72" s="12" t="str" cm="1">
        <f t="array" ref="K72">IF($B72&lt;&gt;"",TRANSPOSE(_xlfn._xlws.FILTER(plan!$C$4:$C$52, ($B72 &gt;= (plan!$J$4:$J$52-Indice_Plan_ExtensionPlazo))*($B72 &lt;= (plan!$K$4:$K$52+Indice_Plan_ExtensionPlazo)), "")), "")</f>
        <v/>
      </c>
      <c r="BH72" s="4"/>
    </row>
    <row r="73" spans="2:60" x14ac:dyDescent="0.3">
      <c r="B73" s="6"/>
      <c r="C73" s="10"/>
      <c r="D73" s="48" t="str">
        <f>IF(Tabla_Registro_Tareas2[[#This Row],[Actividad]]=Indice_Aux_Vacio,"",IFERROR(INDEX(plan!$D$4:$D$52,MATCH(Tabla_Registro_Tareas2[[#This Row],[Actividad]],plan!$C$4:$C$52,0)),""))</f>
        <v/>
      </c>
      <c r="E73" s="48" t="str">
        <f>IFERROR(INDEX(plan!$E$4:$E$52,MATCH(Tabla_Registro_Tareas2[[#This Row],[Actividad]],plan!$C$4:$C$52,0)),"")</f>
        <v/>
      </c>
      <c r="F73" s="49" t="str">
        <f>IF(Tabla_Registro_Tareas2[[#This Row],[Actividad]]=Indice_Aux_Vacio,"",Indice_PROBLAM_Estudiante2)</f>
        <v/>
      </c>
      <c r="G73" s="7"/>
      <c r="H73" s="8"/>
      <c r="I73" s="9"/>
      <c r="K73" s="12" t="str" cm="1">
        <f t="array" ref="K73">IF($B73&lt;&gt;"",TRANSPOSE(_xlfn._xlws.FILTER(plan!$C$4:$C$52, ($B73 &gt;= (plan!$J$4:$J$52-Indice_Plan_ExtensionPlazo))*($B73 &lt;= (plan!$K$4:$K$52+Indice_Plan_ExtensionPlazo)), "")), "")</f>
        <v/>
      </c>
      <c r="BH73" s="4"/>
    </row>
    <row r="74" spans="2:60" x14ac:dyDescent="0.3">
      <c r="B74" s="6"/>
      <c r="C74" s="10"/>
      <c r="D74" s="48" t="str">
        <f>IF(Tabla_Registro_Tareas2[[#This Row],[Actividad]]=Indice_Aux_Vacio,"",IFERROR(INDEX(plan!$D$4:$D$52,MATCH(Tabla_Registro_Tareas2[[#This Row],[Actividad]],plan!$C$4:$C$52,0)),""))</f>
        <v/>
      </c>
      <c r="E74" s="48" t="str">
        <f>IFERROR(INDEX(plan!$E$4:$E$52,MATCH(Tabla_Registro_Tareas2[[#This Row],[Actividad]],plan!$C$4:$C$52,0)),"")</f>
        <v/>
      </c>
      <c r="F74" s="49" t="str">
        <f>IF(Tabla_Registro_Tareas2[[#This Row],[Actividad]]=Indice_Aux_Vacio,"",Indice_PROBLAM_Estudiante2)</f>
        <v/>
      </c>
      <c r="G74" s="7"/>
      <c r="H74" s="8"/>
      <c r="I74" s="9"/>
      <c r="K74" s="12" t="str" cm="1">
        <f t="array" ref="K74">IF($B74&lt;&gt;"",TRANSPOSE(_xlfn._xlws.FILTER(plan!$C$4:$C$52, ($B74 &gt;= (plan!$J$4:$J$52-Indice_Plan_ExtensionPlazo))*($B74 &lt;= (plan!$K$4:$K$52+Indice_Plan_ExtensionPlazo)), "")), "")</f>
        <v/>
      </c>
      <c r="BH74" s="4"/>
    </row>
    <row r="75" spans="2:60" x14ac:dyDescent="0.3">
      <c r="B75" s="6"/>
      <c r="C75" s="10"/>
      <c r="D75" s="48" t="str">
        <f>IF(Tabla_Registro_Tareas2[[#This Row],[Actividad]]=Indice_Aux_Vacio,"",IFERROR(INDEX(plan!$D$4:$D$52,MATCH(Tabla_Registro_Tareas2[[#This Row],[Actividad]],plan!$C$4:$C$52,0)),""))</f>
        <v/>
      </c>
      <c r="E75" s="48" t="str">
        <f>IFERROR(INDEX(plan!$E$4:$E$52,MATCH(Tabla_Registro_Tareas2[[#This Row],[Actividad]],plan!$C$4:$C$52,0)),"")</f>
        <v/>
      </c>
      <c r="F75" s="49" t="str">
        <f>IF(Tabla_Registro_Tareas2[[#This Row],[Actividad]]=Indice_Aux_Vacio,"",Indice_PROBLAM_Estudiante2)</f>
        <v/>
      </c>
      <c r="G75" s="7"/>
      <c r="H75" s="8"/>
      <c r="I75" s="9"/>
      <c r="K75" s="12" t="str" cm="1">
        <f t="array" ref="K75">IF($B75&lt;&gt;"",TRANSPOSE(_xlfn._xlws.FILTER(plan!$C$4:$C$52, ($B75 &gt;= (plan!$J$4:$J$52-Indice_Plan_ExtensionPlazo))*($B75 &lt;= (plan!$K$4:$K$52+Indice_Plan_ExtensionPlazo)), "")), "")</f>
        <v/>
      </c>
      <c r="BH75" s="4"/>
    </row>
    <row r="76" spans="2:60" x14ac:dyDescent="0.3">
      <c r="B76" s="6"/>
      <c r="C76" s="10"/>
      <c r="D76" s="48" t="str">
        <f>IF(Tabla_Registro_Tareas2[[#This Row],[Actividad]]=Indice_Aux_Vacio,"",IFERROR(INDEX(plan!$D$4:$D$52,MATCH(Tabla_Registro_Tareas2[[#This Row],[Actividad]],plan!$C$4:$C$52,0)),""))</f>
        <v/>
      </c>
      <c r="E76" s="48" t="str">
        <f>IFERROR(INDEX(plan!$E$4:$E$52,MATCH(Tabla_Registro_Tareas2[[#This Row],[Actividad]],plan!$C$4:$C$52,0)),"")</f>
        <v/>
      </c>
      <c r="F76" s="49" t="str">
        <f>IF(Tabla_Registro_Tareas2[[#This Row],[Actividad]]=Indice_Aux_Vacio,"",Indice_PROBLAM_Estudiante2)</f>
        <v/>
      </c>
      <c r="G76" s="7"/>
      <c r="H76" s="8"/>
      <c r="I76" s="9"/>
      <c r="K76" s="12" t="str" cm="1">
        <f t="array" ref="K76">IF($B76&lt;&gt;"",TRANSPOSE(_xlfn._xlws.FILTER(plan!$C$4:$C$52, ($B76 &gt;= (plan!$J$4:$J$52-Indice_Plan_ExtensionPlazo))*($B76 &lt;= (plan!$K$4:$K$52+Indice_Plan_ExtensionPlazo)), "")), "")</f>
        <v/>
      </c>
      <c r="BH76" s="4"/>
    </row>
    <row r="77" spans="2:60" x14ac:dyDescent="0.3">
      <c r="B77" s="6"/>
      <c r="C77" s="10"/>
      <c r="D77" s="48" t="str">
        <f>IF(Tabla_Registro_Tareas2[[#This Row],[Actividad]]=Indice_Aux_Vacio,"",IFERROR(INDEX(plan!$D$4:$D$52,MATCH(Tabla_Registro_Tareas2[[#This Row],[Actividad]],plan!$C$4:$C$52,0)),""))</f>
        <v/>
      </c>
      <c r="E77" s="48" t="str">
        <f>IFERROR(INDEX(plan!$E$4:$E$52,MATCH(Tabla_Registro_Tareas2[[#This Row],[Actividad]],plan!$C$4:$C$52,0)),"")</f>
        <v/>
      </c>
      <c r="F77" s="49" t="str">
        <f>IF(Tabla_Registro_Tareas2[[#This Row],[Actividad]]=Indice_Aux_Vacio,"",Indice_PROBLAM_Estudiante2)</f>
        <v/>
      </c>
      <c r="G77" s="7"/>
      <c r="H77" s="8"/>
      <c r="I77" s="9"/>
      <c r="K77" s="12" t="str" cm="1">
        <f t="array" ref="K77">IF($B77&lt;&gt;"",TRANSPOSE(_xlfn._xlws.FILTER(plan!$C$4:$C$52, ($B77 &gt;= (plan!$J$4:$J$52-Indice_Plan_ExtensionPlazo))*($B77 &lt;= (plan!$K$4:$K$52+Indice_Plan_ExtensionPlazo)), "")), "")</f>
        <v/>
      </c>
      <c r="BH77" s="4"/>
    </row>
    <row r="78" spans="2:60" x14ac:dyDescent="0.3">
      <c r="B78" s="6"/>
      <c r="C78" s="10"/>
      <c r="D78" s="48" t="str">
        <f>IF(Tabla_Registro_Tareas2[[#This Row],[Actividad]]=Indice_Aux_Vacio,"",IFERROR(INDEX(plan!$D$4:$D$52,MATCH(Tabla_Registro_Tareas2[[#This Row],[Actividad]],plan!$C$4:$C$52,0)),""))</f>
        <v/>
      </c>
      <c r="E78" s="48" t="str">
        <f>IFERROR(INDEX(plan!$E$4:$E$52,MATCH(Tabla_Registro_Tareas2[[#This Row],[Actividad]],plan!$C$4:$C$52,0)),"")</f>
        <v/>
      </c>
      <c r="F78" s="49" t="str">
        <f>IF(Tabla_Registro_Tareas2[[#This Row],[Actividad]]=Indice_Aux_Vacio,"",Indice_PROBLAM_Estudiante2)</f>
        <v/>
      </c>
      <c r="G78" s="7"/>
      <c r="H78" s="8"/>
      <c r="I78" s="9"/>
      <c r="K78" s="12" t="str" cm="1">
        <f t="array" ref="K78">IF($B78&lt;&gt;"",TRANSPOSE(_xlfn._xlws.FILTER(plan!$C$4:$C$52, ($B78 &gt;= (plan!$J$4:$J$52-Indice_Plan_ExtensionPlazo))*($B78 &lt;= (plan!$K$4:$K$52+Indice_Plan_ExtensionPlazo)), "")), "")</f>
        <v/>
      </c>
      <c r="BH78" s="4"/>
    </row>
    <row r="79" spans="2:60" x14ac:dyDescent="0.3">
      <c r="B79" s="6"/>
      <c r="C79" s="10"/>
      <c r="D79" s="48" t="str">
        <f>IF(Tabla_Registro_Tareas2[[#This Row],[Actividad]]=Indice_Aux_Vacio,"",IFERROR(INDEX(plan!$D$4:$D$52,MATCH(Tabla_Registro_Tareas2[[#This Row],[Actividad]],plan!$C$4:$C$52,0)),""))</f>
        <v/>
      </c>
      <c r="E79" s="48" t="str">
        <f>IFERROR(INDEX(plan!$E$4:$E$52,MATCH(Tabla_Registro_Tareas2[[#This Row],[Actividad]],plan!$C$4:$C$52,0)),"")</f>
        <v/>
      </c>
      <c r="F79" s="49" t="str">
        <f>IF(Tabla_Registro_Tareas2[[#This Row],[Actividad]]=Indice_Aux_Vacio,"",Indice_PROBLAM_Estudiante2)</f>
        <v/>
      </c>
      <c r="G79" s="7"/>
      <c r="H79" s="8"/>
      <c r="I79" s="9"/>
      <c r="K79" s="12" t="str" cm="1">
        <f t="array" ref="K79">IF($B79&lt;&gt;"",TRANSPOSE(_xlfn._xlws.FILTER(plan!$C$4:$C$52, ($B79 &gt;= (plan!$J$4:$J$52-Indice_Plan_ExtensionPlazo))*($B79 &lt;= (plan!$K$4:$K$52+Indice_Plan_ExtensionPlazo)), "")), "")</f>
        <v/>
      </c>
      <c r="BH79" s="4"/>
    </row>
    <row r="80" spans="2:60" x14ac:dyDescent="0.3">
      <c r="B80" s="6"/>
      <c r="C80" s="10"/>
      <c r="D80" s="48" t="str">
        <f>IF(Tabla_Registro_Tareas2[[#This Row],[Actividad]]=Indice_Aux_Vacio,"",IFERROR(INDEX(plan!$D$4:$D$52,MATCH(Tabla_Registro_Tareas2[[#This Row],[Actividad]],plan!$C$4:$C$52,0)),""))</f>
        <v/>
      </c>
      <c r="E80" s="48" t="str">
        <f>IFERROR(INDEX(plan!$E$4:$E$52,MATCH(Tabla_Registro_Tareas2[[#This Row],[Actividad]],plan!$C$4:$C$52,0)),"")</f>
        <v/>
      </c>
      <c r="F80" s="49" t="str">
        <f>IF(Tabla_Registro_Tareas2[[#This Row],[Actividad]]=Indice_Aux_Vacio,"",Indice_PROBLAM_Estudiante2)</f>
        <v/>
      </c>
      <c r="G80" s="7"/>
      <c r="H80" s="8"/>
      <c r="I80" s="9"/>
      <c r="K80" s="12" t="str" cm="1">
        <f t="array" ref="K80">IF($B80&lt;&gt;"",TRANSPOSE(_xlfn._xlws.FILTER(plan!$C$4:$C$52, ($B80 &gt;= (plan!$J$4:$J$52-Indice_Plan_ExtensionPlazo))*($B80 &lt;= (plan!$K$4:$K$52+Indice_Plan_ExtensionPlazo)), "")), "")</f>
        <v/>
      </c>
      <c r="BH80" s="4"/>
    </row>
    <row r="81" spans="2:60" x14ac:dyDescent="0.3">
      <c r="B81" s="6"/>
      <c r="C81" s="10"/>
      <c r="D81" s="48" t="str">
        <f>IF(Tabla_Registro_Tareas2[[#This Row],[Actividad]]=Indice_Aux_Vacio,"",IFERROR(INDEX(plan!$D$4:$D$52,MATCH(Tabla_Registro_Tareas2[[#This Row],[Actividad]],plan!$C$4:$C$52,0)),""))</f>
        <v/>
      </c>
      <c r="E81" s="48" t="str">
        <f>IFERROR(INDEX(plan!$E$4:$E$52,MATCH(Tabla_Registro_Tareas2[[#This Row],[Actividad]],plan!$C$4:$C$52,0)),"")</f>
        <v/>
      </c>
      <c r="F81" s="49" t="str">
        <f>IF(Tabla_Registro_Tareas2[[#This Row],[Actividad]]=Indice_Aux_Vacio,"",Indice_PROBLAM_Estudiante2)</f>
        <v/>
      </c>
      <c r="G81" s="7"/>
      <c r="H81" s="8"/>
      <c r="I81" s="9"/>
      <c r="K81" s="12" t="str" cm="1">
        <f t="array" ref="K81">IF($B81&lt;&gt;"",TRANSPOSE(_xlfn._xlws.FILTER(plan!$C$4:$C$52, ($B81 &gt;= (plan!$J$4:$J$52-Indice_Plan_ExtensionPlazo))*($B81 &lt;= (plan!$K$4:$K$52+Indice_Plan_ExtensionPlazo)), "")), "")</f>
        <v/>
      </c>
      <c r="BH81" s="4"/>
    </row>
    <row r="82" spans="2:60" x14ac:dyDescent="0.3">
      <c r="B82" s="6"/>
      <c r="C82" s="10"/>
      <c r="D82" s="48" t="str">
        <f>IF(Tabla_Registro_Tareas2[[#This Row],[Actividad]]=Indice_Aux_Vacio,"",IFERROR(INDEX(plan!$D$4:$D$52,MATCH(Tabla_Registro_Tareas2[[#This Row],[Actividad]],plan!$C$4:$C$52,0)),""))</f>
        <v/>
      </c>
      <c r="E82" s="48" t="str">
        <f>IFERROR(INDEX(plan!$E$4:$E$52,MATCH(Tabla_Registro_Tareas2[[#This Row],[Actividad]],plan!$C$4:$C$52,0)),"")</f>
        <v/>
      </c>
      <c r="F82" s="49" t="str">
        <f>IF(Tabla_Registro_Tareas2[[#This Row],[Actividad]]=Indice_Aux_Vacio,"",Indice_PROBLAM_Estudiante2)</f>
        <v/>
      </c>
      <c r="G82" s="7"/>
      <c r="H82" s="8"/>
      <c r="I82" s="9"/>
      <c r="K82" s="12" t="str" cm="1">
        <f t="array" ref="K82">IF($B82&lt;&gt;"",TRANSPOSE(_xlfn._xlws.FILTER(plan!$C$4:$C$52, ($B82 &gt;= (plan!$J$4:$J$52-Indice_Plan_ExtensionPlazo))*($B82 &lt;= (plan!$K$4:$K$52+Indice_Plan_ExtensionPlazo)), "")), "")</f>
        <v/>
      </c>
      <c r="BH82" s="4"/>
    </row>
    <row r="83" spans="2:60" x14ac:dyDescent="0.3">
      <c r="B83" s="6"/>
      <c r="C83" s="10"/>
      <c r="D83" s="48" t="str">
        <f>IF(Tabla_Registro_Tareas2[[#This Row],[Actividad]]=Indice_Aux_Vacio,"",IFERROR(INDEX(plan!$D$4:$D$52,MATCH(Tabla_Registro_Tareas2[[#This Row],[Actividad]],plan!$C$4:$C$52,0)),""))</f>
        <v/>
      </c>
      <c r="E83" s="48" t="str">
        <f>IFERROR(INDEX(plan!$E$4:$E$52,MATCH(Tabla_Registro_Tareas2[[#This Row],[Actividad]],plan!$C$4:$C$52,0)),"")</f>
        <v/>
      </c>
      <c r="F83" s="49" t="str">
        <f>IF(Tabla_Registro_Tareas2[[#This Row],[Actividad]]=Indice_Aux_Vacio,"",Indice_PROBLAM_Estudiante2)</f>
        <v/>
      </c>
      <c r="G83" s="7"/>
      <c r="H83" s="8"/>
      <c r="I83" s="9"/>
      <c r="K83" s="12" t="str" cm="1">
        <f t="array" ref="K83">IF($B83&lt;&gt;"",TRANSPOSE(_xlfn._xlws.FILTER(plan!$C$4:$C$52, ($B83 &gt;= (plan!$J$4:$J$52-Indice_Plan_ExtensionPlazo))*($B83 &lt;= (plan!$K$4:$K$52+Indice_Plan_ExtensionPlazo)), "")), "")</f>
        <v/>
      </c>
      <c r="BH83" s="4"/>
    </row>
    <row r="84" spans="2:60" x14ac:dyDescent="0.3">
      <c r="B84" s="6"/>
      <c r="C84" s="10"/>
      <c r="D84" s="48" t="str">
        <f>IF(Tabla_Registro_Tareas2[[#This Row],[Actividad]]=Indice_Aux_Vacio,"",IFERROR(INDEX(plan!$D$4:$D$52,MATCH(Tabla_Registro_Tareas2[[#This Row],[Actividad]],plan!$C$4:$C$52,0)),""))</f>
        <v/>
      </c>
      <c r="E84" s="48" t="str">
        <f>IFERROR(INDEX(plan!$E$4:$E$52,MATCH(Tabla_Registro_Tareas2[[#This Row],[Actividad]],plan!$C$4:$C$52,0)),"")</f>
        <v/>
      </c>
      <c r="F84" s="49" t="str">
        <f>IF(Tabla_Registro_Tareas2[[#This Row],[Actividad]]=Indice_Aux_Vacio,"",Indice_PROBLAM_Estudiante2)</f>
        <v/>
      </c>
      <c r="G84" s="7"/>
      <c r="H84" s="8"/>
      <c r="I84" s="9"/>
      <c r="K84" s="12" t="str" cm="1">
        <f t="array" ref="K84">IF($B84&lt;&gt;"",TRANSPOSE(_xlfn._xlws.FILTER(plan!$C$4:$C$52, ($B84 &gt;= (plan!$J$4:$J$52-Indice_Plan_ExtensionPlazo))*($B84 &lt;= (plan!$K$4:$K$52+Indice_Plan_ExtensionPlazo)), "")), "")</f>
        <v/>
      </c>
      <c r="BH84" s="4"/>
    </row>
    <row r="85" spans="2:60" x14ac:dyDescent="0.3">
      <c r="B85" s="6"/>
      <c r="C85" s="10"/>
      <c r="D85" s="48" t="str">
        <f>IF(Tabla_Registro_Tareas2[[#This Row],[Actividad]]=Indice_Aux_Vacio,"",IFERROR(INDEX(plan!$D$4:$D$52,MATCH(Tabla_Registro_Tareas2[[#This Row],[Actividad]],plan!$C$4:$C$52,0)),""))</f>
        <v/>
      </c>
      <c r="E85" s="48" t="str">
        <f>IFERROR(INDEX(plan!$E$4:$E$52,MATCH(Tabla_Registro_Tareas2[[#This Row],[Actividad]],plan!$C$4:$C$52,0)),"")</f>
        <v/>
      </c>
      <c r="F85" s="49" t="str">
        <f>IF(Tabla_Registro_Tareas2[[#This Row],[Actividad]]=Indice_Aux_Vacio,"",Indice_PROBLAM_Estudiante2)</f>
        <v/>
      </c>
      <c r="G85" s="7"/>
      <c r="H85" s="8"/>
      <c r="I85" s="9"/>
      <c r="K85" s="12" t="str" cm="1">
        <f t="array" ref="K85">IF($B85&lt;&gt;"",TRANSPOSE(_xlfn._xlws.FILTER(plan!$C$4:$C$52, ($B85 &gt;= (plan!$J$4:$J$52-Indice_Plan_ExtensionPlazo))*($B85 &lt;= (plan!$K$4:$K$52+Indice_Plan_ExtensionPlazo)), "")), "")</f>
        <v/>
      </c>
      <c r="BH85" s="4"/>
    </row>
    <row r="86" spans="2:60" x14ac:dyDescent="0.3">
      <c r="B86" s="6"/>
      <c r="C86" s="10"/>
      <c r="D86" s="48" t="str">
        <f>IF(Tabla_Registro_Tareas2[[#This Row],[Actividad]]=Indice_Aux_Vacio,"",IFERROR(INDEX(plan!$D$4:$D$52,MATCH(Tabla_Registro_Tareas2[[#This Row],[Actividad]],plan!$C$4:$C$52,0)),""))</f>
        <v/>
      </c>
      <c r="E86" s="48" t="str">
        <f>IFERROR(INDEX(plan!$E$4:$E$52,MATCH(Tabla_Registro_Tareas2[[#This Row],[Actividad]],plan!$C$4:$C$52,0)),"")</f>
        <v/>
      </c>
      <c r="F86" s="49" t="str">
        <f>IF(Tabla_Registro_Tareas2[[#This Row],[Actividad]]=Indice_Aux_Vacio,"",Indice_PROBLAM_Estudiante2)</f>
        <v/>
      </c>
      <c r="G86" s="7"/>
      <c r="H86" s="8"/>
      <c r="I86" s="9"/>
      <c r="K86" s="12" t="str" cm="1">
        <f t="array" ref="K86">IF($B86&lt;&gt;"",TRANSPOSE(_xlfn._xlws.FILTER(plan!$C$4:$C$52, ($B86 &gt;= (plan!$J$4:$J$52-Indice_Plan_ExtensionPlazo))*($B86 &lt;= (plan!$K$4:$K$52+Indice_Plan_ExtensionPlazo)), "")), "")</f>
        <v/>
      </c>
      <c r="BH86" s="4"/>
    </row>
    <row r="87" spans="2:60" x14ac:dyDescent="0.3">
      <c r="B87" s="6"/>
      <c r="C87" s="10"/>
      <c r="D87" s="48" t="str">
        <f>IF(Tabla_Registro_Tareas2[[#This Row],[Actividad]]=Indice_Aux_Vacio,"",IFERROR(INDEX(plan!$D$4:$D$52,MATCH(Tabla_Registro_Tareas2[[#This Row],[Actividad]],plan!$C$4:$C$52,0)),""))</f>
        <v/>
      </c>
      <c r="E87" s="48" t="str">
        <f>IFERROR(INDEX(plan!$E$4:$E$52,MATCH(Tabla_Registro_Tareas2[[#This Row],[Actividad]],plan!$C$4:$C$52,0)),"")</f>
        <v/>
      </c>
      <c r="F87" s="49" t="str">
        <f>IF(Tabla_Registro_Tareas2[[#This Row],[Actividad]]=Indice_Aux_Vacio,"",Indice_PROBLAM_Estudiante2)</f>
        <v/>
      </c>
      <c r="G87" s="7"/>
      <c r="H87" s="8"/>
      <c r="I87" s="9"/>
      <c r="K87" s="12" t="str" cm="1">
        <f t="array" ref="K87">IF($B87&lt;&gt;"",TRANSPOSE(_xlfn._xlws.FILTER(plan!$C$4:$C$52, ($B87 &gt;= (plan!$J$4:$J$52-Indice_Plan_ExtensionPlazo))*($B87 &lt;= (plan!$K$4:$K$52+Indice_Plan_ExtensionPlazo)), "")), "")</f>
        <v/>
      </c>
      <c r="BH87" s="4"/>
    </row>
    <row r="88" spans="2:60" x14ac:dyDescent="0.3">
      <c r="B88" s="6"/>
      <c r="C88" s="10"/>
      <c r="D88" s="48" t="str">
        <f>IF(Tabla_Registro_Tareas2[[#This Row],[Actividad]]=Indice_Aux_Vacio,"",IFERROR(INDEX(plan!$D$4:$D$52,MATCH(Tabla_Registro_Tareas2[[#This Row],[Actividad]],plan!$C$4:$C$52,0)),""))</f>
        <v/>
      </c>
      <c r="E88" s="48" t="str">
        <f>IFERROR(INDEX(plan!$E$4:$E$52,MATCH(Tabla_Registro_Tareas2[[#This Row],[Actividad]],plan!$C$4:$C$52,0)),"")</f>
        <v/>
      </c>
      <c r="F88" s="49" t="str">
        <f>IF(Tabla_Registro_Tareas2[[#This Row],[Actividad]]=Indice_Aux_Vacio,"",Indice_PROBLAM_Estudiante2)</f>
        <v/>
      </c>
      <c r="G88" s="7"/>
      <c r="H88" s="8"/>
      <c r="I88" s="9"/>
      <c r="K88" s="12" t="str" cm="1">
        <f t="array" ref="K88">IF($B88&lt;&gt;"",TRANSPOSE(_xlfn._xlws.FILTER(plan!$C$4:$C$52, ($B88 &gt;= (plan!$J$4:$J$52-Indice_Plan_ExtensionPlazo))*($B88 &lt;= (plan!$K$4:$K$52+Indice_Plan_ExtensionPlazo)), "")), "")</f>
        <v/>
      </c>
      <c r="BH88" s="4"/>
    </row>
    <row r="89" spans="2:60" x14ac:dyDescent="0.3">
      <c r="B89" s="6"/>
      <c r="C89" s="10"/>
      <c r="D89" s="48" t="str">
        <f>IF(Tabla_Registro_Tareas2[[#This Row],[Actividad]]=Indice_Aux_Vacio,"",IFERROR(INDEX(plan!$D$4:$D$52,MATCH(Tabla_Registro_Tareas2[[#This Row],[Actividad]],plan!$C$4:$C$52,0)),""))</f>
        <v/>
      </c>
      <c r="E89" s="48" t="str">
        <f>IFERROR(INDEX(plan!$E$4:$E$52,MATCH(Tabla_Registro_Tareas2[[#This Row],[Actividad]],plan!$C$4:$C$52,0)),"")</f>
        <v/>
      </c>
      <c r="F89" s="49" t="str">
        <f>IF(Tabla_Registro_Tareas2[[#This Row],[Actividad]]=Indice_Aux_Vacio,"",Indice_PROBLAM_Estudiante2)</f>
        <v/>
      </c>
      <c r="G89" s="7"/>
      <c r="H89" s="8"/>
      <c r="I89" s="9"/>
      <c r="K89" s="12" t="str" cm="1">
        <f t="array" ref="K89">IF($B89&lt;&gt;"",TRANSPOSE(_xlfn._xlws.FILTER(plan!$C$4:$C$52, ($B89 &gt;= (plan!$J$4:$J$52-Indice_Plan_ExtensionPlazo))*($B89 &lt;= (plan!$K$4:$K$52+Indice_Plan_ExtensionPlazo)), "")), "")</f>
        <v/>
      </c>
      <c r="BH89" s="4"/>
    </row>
    <row r="90" spans="2:60" x14ac:dyDescent="0.3">
      <c r="B90" s="6"/>
      <c r="C90" s="10"/>
      <c r="D90" s="48" t="str">
        <f>IF(Tabla_Registro_Tareas2[[#This Row],[Actividad]]=Indice_Aux_Vacio,"",IFERROR(INDEX(plan!$D$4:$D$52,MATCH(Tabla_Registro_Tareas2[[#This Row],[Actividad]],plan!$C$4:$C$52,0)),""))</f>
        <v/>
      </c>
      <c r="E90" s="48" t="str">
        <f>IFERROR(INDEX(plan!$E$4:$E$52,MATCH(Tabla_Registro_Tareas2[[#This Row],[Actividad]],plan!$C$4:$C$52,0)),"")</f>
        <v/>
      </c>
      <c r="F90" s="49" t="str">
        <f>IF(Tabla_Registro_Tareas2[[#This Row],[Actividad]]=Indice_Aux_Vacio,"",Indice_PROBLAM_Estudiante2)</f>
        <v/>
      </c>
      <c r="G90" s="7"/>
      <c r="H90" s="8"/>
      <c r="I90" s="9"/>
      <c r="K90" s="12" t="str" cm="1">
        <f t="array" ref="K90">IF($B90&lt;&gt;"",TRANSPOSE(_xlfn._xlws.FILTER(plan!$C$4:$C$52, ($B90 &gt;= (plan!$J$4:$J$52-Indice_Plan_ExtensionPlazo))*($B90 &lt;= (plan!$K$4:$K$52+Indice_Plan_ExtensionPlazo)), "")), "")</f>
        <v/>
      </c>
      <c r="BH90" s="4"/>
    </row>
    <row r="91" spans="2:60" x14ac:dyDescent="0.3">
      <c r="B91" s="6"/>
      <c r="C91" s="10"/>
      <c r="D91" s="48" t="str">
        <f>IF(Tabla_Registro_Tareas2[[#This Row],[Actividad]]=Indice_Aux_Vacio,"",IFERROR(INDEX(plan!$D$4:$D$52,MATCH(Tabla_Registro_Tareas2[[#This Row],[Actividad]],plan!$C$4:$C$52,0)),""))</f>
        <v/>
      </c>
      <c r="E91" s="48" t="str">
        <f>IFERROR(INDEX(plan!$E$4:$E$52,MATCH(Tabla_Registro_Tareas2[[#This Row],[Actividad]],plan!$C$4:$C$52,0)),"")</f>
        <v/>
      </c>
      <c r="F91" s="49" t="str">
        <f>IF(Tabla_Registro_Tareas2[[#This Row],[Actividad]]=Indice_Aux_Vacio,"",Indice_PROBLAM_Estudiante2)</f>
        <v/>
      </c>
      <c r="G91" s="7"/>
      <c r="H91" s="8"/>
      <c r="I91" s="9"/>
      <c r="K91" s="12" t="str" cm="1">
        <f t="array" ref="K91">IF($B91&lt;&gt;"",TRANSPOSE(_xlfn._xlws.FILTER(plan!$C$4:$C$52, ($B91 &gt;= (plan!$J$4:$J$52-Indice_Plan_ExtensionPlazo))*($B91 &lt;= (plan!$K$4:$K$52+Indice_Plan_ExtensionPlazo)), "")), "")</f>
        <v/>
      </c>
      <c r="BH91" s="4"/>
    </row>
    <row r="92" spans="2:60" x14ac:dyDescent="0.3">
      <c r="B92" s="6"/>
      <c r="C92" s="10"/>
      <c r="D92" s="48" t="str">
        <f>IF(Tabla_Registro_Tareas2[[#This Row],[Actividad]]=Indice_Aux_Vacio,"",IFERROR(INDEX(plan!$D$4:$D$52,MATCH(Tabla_Registro_Tareas2[[#This Row],[Actividad]],plan!$C$4:$C$52,0)),""))</f>
        <v/>
      </c>
      <c r="E92" s="48" t="str">
        <f>IFERROR(INDEX(plan!$E$4:$E$52,MATCH(Tabla_Registro_Tareas2[[#This Row],[Actividad]],plan!$C$4:$C$52,0)),"")</f>
        <v/>
      </c>
      <c r="F92" s="49" t="str">
        <f>IF(Tabla_Registro_Tareas2[[#This Row],[Actividad]]=Indice_Aux_Vacio,"",Indice_PROBLAM_Estudiante2)</f>
        <v/>
      </c>
      <c r="G92" s="7"/>
      <c r="H92" s="8"/>
      <c r="I92" s="9"/>
      <c r="K92" s="12" t="str" cm="1">
        <f t="array" ref="K92">IF($B92&lt;&gt;"",TRANSPOSE(_xlfn._xlws.FILTER(plan!$C$4:$C$52, ($B92 &gt;= (plan!$J$4:$J$52-Indice_Plan_ExtensionPlazo))*($B92 &lt;= (plan!$K$4:$K$52+Indice_Plan_ExtensionPlazo)), "")), "")</f>
        <v/>
      </c>
      <c r="BH92" s="4"/>
    </row>
    <row r="93" spans="2:60" x14ac:dyDescent="0.3">
      <c r="B93" s="6"/>
      <c r="C93" s="10"/>
      <c r="D93" s="48" t="str">
        <f>IF(Tabla_Registro_Tareas2[[#This Row],[Actividad]]=Indice_Aux_Vacio,"",IFERROR(INDEX(plan!$D$4:$D$52,MATCH(Tabla_Registro_Tareas2[[#This Row],[Actividad]],plan!$C$4:$C$52,0)),""))</f>
        <v/>
      </c>
      <c r="E93" s="48" t="str">
        <f>IFERROR(INDEX(plan!$E$4:$E$52,MATCH(Tabla_Registro_Tareas2[[#This Row],[Actividad]],plan!$C$4:$C$52,0)),"")</f>
        <v/>
      </c>
      <c r="F93" s="49" t="str">
        <f>IF(Tabla_Registro_Tareas2[[#This Row],[Actividad]]=Indice_Aux_Vacio,"",Indice_PROBLAM_Estudiante2)</f>
        <v/>
      </c>
      <c r="G93" s="7"/>
      <c r="H93" s="8"/>
      <c r="I93" s="9"/>
      <c r="K93" s="12" t="str" cm="1">
        <f t="array" ref="K93">IF($B93&lt;&gt;"",TRANSPOSE(_xlfn._xlws.FILTER(plan!$C$4:$C$52, ($B93 &gt;= (plan!$J$4:$J$52-Indice_Plan_ExtensionPlazo))*($B93 &lt;= (plan!$K$4:$K$52+Indice_Plan_ExtensionPlazo)), "")), "")</f>
        <v/>
      </c>
      <c r="BH93" s="4"/>
    </row>
    <row r="94" spans="2:60" x14ac:dyDescent="0.3">
      <c r="B94" s="6"/>
      <c r="C94" s="10"/>
      <c r="D94" s="48" t="str">
        <f>IF(Tabla_Registro_Tareas2[[#This Row],[Actividad]]=Indice_Aux_Vacio,"",IFERROR(INDEX(plan!$D$4:$D$52,MATCH(Tabla_Registro_Tareas2[[#This Row],[Actividad]],plan!$C$4:$C$52,0)),""))</f>
        <v/>
      </c>
      <c r="E94" s="48" t="str">
        <f>IFERROR(INDEX(plan!$E$4:$E$52,MATCH(Tabla_Registro_Tareas2[[#This Row],[Actividad]],plan!$C$4:$C$52,0)),"")</f>
        <v/>
      </c>
      <c r="F94" s="49" t="str">
        <f>IF(Tabla_Registro_Tareas2[[#This Row],[Actividad]]=Indice_Aux_Vacio,"",Indice_PROBLAM_Estudiante2)</f>
        <v/>
      </c>
      <c r="G94" s="7"/>
      <c r="H94" s="8"/>
      <c r="I94" s="9"/>
      <c r="K94" s="12" t="str" cm="1">
        <f t="array" ref="K94">IF($B94&lt;&gt;"",TRANSPOSE(_xlfn._xlws.FILTER(plan!$C$4:$C$52, ($B94 &gt;= (plan!$J$4:$J$52-Indice_Plan_ExtensionPlazo))*($B94 &lt;= (plan!$K$4:$K$52+Indice_Plan_ExtensionPlazo)), "")), "")</f>
        <v/>
      </c>
      <c r="BH94" s="4"/>
    </row>
    <row r="95" spans="2:60" x14ac:dyDescent="0.3">
      <c r="B95" s="6"/>
      <c r="C95" s="10"/>
      <c r="D95" s="48" t="str">
        <f>IF(Tabla_Registro_Tareas2[[#This Row],[Actividad]]=Indice_Aux_Vacio,"",IFERROR(INDEX(plan!$D$4:$D$52,MATCH(Tabla_Registro_Tareas2[[#This Row],[Actividad]],plan!$C$4:$C$52,0)),""))</f>
        <v/>
      </c>
      <c r="E95" s="48" t="str">
        <f>IFERROR(INDEX(plan!$E$4:$E$52,MATCH(Tabla_Registro_Tareas2[[#This Row],[Actividad]],plan!$C$4:$C$52,0)),"")</f>
        <v/>
      </c>
      <c r="F95" s="49" t="str">
        <f>IF(Tabla_Registro_Tareas2[[#This Row],[Actividad]]=Indice_Aux_Vacio,"",Indice_PROBLAM_Estudiante2)</f>
        <v/>
      </c>
      <c r="G95" s="7"/>
      <c r="H95" s="8"/>
      <c r="I95" s="9"/>
      <c r="K95" s="12" t="str" cm="1">
        <f t="array" ref="K95">IF($B95&lt;&gt;"",TRANSPOSE(_xlfn._xlws.FILTER(plan!$C$4:$C$52, ($B95 &gt;= (plan!$J$4:$J$52-Indice_Plan_ExtensionPlazo))*($B95 &lt;= (plan!$K$4:$K$52+Indice_Plan_ExtensionPlazo)), "")), "")</f>
        <v/>
      </c>
      <c r="BH95" s="4"/>
    </row>
    <row r="96" spans="2:60" x14ac:dyDescent="0.3">
      <c r="B96" s="6"/>
      <c r="C96" s="10"/>
      <c r="D96" s="48" t="str">
        <f>IF(Tabla_Registro_Tareas2[[#This Row],[Actividad]]=Indice_Aux_Vacio,"",IFERROR(INDEX(plan!$D$4:$D$52,MATCH(Tabla_Registro_Tareas2[[#This Row],[Actividad]],plan!$C$4:$C$52,0)),""))</f>
        <v/>
      </c>
      <c r="E96" s="48" t="str">
        <f>IFERROR(INDEX(plan!$E$4:$E$52,MATCH(Tabla_Registro_Tareas2[[#This Row],[Actividad]],plan!$C$4:$C$52,0)),"")</f>
        <v/>
      </c>
      <c r="F96" s="49" t="str">
        <f>IF(Tabla_Registro_Tareas2[[#This Row],[Actividad]]=Indice_Aux_Vacio,"",Indice_PROBLAM_Estudiante2)</f>
        <v/>
      </c>
      <c r="G96" s="7"/>
      <c r="H96" s="8"/>
      <c r="I96" s="9"/>
      <c r="K96" s="12" t="str" cm="1">
        <f t="array" ref="K96">IF($B96&lt;&gt;"",TRANSPOSE(_xlfn._xlws.FILTER(plan!$C$4:$C$52, ($B96 &gt;= (plan!$J$4:$J$52-Indice_Plan_ExtensionPlazo))*($B96 &lt;= (plan!$K$4:$K$52+Indice_Plan_ExtensionPlazo)), "")), "")</f>
        <v/>
      </c>
      <c r="BH96" s="4"/>
    </row>
    <row r="97" spans="2:60" x14ac:dyDescent="0.3">
      <c r="B97" s="6"/>
      <c r="C97" s="10"/>
      <c r="D97" s="48" t="str">
        <f>IF(Tabla_Registro_Tareas2[[#This Row],[Actividad]]=Indice_Aux_Vacio,"",IFERROR(INDEX(plan!$D$4:$D$52,MATCH(Tabla_Registro_Tareas2[[#This Row],[Actividad]],plan!$C$4:$C$52,0)),""))</f>
        <v/>
      </c>
      <c r="E97" s="48" t="str">
        <f>IFERROR(INDEX(plan!$E$4:$E$52,MATCH(Tabla_Registro_Tareas2[[#This Row],[Actividad]],plan!$C$4:$C$52,0)),"")</f>
        <v/>
      </c>
      <c r="F97" s="49" t="str">
        <f>IF(Tabla_Registro_Tareas2[[#This Row],[Actividad]]=Indice_Aux_Vacio,"",Indice_PROBLAM_Estudiante2)</f>
        <v/>
      </c>
      <c r="G97" s="7"/>
      <c r="H97" s="8"/>
      <c r="I97" s="9"/>
      <c r="K97" s="12" t="str" cm="1">
        <f t="array" ref="K97">IF($B97&lt;&gt;"",TRANSPOSE(_xlfn._xlws.FILTER(plan!$C$4:$C$52, ($B97 &gt;= (plan!$J$4:$J$52-Indice_Plan_ExtensionPlazo))*($B97 &lt;= (plan!$K$4:$K$52+Indice_Plan_ExtensionPlazo)), "")), "")</f>
        <v/>
      </c>
      <c r="BH97" s="4"/>
    </row>
    <row r="98" spans="2:60" x14ac:dyDescent="0.3">
      <c r="B98" s="6"/>
      <c r="C98" s="10"/>
      <c r="D98" s="48" t="str">
        <f>IF(Tabla_Registro_Tareas2[[#This Row],[Actividad]]=Indice_Aux_Vacio,"",IFERROR(INDEX(plan!$D$4:$D$52,MATCH(Tabla_Registro_Tareas2[[#This Row],[Actividad]],plan!$C$4:$C$52,0)),""))</f>
        <v/>
      </c>
      <c r="E98" s="48" t="str">
        <f>IFERROR(INDEX(plan!$E$4:$E$52,MATCH(Tabla_Registro_Tareas2[[#This Row],[Actividad]],plan!$C$4:$C$52,0)),"")</f>
        <v/>
      </c>
      <c r="F98" s="49" t="str">
        <f>IF(Tabla_Registro_Tareas2[[#This Row],[Actividad]]=Indice_Aux_Vacio,"",Indice_PROBLAM_Estudiante2)</f>
        <v/>
      </c>
      <c r="G98" s="7"/>
      <c r="H98" s="8"/>
      <c r="I98" s="9"/>
      <c r="K98" s="12" t="str" cm="1">
        <f t="array" ref="K98">IF($B98&lt;&gt;"",TRANSPOSE(_xlfn._xlws.FILTER(plan!$C$4:$C$52, ($B98 &gt;= (plan!$J$4:$J$52-Indice_Plan_ExtensionPlazo))*($B98 &lt;= (plan!$K$4:$K$52+Indice_Plan_ExtensionPlazo)), "")), "")</f>
        <v/>
      </c>
      <c r="BH98" s="4"/>
    </row>
    <row r="99" spans="2:60" x14ac:dyDescent="0.3">
      <c r="B99" s="6"/>
      <c r="C99" s="10"/>
      <c r="D99" s="48" t="str">
        <f>IF(Tabla_Registro_Tareas2[[#This Row],[Actividad]]=Indice_Aux_Vacio,"",IFERROR(INDEX(plan!$D$4:$D$52,MATCH(Tabla_Registro_Tareas2[[#This Row],[Actividad]],plan!$C$4:$C$52,0)),""))</f>
        <v/>
      </c>
      <c r="E99" s="48" t="str">
        <f>IFERROR(INDEX(plan!$E$4:$E$52,MATCH(Tabla_Registro_Tareas2[[#This Row],[Actividad]],plan!$C$4:$C$52,0)),"")</f>
        <v/>
      </c>
      <c r="F99" s="49" t="str">
        <f>IF(Tabla_Registro_Tareas2[[#This Row],[Actividad]]=Indice_Aux_Vacio,"",Indice_PROBLAM_Estudiante2)</f>
        <v/>
      </c>
      <c r="G99" s="7"/>
      <c r="H99" s="8"/>
      <c r="I99" s="9"/>
      <c r="K99" s="12" t="str" cm="1">
        <f t="array" ref="K99">IF($B99&lt;&gt;"",TRANSPOSE(_xlfn._xlws.FILTER(plan!$C$4:$C$52, ($B99 &gt;= (plan!$J$4:$J$52-Indice_Plan_ExtensionPlazo))*($B99 &lt;= (plan!$K$4:$K$52+Indice_Plan_ExtensionPlazo)), "")), "")</f>
        <v/>
      </c>
      <c r="BH99" s="4"/>
    </row>
    <row r="100" spans="2:60" x14ac:dyDescent="0.3">
      <c r="B100" s="6"/>
      <c r="C100" s="10"/>
      <c r="D100" s="48" t="str">
        <f>IF(Tabla_Registro_Tareas2[[#This Row],[Actividad]]=Indice_Aux_Vacio,"",IFERROR(INDEX(plan!$D$4:$D$52,MATCH(Tabla_Registro_Tareas2[[#This Row],[Actividad]],plan!$C$4:$C$52,0)),""))</f>
        <v/>
      </c>
      <c r="E100" s="48" t="str">
        <f>IFERROR(INDEX(plan!$E$4:$E$52,MATCH(Tabla_Registro_Tareas2[[#This Row],[Actividad]],plan!$C$4:$C$52,0)),"")</f>
        <v/>
      </c>
      <c r="F100" s="49" t="str">
        <f>IF(Tabla_Registro_Tareas2[[#This Row],[Actividad]]=Indice_Aux_Vacio,"",Indice_PROBLAM_Estudiante2)</f>
        <v/>
      </c>
      <c r="G100" s="7"/>
      <c r="H100" s="8"/>
      <c r="I100" s="9"/>
      <c r="K100" s="12" t="str" cm="1">
        <f t="array" ref="K100">IF($B100&lt;&gt;"",TRANSPOSE(_xlfn._xlws.FILTER(plan!$C$4:$C$52, ($B100 &gt;= (plan!$J$4:$J$52-Indice_Plan_ExtensionPlazo))*($B100 &lt;= (plan!$K$4:$K$52+Indice_Plan_ExtensionPlazo)), "")), "")</f>
        <v/>
      </c>
      <c r="BH100" s="4"/>
    </row>
    <row r="101" spans="2:60" x14ac:dyDescent="0.3">
      <c r="B101" s="6"/>
      <c r="C101" s="10"/>
      <c r="D101" s="48" t="str">
        <f>IF(Tabla_Registro_Tareas2[[#This Row],[Actividad]]=Indice_Aux_Vacio,"",IFERROR(INDEX(plan!$D$4:$D$52,MATCH(Tabla_Registro_Tareas2[[#This Row],[Actividad]],plan!$C$4:$C$52,0)),""))</f>
        <v/>
      </c>
      <c r="E101" s="48" t="str">
        <f>IFERROR(INDEX(plan!$E$4:$E$52,MATCH(Tabla_Registro_Tareas2[[#This Row],[Actividad]],plan!$C$4:$C$52,0)),"")</f>
        <v/>
      </c>
      <c r="F101" s="49" t="str">
        <f>IF(Tabla_Registro_Tareas2[[#This Row],[Actividad]]=Indice_Aux_Vacio,"",Indice_PROBLAM_Estudiante2)</f>
        <v/>
      </c>
      <c r="G101" s="7"/>
      <c r="H101" s="8"/>
      <c r="I101" s="9"/>
      <c r="K101" s="12" t="str" cm="1">
        <f t="array" ref="K101">IF($B101&lt;&gt;"",TRANSPOSE(_xlfn._xlws.FILTER(plan!$C$4:$C$52, ($B101 &gt;= (plan!$J$4:$J$52-Indice_Plan_ExtensionPlazo))*($B101 &lt;= (plan!$K$4:$K$52+Indice_Plan_ExtensionPlazo)), "")), "")</f>
        <v/>
      </c>
      <c r="BH101" s="4"/>
    </row>
    <row r="102" spans="2:60" x14ac:dyDescent="0.3">
      <c r="B102" s="6"/>
      <c r="C102" s="10"/>
      <c r="D102" s="48" t="str">
        <f>IF(Tabla_Registro_Tareas2[[#This Row],[Actividad]]=Indice_Aux_Vacio,"",IFERROR(INDEX(plan!$D$4:$D$52,MATCH(Tabla_Registro_Tareas2[[#This Row],[Actividad]],plan!$C$4:$C$52,0)),""))</f>
        <v/>
      </c>
      <c r="E102" s="48" t="str">
        <f>IFERROR(INDEX(plan!$E$4:$E$52,MATCH(Tabla_Registro_Tareas2[[#This Row],[Actividad]],plan!$C$4:$C$52,0)),"")</f>
        <v/>
      </c>
      <c r="F102" s="49" t="str">
        <f>IF(Tabla_Registro_Tareas2[[#This Row],[Actividad]]=Indice_Aux_Vacio,"",Indice_PROBLAM_Estudiante2)</f>
        <v/>
      </c>
      <c r="G102" s="7"/>
      <c r="H102" s="8"/>
      <c r="I102" s="9"/>
      <c r="K102" s="12" t="str" cm="1">
        <f t="array" ref="K102">IF($B102&lt;&gt;"",TRANSPOSE(_xlfn._xlws.FILTER(plan!$C$4:$C$52, ($B102 &gt;= (plan!$J$4:$J$52-Indice_Plan_ExtensionPlazo))*($B102 &lt;= (plan!$K$4:$K$52+Indice_Plan_ExtensionPlazo)), "")), "")</f>
        <v/>
      </c>
      <c r="BH102" s="4"/>
    </row>
    <row r="103" spans="2:60" x14ac:dyDescent="0.3">
      <c r="B103" s="6"/>
      <c r="C103" s="10"/>
      <c r="D103" s="48" t="str">
        <f>IF(Tabla_Registro_Tareas2[[#This Row],[Actividad]]=Indice_Aux_Vacio,"",IFERROR(INDEX(plan!$D$4:$D$52,MATCH(Tabla_Registro_Tareas2[[#This Row],[Actividad]],plan!$C$4:$C$52,0)),""))</f>
        <v/>
      </c>
      <c r="E103" s="48" t="str">
        <f>IFERROR(INDEX(plan!$E$4:$E$52,MATCH(Tabla_Registro_Tareas2[[#This Row],[Actividad]],plan!$C$4:$C$52,0)),"")</f>
        <v/>
      </c>
      <c r="F103" s="49" t="str">
        <f>IF(Tabla_Registro_Tareas2[[#This Row],[Actividad]]=Indice_Aux_Vacio,"",Indice_PROBLAM_Estudiante2)</f>
        <v/>
      </c>
      <c r="G103" s="7"/>
      <c r="H103" s="8"/>
      <c r="I103" s="9"/>
      <c r="K103" s="12" t="str" cm="1">
        <f t="array" ref="K103">IF($B103&lt;&gt;"",TRANSPOSE(_xlfn._xlws.FILTER(plan!$C$4:$C$52, ($B103 &gt;= (plan!$J$4:$J$52-Indice_Plan_ExtensionPlazo))*($B103 &lt;= (plan!$K$4:$K$52+Indice_Plan_ExtensionPlazo)), "")), "")</f>
        <v/>
      </c>
      <c r="BH103" s="4"/>
    </row>
    <row r="104" spans="2:60" x14ac:dyDescent="0.3">
      <c r="B104" s="6"/>
      <c r="C104" s="10"/>
      <c r="D104" s="48" t="str">
        <f>IF(Tabla_Registro_Tareas2[[#This Row],[Actividad]]=Indice_Aux_Vacio,"",IFERROR(INDEX(plan!$D$4:$D$52,MATCH(Tabla_Registro_Tareas2[[#This Row],[Actividad]],plan!$C$4:$C$52,0)),""))</f>
        <v/>
      </c>
      <c r="E104" s="48" t="str">
        <f>IFERROR(INDEX(plan!$E$4:$E$52,MATCH(Tabla_Registro_Tareas2[[#This Row],[Actividad]],plan!$C$4:$C$52,0)),"")</f>
        <v/>
      </c>
      <c r="F104" s="49" t="str">
        <f>IF(Tabla_Registro_Tareas2[[#This Row],[Actividad]]=Indice_Aux_Vacio,"",Indice_PROBLAM_Estudiante2)</f>
        <v/>
      </c>
      <c r="G104" s="7"/>
      <c r="H104" s="8"/>
      <c r="I104" s="9"/>
      <c r="K104" s="12" t="str" cm="1">
        <f t="array" ref="K104">IF($B104&lt;&gt;"",TRANSPOSE(_xlfn._xlws.FILTER(plan!$C$4:$C$52, ($B104 &gt;= (plan!$J$4:$J$52-Indice_Plan_ExtensionPlazo))*($B104 &lt;= (plan!$K$4:$K$52+Indice_Plan_ExtensionPlazo)), "")), "")</f>
        <v/>
      </c>
      <c r="BH104" s="4"/>
    </row>
    <row r="105" spans="2:60" x14ac:dyDescent="0.3">
      <c r="B105" s="6"/>
      <c r="C105" s="10"/>
      <c r="D105" s="48" t="str">
        <f>IF(Tabla_Registro_Tareas2[[#This Row],[Actividad]]=Indice_Aux_Vacio,"",IFERROR(INDEX(plan!$D$4:$D$52,MATCH(Tabla_Registro_Tareas2[[#This Row],[Actividad]],plan!$C$4:$C$52,0)),""))</f>
        <v/>
      </c>
      <c r="E105" s="48" t="str">
        <f>IFERROR(INDEX(plan!$E$4:$E$52,MATCH(Tabla_Registro_Tareas2[[#This Row],[Actividad]],plan!$C$4:$C$52,0)),"")</f>
        <v/>
      </c>
      <c r="F105" s="49" t="str">
        <f>IF(Tabla_Registro_Tareas2[[#This Row],[Actividad]]=Indice_Aux_Vacio,"",Indice_PROBLAM_Estudiante2)</f>
        <v/>
      </c>
      <c r="G105" s="7"/>
      <c r="H105" s="8"/>
      <c r="I105" s="9"/>
      <c r="K105" s="12" t="str" cm="1">
        <f t="array" ref="K105">IF($B105&lt;&gt;"",TRANSPOSE(_xlfn._xlws.FILTER(plan!$C$4:$C$52, ($B105 &gt;= (plan!$J$4:$J$52-Indice_Plan_ExtensionPlazo))*($B105 &lt;= (plan!$K$4:$K$52+Indice_Plan_ExtensionPlazo)), "")), "")</f>
        <v/>
      </c>
      <c r="BH105" s="4"/>
    </row>
    <row r="106" spans="2:60" x14ac:dyDescent="0.3">
      <c r="B106" s="6"/>
      <c r="C106" s="10"/>
      <c r="D106" s="48" t="str">
        <f>IF(Tabla_Registro_Tareas2[[#This Row],[Actividad]]=Indice_Aux_Vacio,"",IFERROR(INDEX(plan!$D$4:$D$52,MATCH(Tabla_Registro_Tareas2[[#This Row],[Actividad]],plan!$C$4:$C$52,0)),""))</f>
        <v/>
      </c>
      <c r="E106" s="48" t="str">
        <f>IFERROR(INDEX(plan!$E$4:$E$52,MATCH(Tabla_Registro_Tareas2[[#This Row],[Actividad]],plan!$C$4:$C$52,0)),"")</f>
        <v/>
      </c>
      <c r="F106" s="49" t="str">
        <f>IF(Tabla_Registro_Tareas2[[#This Row],[Actividad]]=Indice_Aux_Vacio,"",Indice_PROBLAM_Estudiante2)</f>
        <v/>
      </c>
      <c r="G106" s="7"/>
      <c r="H106" s="8"/>
      <c r="I106" s="9"/>
      <c r="K106" s="12" t="str" cm="1">
        <f t="array" ref="K106">IF($B106&lt;&gt;"",TRANSPOSE(_xlfn._xlws.FILTER(plan!$C$4:$C$52, ($B106 &gt;= (plan!$J$4:$J$52-Indice_Plan_ExtensionPlazo))*($B106 &lt;= (plan!$K$4:$K$52+Indice_Plan_ExtensionPlazo)), "")), "")</f>
        <v/>
      </c>
      <c r="BH106" s="4"/>
    </row>
    <row r="107" spans="2:60" x14ac:dyDescent="0.3">
      <c r="B107" s="6"/>
      <c r="C107" s="10"/>
      <c r="D107" s="48" t="str">
        <f>IF(Tabla_Registro_Tareas2[[#This Row],[Actividad]]=Indice_Aux_Vacio,"",IFERROR(INDEX(plan!$D$4:$D$52,MATCH(Tabla_Registro_Tareas2[[#This Row],[Actividad]],plan!$C$4:$C$52,0)),""))</f>
        <v/>
      </c>
      <c r="E107" s="48" t="str">
        <f>IFERROR(INDEX(plan!$E$4:$E$52,MATCH(Tabla_Registro_Tareas2[[#This Row],[Actividad]],plan!$C$4:$C$52,0)),"")</f>
        <v/>
      </c>
      <c r="F107" s="49" t="str">
        <f>IF(Tabla_Registro_Tareas2[[#This Row],[Actividad]]=Indice_Aux_Vacio,"",Indice_PROBLAM_Estudiante2)</f>
        <v/>
      </c>
      <c r="G107" s="7"/>
      <c r="H107" s="8"/>
      <c r="I107" s="9"/>
      <c r="K107" s="12" t="str" cm="1">
        <f t="array" ref="K107">IF($B107&lt;&gt;"",TRANSPOSE(_xlfn._xlws.FILTER(plan!$C$4:$C$52, ($B107 &gt;= (plan!$J$4:$J$52-Indice_Plan_ExtensionPlazo))*($B107 &lt;= (plan!$K$4:$K$52+Indice_Plan_ExtensionPlazo)), "")), "")</f>
        <v/>
      </c>
      <c r="BH107" s="4"/>
    </row>
    <row r="108" spans="2:60" x14ac:dyDescent="0.3">
      <c r="B108" s="6"/>
      <c r="C108" s="10"/>
      <c r="D108" s="48" t="str">
        <f>IF(Tabla_Registro_Tareas2[[#This Row],[Actividad]]=Indice_Aux_Vacio,"",IFERROR(INDEX(plan!$D$4:$D$52,MATCH(Tabla_Registro_Tareas2[[#This Row],[Actividad]],plan!$C$4:$C$52,0)),""))</f>
        <v/>
      </c>
      <c r="E108" s="48" t="str">
        <f>IFERROR(INDEX(plan!$E$4:$E$52,MATCH(Tabla_Registro_Tareas2[[#This Row],[Actividad]],plan!$C$4:$C$52,0)),"")</f>
        <v/>
      </c>
      <c r="F108" s="49" t="str">
        <f>IF(Tabla_Registro_Tareas2[[#This Row],[Actividad]]=Indice_Aux_Vacio,"",Indice_PROBLAM_Estudiante2)</f>
        <v/>
      </c>
      <c r="G108" s="7"/>
      <c r="H108" s="8"/>
      <c r="I108" s="9"/>
      <c r="K108" s="12" t="str" cm="1">
        <f t="array" ref="K108">IF($B108&lt;&gt;"",TRANSPOSE(_xlfn._xlws.FILTER(plan!$C$4:$C$52, ($B108 &gt;= (plan!$J$4:$J$52-Indice_Plan_ExtensionPlazo))*($B108 &lt;= (plan!$K$4:$K$52+Indice_Plan_ExtensionPlazo)), "")), "")</f>
        <v/>
      </c>
      <c r="BH108" s="4"/>
    </row>
    <row r="109" spans="2:60" x14ac:dyDescent="0.3">
      <c r="B109" s="6"/>
      <c r="C109" s="10"/>
      <c r="D109" s="48" t="str">
        <f>IF(Tabla_Registro_Tareas2[[#This Row],[Actividad]]=Indice_Aux_Vacio,"",IFERROR(INDEX(plan!$D$4:$D$52,MATCH(Tabla_Registro_Tareas2[[#This Row],[Actividad]],plan!$C$4:$C$52,0)),""))</f>
        <v/>
      </c>
      <c r="E109" s="48" t="str">
        <f>IFERROR(INDEX(plan!$E$4:$E$52,MATCH(Tabla_Registro_Tareas2[[#This Row],[Actividad]],plan!$C$4:$C$52,0)),"")</f>
        <v/>
      </c>
      <c r="F109" s="49" t="str">
        <f>IF(Tabla_Registro_Tareas2[[#This Row],[Actividad]]=Indice_Aux_Vacio,"",Indice_PROBLAM_Estudiante2)</f>
        <v/>
      </c>
      <c r="G109" s="7"/>
      <c r="H109" s="8"/>
      <c r="I109" s="9"/>
      <c r="K109" s="12" t="str" cm="1">
        <f t="array" ref="K109">IF($B109&lt;&gt;"",TRANSPOSE(_xlfn._xlws.FILTER(plan!$C$4:$C$52, ($B109 &gt;= (plan!$J$4:$J$52-Indice_Plan_ExtensionPlazo))*($B109 &lt;= (plan!$K$4:$K$52+Indice_Plan_ExtensionPlazo)), "")), "")</f>
        <v/>
      </c>
      <c r="BH109" s="4"/>
    </row>
    <row r="110" spans="2:60" x14ac:dyDescent="0.3">
      <c r="B110" s="6"/>
      <c r="C110" s="10"/>
      <c r="D110" s="48" t="str">
        <f>IF(Tabla_Registro_Tareas2[[#This Row],[Actividad]]=Indice_Aux_Vacio,"",IFERROR(INDEX(plan!$D$4:$D$52,MATCH(Tabla_Registro_Tareas2[[#This Row],[Actividad]],plan!$C$4:$C$52,0)),""))</f>
        <v/>
      </c>
      <c r="E110" s="48" t="str">
        <f>IFERROR(INDEX(plan!$E$4:$E$52,MATCH(Tabla_Registro_Tareas2[[#This Row],[Actividad]],plan!$C$4:$C$52,0)),"")</f>
        <v/>
      </c>
      <c r="F110" s="49" t="str">
        <f>IF(Tabla_Registro_Tareas2[[#This Row],[Actividad]]=Indice_Aux_Vacio,"",Indice_PROBLAM_Estudiante2)</f>
        <v/>
      </c>
      <c r="G110" s="7"/>
      <c r="H110" s="8"/>
      <c r="I110" s="9"/>
      <c r="K110" s="12" t="str" cm="1">
        <f t="array" ref="K110">IF($B110&lt;&gt;"",TRANSPOSE(_xlfn._xlws.FILTER(plan!$C$4:$C$52, ($B110 &gt;= (plan!$J$4:$J$52-Indice_Plan_ExtensionPlazo))*($B110 &lt;= (plan!$K$4:$K$52+Indice_Plan_ExtensionPlazo)), "")), "")</f>
        <v/>
      </c>
      <c r="BH110" s="4"/>
    </row>
    <row r="111" spans="2:60" x14ac:dyDescent="0.3">
      <c r="B111" s="6"/>
      <c r="C111" s="10"/>
      <c r="D111" s="48" t="str">
        <f>IF(Tabla_Registro_Tareas2[[#This Row],[Actividad]]=Indice_Aux_Vacio,"",IFERROR(INDEX(plan!$D$4:$D$52,MATCH(Tabla_Registro_Tareas2[[#This Row],[Actividad]],plan!$C$4:$C$52,0)),""))</f>
        <v/>
      </c>
      <c r="E111" s="48" t="str">
        <f>IFERROR(INDEX(plan!$E$4:$E$52,MATCH(Tabla_Registro_Tareas2[[#This Row],[Actividad]],plan!$C$4:$C$52,0)),"")</f>
        <v/>
      </c>
      <c r="F111" s="49" t="str">
        <f>IF(Tabla_Registro_Tareas2[[#This Row],[Actividad]]=Indice_Aux_Vacio,"",Indice_PROBLAM_Estudiante2)</f>
        <v/>
      </c>
      <c r="G111" s="7"/>
      <c r="H111" s="8"/>
      <c r="I111" s="9"/>
      <c r="K111" s="12" t="str" cm="1">
        <f t="array" ref="K111">IF($B111&lt;&gt;"",TRANSPOSE(_xlfn._xlws.FILTER(plan!$C$4:$C$52, ($B111 &gt;= (plan!$J$4:$J$52-Indice_Plan_ExtensionPlazo))*($B111 &lt;= (plan!$K$4:$K$52+Indice_Plan_ExtensionPlazo)), "")), "")</f>
        <v/>
      </c>
      <c r="BH111" s="4"/>
    </row>
    <row r="112" spans="2:60" x14ac:dyDescent="0.3">
      <c r="B112" s="6"/>
      <c r="C112" s="10"/>
      <c r="D112" s="48" t="str">
        <f>IF(Tabla_Registro_Tareas2[[#This Row],[Actividad]]=Indice_Aux_Vacio,"",IFERROR(INDEX(plan!$D$4:$D$52,MATCH(Tabla_Registro_Tareas2[[#This Row],[Actividad]],plan!$C$4:$C$52,0)),""))</f>
        <v/>
      </c>
      <c r="E112" s="48" t="str">
        <f>IFERROR(INDEX(plan!$E$4:$E$52,MATCH(Tabla_Registro_Tareas2[[#This Row],[Actividad]],plan!$C$4:$C$52,0)),"")</f>
        <v/>
      </c>
      <c r="F112" s="49" t="str">
        <f>IF(Tabla_Registro_Tareas2[[#This Row],[Actividad]]=Indice_Aux_Vacio,"",Indice_PROBLAM_Estudiante2)</f>
        <v/>
      </c>
      <c r="G112" s="7"/>
      <c r="H112" s="8"/>
      <c r="I112" s="9"/>
      <c r="K112" s="12" t="str" cm="1">
        <f t="array" ref="K112">IF($B112&lt;&gt;"",TRANSPOSE(_xlfn._xlws.FILTER(plan!$C$4:$C$52, ($B112 &gt;= (plan!$J$4:$J$52-Indice_Plan_ExtensionPlazo))*($B112 &lt;= (plan!$K$4:$K$52+Indice_Plan_ExtensionPlazo)), "")), "")</f>
        <v/>
      </c>
      <c r="BH112" s="4"/>
    </row>
    <row r="113" spans="2:60" x14ac:dyDescent="0.3">
      <c r="B113" s="6"/>
      <c r="C113" s="10"/>
      <c r="D113" s="48" t="str">
        <f>IF(Tabla_Registro_Tareas2[[#This Row],[Actividad]]=Indice_Aux_Vacio,"",IFERROR(INDEX(plan!$D$4:$D$52,MATCH(Tabla_Registro_Tareas2[[#This Row],[Actividad]],plan!$C$4:$C$52,0)),""))</f>
        <v/>
      </c>
      <c r="E113" s="48" t="str">
        <f>IFERROR(INDEX(plan!$E$4:$E$52,MATCH(Tabla_Registro_Tareas2[[#This Row],[Actividad]],plan!$C$4:$C$52,0)),"")</f>
        <v/>
      </c>
      <c r="F113" s="49" t="str">
        <f>IF(Tabla_Registro_Tareas2[[#This Row],[Actividad]]=Indice_Aux_Vacio,"",Indice_PROBLAM_Estudiante2)</f>
        <v/>
      </c>
      <c r="G113" s="7"/>
      <c r="H113" s="8"/>
      <c r="I113" s="9"/>
      <c r="K113" s="12" t="str" cm="1">
        <f t="array" ref="K113">IF($B113&lt;&gt;"",TRANSPOSE(_xlfn._xlws.FILTER(plan!$C$4:$C$52, ($B113 &gt;= (plan!$J$4:$J$52-Indice_Plan_ExtensionPlazo))*($B113 &lt;= (plan!$K$4:$K$52+Indice_Plan_ExtensionPlazo)), "")), "")</f>
        <v/>
      </c>
      <c r="BH113" s="4"/>
    </row>
    <row r="114" spans="2:60" x14ac:dyDescent="0.3">
      <c r="B114" s="6"/>
      <c r="C114" s="10"/>
      <c r="D114" s="48" t="str">
        <f>IF(Tabla_Registro_Tareas2[[#This Row],[Actividad]]=Indice_Aux_Vacio,"",IFERROR(INDEX(plan!$D$4:$D$52,MATCH(Tabla_Registro_Tareas2[[#This Row],[Actividad]],plan!$C$4:$C$52,0)),""))</f>
        <v/>
      </c>
      <c r="E114" s="48" t="str">
        <f>IFERROR(INDEX(plan!$E$4:$E$52,MATCH(Tabla_Registro_Tareas2[[#This Row],[Actividad]],plan!$C$4:$C$52,0)),"")</f>
        <v/>
      </c>
      <c r="F114" s="49" t="str">
        <f>IF(Tabla_Registro_Tareas2[[#This Row],[Actividad]]=Indice_Aux_Vacio,"",Indice_PROBLAM_Estudiante2)</f>
        <v/>
      </c>
      <c r="G114" s="7"/>
      <c r="H114" s="8"/>
      <c r="I114" s="9"/>
      <c r="K114" s="12" t="str" cm="1">
        <f t="array" ref="K114">IF($B114&lt;&gt;"",TRANSPOSE(_xlfn._xlws.FILTER(plan!$C$4:$C$52, ($B114 &gt;= (plan!$J$4:$J$52-Indice_Plan_ExtensionPlazo))*($B114 &lt;= (plan!$K$4:$K$52+Indice_Plan_ExtensionPlazo)), "")), "")</f>
        <v/>
      </c>
      <c r="BH114" s="4"/>
    </row>
    <row r="115" spans="2:60" x14ac:dyDescent="0.3">
      <c r="B115" s="6"/>
      <c r="C115" s="10"/>
      <c r="D115" s="48" t="str">
        <f>IF(Tabla_Registro_Tareas2[[#This Row],[Actividad]]=Indice_Aux_Vacio,"",IFERROR(INDEX(plan!$D$4:$D$52,MATCH(Tabla_Registro_Tareas2[[#This Row],[Actividad]],plan!$C$4:$C$52,0)),""))</f>
        <v/>
      </c>
      <c r="E115" s="48" t="str">
        <f>IFERROR(INDEX(plan!$E$4:$E$52,MATCH(Tabla_Registro_Tareas2[[#This Row],[Actividad]],plan!$C$4:$C$52,0)),"")</f>
        <v/>
      </c>
      <c r="F115" s="49" t="str">
        <f>IF(Tabla_Registro_Tareas2[[#This Row],[Actividad]]=Indice_Aux_Vacio,"",Indice_PROBLAM_Estudiante2)</f>
        <v/>
      </c>
      <c r="G115" s="7"/>
      <c r="H115" s="8"/>
      <c r="I115" s="9"/>
      <c r="K115" s="12" t="str" cm="1">
        <f t="array" ref="K115">IF($B115&lt;&gt;"",TRANSPOSE(_xlfn._xlws.FILTER(plan!$C$4:$C$52, ($B115 &gt;= (plan!$J$4:$J$52-Indice_Plan_ExtensionPlazo))*($B115 &lt;= (plan!$K$4:$K$52+Indice_Plan_ExtensionPlazo)), "")), "")</f>
        <v/>
      </c>
      <c r="BH115" s="4"/>
    </row>
    <row r="116" spans="2:60" x14ac:dyDescent="0.3">
      <c r="B116" s="6"/>
      <c r="C116" s="10"/>
      <c r="D116" s="48" t="str">
        <f>IF(Tabla_Registro_Tareas2[[#This Row],[Actividad]]=Indice_Aux_Vacio,"",IFERROR(INDEX(plan!$D$4:$D$52,MATCH(Tabla_Registro_Tareas2[[#This Row],[Actividad]],plan!$C$4:$C$52,0)),""))</f>
        <v/>
      </c>
      <c r="E116" s="48" t="str">
        <f>IFERROR(INDEX(plan!$E$4:$E$52,MATCH(Tabla_Registro_Tareas2[[#This Row],[Actividad]],plan!$C$4:$C$52,0)),"")</f>
        <v/>
      </c>
      <c r="F116" s="49" t="str">
        <f>IF(Tabla_Registro_Tareas2[[#This Row],[Actividad]]=Indice_Aux_Vacio,"",Indice_PROBLAM_Estudiante2)</f>
        <v/>
      </c>
      <c r="G116" s="7"/>
      <c r="H116" s="8"/>
      <c r="I116" s="9"/>
      <c r="K116" s="12" t="str" cm="1">
        <f t="array" ref="K116">IF($B116&lt;&gt;"",TRANSPOSE(_xlfn._xlws.FILTER(plan!$C$4:$C$52, ($B116 &gt;= (plan!$J$4:$J$52-Indice_Plan_ExtensionPlazo))*($B116 &lt;= (plan!$K$4:$K$52+Indice_Plan_ExtensionPlazo)), "")), "")</f>
        <v/>
      </c>
      <c r="BH116" s="4"/>
    </row>
    <row r="117" spans="2:60" x14ac:dyDescent="0.3">
      <c r="B117" s="6"/>
      <c r="C117" s="10"/>
      <c r="D117" s="48" t="str">
        <f>IF(Tabla_Registro_Tareas2[[#This Row],[Actividad]]=Indice_Aux_Vacio,"",IFERROR(INDEX(plan!$D$4:$D$52,MATCH(Tabla_Registro_Tareas2[[#This Row],[Actividad]],plan!$C$4:$C$52,0)),""))</f>
        <v/>
      </c>
      <c r="E117" s="48" t="str">
        <f>IFERROR(INDEX(plan!$E$4:$E$52,MATCH(Tabla_Registro_Tareas2[[#This Row],[Actividad]],plan!$C$4:$C$52,0)),"")</f>
        <v/>
      </c>
      <c r="F117" s="49" t="str">
        <f>IF(Tabla_Registro_Tareas2[[#This Row],[Actividad]]=Indice_Aux_Vacio,"",Indice_PROBLAM_Estudiante2)</f>
        <v/>
      </c>
      <c r="G117" s="7"/>
      <c r="H117" s="8"/>
      <c r="I117" s="9"/>
      <c r="K117" s="12" t="str" cm="1">
        <f t="array" ref="K117">IF($B117&lt;&gt;"",TRANSPOSE(_xlfn._xlws.FILTER(plan!$C$4:$C$52, ($B117 &gt;= (plan!$J$4:$J$52-Indice_Plan_ExtensionPlazo))*($B117 &lt;= (plan!$K$4:$K$52+Indice_Plan_ExtensionPlazo)), "")), "")</f>
        <v/>
      </c>
      <c r="BH117" s="4"/>
    </row>
    <row r="118" spans="2:60" x14ac:dyDescent="0.3">
      <c r="B118" s="6"/>
      <c r="C118" s="10"/>
      <c r="D118" s="48" t="str">
        <f>IF(Tabla_Registro_Tareas2[[#This Row],[Actividad]]=Indice_Aux_Vacio,"",IFERROR(INDEX(plan!$D$4:$D$52,MATCH(Tabla_Registro_Tareas2[[#This Row],[Actividad]],plan!$C$4:$C$52,0)),""))</f>
        <v/>
      </c>
      <c r="E118" s="48" t="str">
        <f>IFERROR(INDEX(plan!$E$4:$E$52,MATCH(Tabla_Registro_Tareas2[[#This Row],[Actividad]],plan!$C$4:$C$52,0)),"")</f>
        <v/>
      </c>
      <c r="F118" s="49" t="str">
        <f>IF(Tabla_Registro_Tareas2[[#This Row],[Actividad]]=Indice_Aux_Vacio,"",Indice_PROBLAM_Estudiante2)</f>
        <v/>
      </c>
      <c r="G118" s="7"/>
      <c r="H118" s="8"/>
      <c r="I118" s="9"/>
      <c r="K118" s="12" t="str" cm="1">
        <f t="array" ref="K118">IF($B118&lt;&gt;"",TRANSPOSE(_xlfn._xlws.FILTER(plan!$C$4:$C$52, ($B118 &gt;= (plan!$J$4:$J$52-Indice_Plan_ExtensionPlazo))*($B118 &lt;= (plan!$K$4:$K$52+Indice_Plan_ExtensionPlazo)), "")), "")</f>
        <v/>
      </c>
      <c r="BH118" s="4"/>
    </row>
    <row r="119" spans="2:60" x14ac:dyDescent="0.3">
      <c r="B119" s="6"/>
      <c r="C119" s="10"/>
      <c r="D119" s="48" t="str">
        <f>IF(Tabla_Registro_Tareas2[[#This Row],[Actividad]]=Indice_Aux_Vacio,"",IFERROR(INDEX(plan!$D$4:$D$52,MATCH(Tabla_Registro_Tareas2[[#This Row],[Actividad]],plan!$C$4:$C$52,0)),""))</f>
        <v/>
      </c>
      <c r="E119" s="48" t="str">
        <f>IFERROR(INDEX(plan!$E$4:$E$52,MATCH(Tabla_Registro_Tareas2[[#This Row],[Actividad]],plan!$C$4:$C$52,0)),"")</f>
        <v/>
      </c>
      <c r="F119" s="49" t="str">
        <f>IF(Tabla_Registro_Tareas2[[#This Row],[Actividad]]=Indice_Aux_Vacio,"",Indice_PROBLAM_Estudiante2)</f>
        <v/>
      </c>
      <c r="G119" s="7"/>
      <c r="H119" s="8"/>
      <c r="I119" s="9"/>
      <c r="K119" s="12" t="str" cm="1">
        <f t="array" ref="K119">IF($B119&lt;&gt;"",TRANSPOSE(_xlfn._xlws.FILTER(plan!$C$4:$C$52, ($B119 &gt;= (plan!$J$4:$J$52-Indice_Plan_ExtensionPlazo))*($B119 &lt;= (plan!$K$4:$K$52+Indice_Plan_ExtensionPlazo)), "")), "")</f>
        <v/>
      </c>
      <c r="BH119" s="4"/>
    </row>
    <row r="120" spans="2:60" x14ac:dyDescent="0.3">
      <c r="B120" s="6"/>
      <c r="C120" s="10"/>
      <c r="D120" s="48" t="str">
        <f>IF(Tabla_Registro_Tareas2[[#This Row],[Actividad]]=Indice_Aux_Vacio,"",IFERROR(INDEX(plan!$D$4:$D$52,MATCH(Tabla_Registro_Tareas2[[#This Row],[Actividad]],plan!$C$4:$C$52,0)),""))</f>
        <v/>
      </c>
      <c r="E120" s="48" t="str">
        <f>IFERROR(INDEX(plan!$E$4:$E$52,MATCH(Tabla_Registro_Tareas2[[#This Row],[Actividad]],plan!$C$4:$C$52,0)),"")</f>
        <v/>
      </c>
      <c r="F120" s="49" t="str">
        <f>IF(Tabla_Registro_Tareas2[[#This Row],[Actividad]]=Indice_Aux_Vacio,"",Indice_PROBLAM_Estudiante2)</f>
        <v/>
      </c>
      <c r="G120" s="7"/>
      <c r="H120" s="8"/>
      <c r="I120" s="9"/>
      <c r="K120" s="12" t="str" cm="1">
        <f t="array" ref="K120">IF($B120&lt;&gt;"",TRANSPOSE(_xlfn._xlws.FILTER(plan!$C$4:$C$52, ($B120 &gt;= (plan!$J$4:$J$52-Indice_Plan_ExtensionPlazo))*($B120 &lt;= (plan!$K$4:$K$52+Indice_Plan_ExtensionPlazo)), "")), "")</f>
        <v/>
      </c>
      <c r="BH120" s="4"/>
    </row>
    <row r="121" spans="2:60" x14ac:dyDescent="0.3">
      <c r="B121" s="6"/>
      <c r="C121" s="10"/>
      <c r="D121" s="48" t="str">
        <f>IF(Tabla_Registro_Tareas2[[#This Row],[Actividad]]=Indice_Aux_Vacio,"",IFERROR(INDEX(plan!$D$4:$D$52,MATCH(Tabla_Registro_Tareas2[[#This Row],[Actividad]],plan!$C$4:$C$52,0)),""))</f>
        <v/>
      </c>
      <c r="E121" s="48" t="str">
        <f>IFERROR(INDEX(plan!$E$4:$E$52,MATCH(Tabla_Registro_Tareas2[[#This Row],[Actividad]],plan!$C$4:$C$52,0)),"")</f>
        <v/>
      </c>
      <c r="F121" s="49" t="str">
        <f>IF(Tabla_Registro_Tareas2[[#This Row],[Actividad]]=Indice_Aux_Vacio,"",Indice_PROBLAM_Estudiante2)</f>
        <v/>
      </c>
      <c r="G121" s="7"/>
      <c r="H121" s="8"/>
      <c r="I121" s="9"/>
      <c r="K121" s="12" t="str" cm="1">
        <f t="array" ref="K121">IF($B121&lt;&gt;"",TRANSPOSE(_xlfn._xlws.FILTER(plan!$C$4:$C$52, ($B121 &gt;= (plan!$J$4:$J$52-Indice_Plan_ExtensionPlazo))*($B121 &lt;= (plan!$K$4:$K$52+Indice_Plan_ExtensionPlazo)), "")), "")</f>
        <v/>
      </c>
      <c r="BH121" s="4"/>
    </row>
    <row r="122" spans="2:60" x14ac:dyDescent="0.3">
      <c r="B122" s="6"/>
      <c r="C122" s="10"/>
      <c r="D122" s="48" t="str">
        <f>IF(Tabla_Registro_Tareas2[[#This Row],[Actividad]]=Indice_Aux_Vacio,"",IFERROR(INDEX(plan!$D$4:$D$52,MATCH(Tabla_Registro_Tareas2[[#This Row],[Actividad]],plan!$C$4:$C$52,0)),""))</f>
        <v/>
      </c>
      <c r="E122" s="48" t="str">
        <f>IFERROR(INDEX(plan!$E$4:$E$52,MATCH(Tabla_Registro_Tareas2[[#This Row],[Actividad]],plan!$C$4:$C$52,0)),"")</f>
        <v/>
      </c>
      <c r="F122" s="49" t="str">
        <f>IF(Tabla_Registro_Tareas2[[#This Row],[Actividad]]=Indice_Aux_Vacio,"",Indice_PROBLAM_Estudiante2)</f>
        <v/>
      </c>
      <c r="G122" s="7"/>
      <c r="H122" s="8"/>
      <c r="I122" s="9"/>
      <c r="K122" s="12" t="str" cm="1">
        <f t="array" ref="K122">IF($B122&lt;&gt;"",TRANSPOSE(_xlfn._xlws.FILTER(plan!$C$4:$C$52, ($B122 &gt;= (plan!$J$4:$J$52-Indice_Plan_ExtensionPlazo))*($B122 &lt;= (plan!$K$4:$K$52+Indice_Plan_ExtensionPlazo)), "")), "")</f>
        <v/>
      </c>
      <c r="BH122" s="4"/>
    </row>
    <row r="123" spans="2:60" x14ac:dyDescent="0.3">
      <c r="B123" s="6"/>
      <c r="C123" s="10"/>
      <c r="D123" s="48" t="str">
        <f>IF(Tabla_Registro_Tareas2[[#This Row],[Actividad]]=Indice_Aux_Vacio,"",IFERROR(INDEX(plan!$D$4:$D$52,MATCH(Tabla_Registro_Tareas2[[#This Row],[Actividad]],plan!$C$4:$C$52,0)),""))</f>
        <v/>
      </c>
      <c r="E123" s="48" t="str">
        <f>IFERROR(INDEX(plan!$E$4:$E$52,MATCH(Tabla_Registro_Tareas2[[#This Row],[Actividad]],plan!$C$4:$C$52,0)),"")</f>
        <v/>
      </c>
      <c r="F123" s="49" t="str">
        <f>IF(Tabla_Registro_Tareas2[[#This Row],[Actividad]]=Indice_Aux_Vacio,"",Indice_PROBLAM_Estudiante2)</f>
        <v/>
      </c>
      <c r="G123" s="7"/>
      <c r="H123" s="8"/>
      <c r="I123" s="9"/>
      <c r="K123" s="12" t="str" cm="1">
        <f t="array" ref="K123">IF($B123&lt;&gt;"",TRANSPOSE(_xlfn._xlws.FILTER(plan!$C$4:$C$52, ($B123 &gt;= (plan!$J$4:$J$52-Indice_Plan_ExtensionPlazo))*($B123 &lt;= (plan!$K$4:$K$52+Indice_Plan_ExtensionPlazo)), "")), "")</f>
        <v/>
      </c>
      <c r="BH123" s="4"/>
    </row>
    <row r="124" spans="2:60" x14ac:dyDescent="0.3">
      <c r="B124" s="6"/>
      <c r="C124" s="10"/>
      <c r="D124" s="48" t="str">
        <f>IF(Tabla_Registro_Tareas2[[#This Row],[Actividad]]=Indice_Aux_Vacio,"",IFERROR(INDEX(plan!$D$4:$D$52,MATCH(Tabla_Registro_Tareas2[[#This Row],[Actividad]],plan!$C$4:$C$52,0)),""))</f>
        <v/>
      </c>
      <c r="E124" s="48" t="str">
        <f>IFERROR(INDEX(plan!$E$4:$E$52,MATCH(Tabla_Registro_Tareas2[[#This Row],[Actividad]],plan!$C$4:$C$52,0)),"")</f>
        <v/>
      </c>
      <c r="F124" s="49" t="str">
        <f>IF(Tabla_Registro_Tareas2[[#This Row],[Actividad]]=Indice_Aux_Vacio,"",Indice_PROBLAM_Estudiante2)</f>
        <v/>
      </c>
      <c r="G124" s="7"/>
      <c r="H124" s="8"/>
      <c r="I124" s="9"/>
      <c r="K124" s="12" t="str" cm="1">
        <f t="array" ref="K124">IF($B124&lt;&gt;"",TRANSPOSE(_xlfn._xlws.FILTER(plan!$C$4:$C$52, ($B124 &gt;= (plan!$J$4:$J$52-Indice_Plan_ExtensionPlazo))*($B124 &lt;= (plan!$K$4:$K$52+Indice_Plan_ExtensionPlazo)), "")), "")</f>
        <v/>
      </c>
      <c r="BH124" s="4"/>
    </row>
    <row r="125" spans="2:60" x14ac:dyDescent="0.3">
      <c r="B125" s="6"/>
      <c r="C125" s="10"/>
      <c r="D125" s="48" t="str">
        <f>IF(Tabla_Registro_Tareas2[[#This Row],[Actividad]]=Indice_Aux_Vacio,"",IFERROR(INDEX(plan!$D$4:$D$52,MATCH(Tabla_Registro_Tareas2[[#This Row],[Actividad]],plan!$C$4:$C$52,0)),""))</f>
        <v/>
      </c>
      <c r="E125" s="48" t="str">
        <f>IFERROR(INDEX(plan!$E$4:$E$52,MATCH(Tabla_Registro_Tareas2[[#This Row],[Actividad]],plan!$C$4:$C$52,0)),"")</f>
        <v/>
      </c>
      <c r="F125" s="49" t="str">
        <f>IF(Tabla_Registro_Tareas2[[#This Row],[Actividad]]=Indice_Aux_Vacio,"",Indice_PROBLAM_Estudiante2)</f>
        <v/>
      </c>
      <c r="G125" s="7"/>
      <c r="H125" s="8"/>
      <c r="I125" s="9"/>
      <c r="K125" s="12" t="str" cm="1">
        <f t="array" ref="K125">IF($B125&lt;&gt;"",TRANSPOSE(_xlfn._xlws.FILTER(plan!$C$4:$C$52, ($B125 &gt;= (plan!$J$4:$J$52-Indice_Plan_ExtensionPlazo))*($B125 &lt;= (plan!$K$4:$K$52+Indice_Plan_ExtensionPlazo)), "")), "")</f>
        <v/>
      </c>
      <c r="BH125" s="4"/>
    </row>
    <row r="126" spans="2:60" x14ac:dyDescent="0.3">
      <c r="B126" s="6"/>
      <c r="C126" s="10"/>
      <c r="D126" s="48" t="str">
        <f>IF(Tabla_Registro_Tareas2[[#This Row],[Actividad]]=Indice_Aux_Vacio,"",IFERROR(INDEX(plan!$D$4:$D$52,MATCH(Tabla_Registro_Tareas2[[#This Row],[Actividad]],plan!$C$4:$C$52,0)),""))</f>
        <v/>
      </c>
      <c r="E126" s="48" t="str">
        <f>IFERROR(INDEX(plan!$E$4:$E$52,MATCH(Tabla_Registro_Tareas2[[#This Row],[Actividad]],plan!$C$4:$C$52,0)),"")</f>
        <v/>
      </c>
      <c r="F126" s="49" t="str">
        <f>IF(Tabla_Registro_Tareas2[[#This Row],[Actividad]]=Indice_Aux_Vacio,"",Indice_PROBLAM_Estudiante2)</f>
        <v/>
      </c>
      <c r="G126" s="7"/>
      <c r="H126" s="8"/>
      <c r="I126" s="9"/>
      <c r="K126" s="12" t="str" cm="1">
        <f t="array" ref="K126">IF($B126&lt;&gt;"",TRANSPOSE(_xlfn._xlws.FILTER(plan!$C$4:$C$52, ($B126 &gt;= (plan!$J$4:$J$52-Indice_Plan_ExtensionPlazo))*($B126 &lt;= (plan!$K$4:$K$52+Indice_Plan_ExtensionPlazo)), "")), "")</f>
        <v/>
      </c>
      <c r="BH126" s="4"/>
    </row>
    <row r="127" spans="2:60" x14ac:dyDescent="0.3">
      <c r="B127" s="6"/>
      <c r="C127" s="10"/>
      <c r="D127" s="48" t="str">
        <f>IF(Tabla_Registro_Tareas2[[#This Row],[Actividad]]=Indice_Aux_Vacio,"",IFERROR(INDEX(plan!$D$4:$D$52,MATCH(Tabla_Registro_Tareas2[[#This Row],[Actividad]],plan!$C$4:$C$52,0)),""))</f>
        <v/>
      </c>
      <c r="E127" s="48" t="str">
        <f>IFERROR(INDEX(plan!$E$4:$E$52,MATCH(Tabla_Registro_Tareas2[[#This Row],[Actividad]],plan!$C$4:$C$52,0)),"")</f>
        <v/>
      </c>
      <c r="F127" s="49" t="str">
        <f>IF(Tabla_Registro_Tareas2[[#This Row],[Actividad]]=Indice_Aux_Vacio,"",Indice_PROBLAM_Estudiante2)</f>
        <v/>
      </c>
      <c r="G127" s="7"/>
      <c r="H127" s="8"/>
      <c r="I127" s="9"/>
      <c r="K127" s="12" t="str" cm="1">
        <f t="array" ref="K127">IF($B127&lt;&gt;"",TRANSPOSE(_xlfn._xlws.FILTER(plan!$C$4:$C$52, ($B127 &gt;= (plan!$J$4:$J$52-Indice_Plan_ExtensionPlazo))*($B127 &lt;= (plan!$K$4:$K$52+Indice_Plan_ExtensionPlazo)), "")), "")</f>
        <v/>
      </c>
      <c r="BH127" s="4"/>
    </row>
    <row r="128" spans="2:60" x14ac:dyDescent="0.3">
      <c r="B128" s="6"/>
      <c r="C128" s="10"/>
      <c r="D128" s="48" t="str">
        <f>IF(Tabla_Registro_Tareas2[[#This Row],[Actividad]]=Indice_Aux_Vacio,"",IFERROR(INDEX(plan!$D$4:$D$52,MATCH(Tabla_Registro_Tareas2[[#This Row],[Actividad]],plan!$C$4:$C$52,0)),""))</f>
        <v/>
      </c>
      <c r="E128" s="48" t="str">
        <f>IFERROR(INDEX(plan!$E$4:$E$52,MATCH(Tabla_Registro_Tareas2[[#This Row],[Actividad]],plan!$C$4:$C$52,0)),"")</f>
        <v/>
      </c>
      <c r="F128" s="49" t="str">
        <f>IF(Tabla_Registro_Tareas2[[#This Row],[Actividad]]=Indice_Aux_Vacio,"",Indice_PROBLAM_Estudiante2)</f>
        <v/>
      </c>
      <c r="G128" s="7"/>
      <c r="H128" s="8"/>
      <c r="I128" s="9"/>
      <c r="K128" s="12" t="str" cm="1">
        <f t="array" ref="K128">IF($B128&lt;&gt;"",TRANSPOSE(_xlfn._xlws.FILTER(plan!$C$4:$C$52, ($B128 &gt;= (plan!$J$4:$J$52-Indice_Plan_ExtensionPlazo))*($B128 &lt;= (plan!$K$4:$K$52+Indice_Plan_ExtensionPlazo)), "")), "")</f>
        <v/>
      </c>
      <c r="BH128" s="4"/>
    </row>
    <row r="129" spans="2:60" x14ac:dyDescent="0.3">
      <c r="B129" s="6"/>
      <c r="C129" s="10"/>
      <c r="D129" s="48" t="str">
        <f>IF(Tabla_Registro_Tareas2[[#This Row],[Actividad]]=Indice_Aux_Vacio,"",IFERROR(INDEX(plan!$D$4:$D$52,MATCH(Tabla_Registro_Tareas2[[#This Row],[Actividad]],plan!$C$4:$C$52,0)),""))</f>
        <v/>
      </c>
      <c r="E129" s="48" t="str">
        <f>IFERROR(INDEX(plan!$E$4:$E$52,MATCH(Tabla_Registro_Tareas2[[#This Row],[Actividad]],plan!$C$4:$C$52,0)),"")</f>
        <v/>
      </c>
      <c r="F129" s="49" t="str">
        <f>IF(Tabla_Registro_Tareas2[[#This Row],[Actividad]]=Indice_Aux_Vacio,"",Indice_PROBLAM_Estudiante2)</f>
        <v/>
      </c>
      <c r="G129" s="7"/>
      <c r="H129" s="8"/>
      <c r="I129" s="9"/>
      <c r="K129" s="12" t="str" cm="1">
        <f t="array" ref="K129">IF($B129&lt;&gt;"",TRANSPOSE(_xlfn._xlws.FILTER(plan!$C$4:$C$52, ($B129 &gt;= (plan!$J$4:$J$52-Indice_Plan_ExtensionPlazo))*($B129 &lt;= (plan!$K$4:$K$52+Indice_Plan_ExtensionPlazo)), "")), "")</f>
        <v/>
      </c>
      <c r="BH129" s="4"/>
    </row>
    <row r="130" spans="2:60" x14ac:dyDescent="0.3">
      <c r="B130" s="6"/>
      <c r="C130" s="10"/>
      <c r="D130" s="48" t="str">
        <f>IF(Tabla_Registro_Tareas2[[#This Row],[Actividad]]=Indice_Aux_Vacio,"",IFERROR(INDEX(plan!$D$4:$D$52,MATCH(Tabla_Registro_Tareas2[[#This Row],[Actividad]],plan!$C$4:$C$52,0)),""))</f>
        <v/>
      </c>
      <c r="E130" s="48" t="str">
        <f>IFERROR(INDEX(plan!$E$4:$E$52,MATCH(Tabla_Registro_Tareas2[[#This Row],[Actividad]],plan!$C$4:$C$52,0)),"")</f>
        <v/>
      </c>
      <c r="F130" s="49" t="str">
        <f>IF(Tabla_Registro_Tareas2[[#This Row],[Actividad]]=Indice_Aux_Vacio,"",Indice_PROBLAM_Estudiante2)</f>
        <v/>
      </c>
      <c r="G130" s="7"/>
      <c r="H130" s="8"/>
      <c r="I130" s="9"/>
      <c r="K130" s="12" t="str" cm="1">
        <f t="array" ref="K130">IF($B130&lt;&gt;"",TRANSPOSE(_xlfn._xlws.FILTER(plan!$C$4:$C$52, ($B130 &gt;= (plan!$J$4:$J$52-Indice_Plan_ExtensionPlazo))*($B130 &lt;= (plan!$K$4:$K$52+Indice_Plan_ExtensionPlazo)), "")), "")</f>
        <v/>
      </c>
      <c r="BH130" s="4"/>
    </row>
    <row r="131" spans="2:60" x14ac:dyDescent="0.3">
      <c r="B131" s="6"/>
      <c r="C131" s="10"/>
      <c r="D131" s="48" t="str">
        <f>IF(Tabla_Registro_Tareas2[[#This Row],[Actividad]]=Indice_Aux_Vacio,"",IFERROR(INDEX(plan!$D$4:$D$52,MATCH(Tabla_Registro_Tareas2[[#This Row],[Actividad]],plan!$C$4:$C$52,0)),""))</f>
        <v/>
      </c>
      <c r="E131" s="48" t="str">
        <f>IFERROR(INDEX(plan!$E$4:$E$52,MATCH(Tabla_Registro_Tareas2[[#This Row],[Actividad]],plan!$C$4:$C$52,0)),"")</f>
        <v/>
      </c>
      <c r="F131" s="49" t="str">
        <f>IF(Tabla_Registro_Tareas2[[#This Row],[Actividad]]=Indice_Aux_Vacio,"",Indice_PROBLAM_Estudiante2)</f>
        <v/>
      </c>
      <c r="G131" s="7"/>
      <c r="H131" s="8"/>
      <c r="I131" s="9"/>
      <c r="K131" s="12" t="str" cm="1">
        <f t="array" ref="K131">IF($B131&lt;&gt;"",TRANSPOSE(_xlfn._xlws.FILTER(plan!$C$4:$C$52, ($B131 &gt;= (plan!$J$4:$J$52-Indice_Plan_ExtensionPlazo))*($B131 &lt;= (plan!$K$4:$K$52+Indice_Plan_ExtensionPlazo)), "")), "")</f>
        <v/>
      </c>
      <c r="BH131" s="4"/>
    </row>
    <row r="132" spans="2:60" x14ac:dyDescent="0.3">
      <c r="B132" s="6"/>
      <c r="C132" s="10"/>
      <c r="D132" s="48" t="str">
        <f>IF(Tabla_Registro_Tareas2[[#This Row],[Actividad]]=Indice_Aux_Vacio,"",IFERROR(INDEX(plan!$D$4:$D$52,MATCH(Tabla_Registro_Tareas2[[#This Row],[Actividad]],plan!$C$4:$C$52,0)),""))</f>
        <v/>
      </c>
      <c r="E132" s="48" t="str">
        <f>IFERROR(INDEX(plan!$E$4:$E$52,MATCH(Tabla_Registro_Tareas2[[#This Row],[Actividad]],plan!$C$4:$C$52,0)),"")</f>
        <v/>
      </c>
      <c r="F132" s="49" t="str">
        <f>IF(Tabla_Registro_Tareas2[[#This Row],[Actividad]]=Indice_Aux_Vacio,"",Indice_PROBLAM_Estudiante2)</f>
        <v/>
      </c>
      <c r="G132" s="7"/>
      <c r="H132" s="8"/>
      <c r="I132" s="9"/>
      <c r="K132" s="12" t="str" cm="1">
        <f t="array" ref="K132">IF($B132&lt;&gt;"",TRANSPOSE(_xlfn._xlws.FILTER(plan!$C$4:$C$52, ($B132 &gt;= (plan!$J$4:$J$52-Indice_Plan_ExtensionPlazo))*($B132 &lt;= (plan!$K$4:$K$52+Indice_Plan_ExtensionPlazo)), "")), "")</f>
        <v/>
      </c>
      <c r="BH132" s="4"/>
    </row>
    <row r="133" spans="2:60" x14ac:dyDescent="0.3">
      <c r="B133" s="6"/>
      <c r="C133" s="10"/>
      <c r="D133" s="48" t="str">
        <f>IF(Tabla_Registro_Tareas2[[#This Row],[Actividad]]=Indice_Aux_Vacio,"",IFERROR(INDEX(plan!$D$4:$D$52,MATCH(Tabla_Registro_Tareas2[[#This Row],[Actividad]],plan!$C$4:$C$52,0)),""))</f>
        <v/>
      </c>
      <c r="E133" s="48" t="str">
        <f>IFERROR(INDEX(plan!$E$4:$E$52,MATCH(Tabla_Registro_Tareas2[[#This Row],[Actividad]],plan!$C$4:$C$52,0)),"")</f>
        <v/>
      </c>
      <c r="F133" s="49" t="str">
        <f>IF(Tabla_Registro_Tareas2[[#This Row],[Actividad]]=Indice_Aux_Vacio,"",Indice_PROBLAM_Estudiante2)</f>
        <v/>
      </c>
      <c r="G133" s="7"/>
      <c r="H133" s="8"/>
      <c r="I133" s="9"/>
      <c r="K133" s="12" t="str" cm="1">
        <f t="array" ref="K133">IF($B133&lt;&gt;"",TRANSPOSE(_xlfn._xlws.FILTER(plan!$C$4:$C$52, ($B133 &gt;= (plan!$J$4:$J$52-Indice_Plan_ExtensionPlazo))*($B133 &lt;= (plan!$K$4:$K$52+Indice_Plan_ExtensionPlazo)), "")), "")</f>
        <v/>
      </c>
      <c r="BH133" s="4"/>
    </row>
    <row r="134" spans="2:60" x14ac:dyDescent="0.3">
      <c r="B134" s="6"/>
      <c r="C134" s="10"/>
      <c r="D134" s="48" t="str">
        <f>IF(Tabla_Registro_Tareas2[[#This Row],[Actividad]]=Indice_Aux_Vacio,"",IFERROR(INDEX(plan!$D$4:$D$52,MATCH(Tabla_Registro_Tareas2[[#This Row],[Actividad]],plan!$C$4:$C$52,0)),""))</f>
        <v/>
      </c>
      <c r="E134" s="48" t="str">
        <f>IFERROR(INDEX(plan!$E$4:$E$52,MATCH(Tabla_Registro_Tareas2[[#This Row],[Actividad]],plan!$C$4:$C$52,0)),"")</f>
        <v/>
      </c>
      <c r="F134" s="49" t="str">
        <f>IF(Tabla_Registro_Tareas2[[#This Row],[Actividad]]=Indice_Aux_Vacio,"",Indice_PROBLAM_Estudiante2)</f>
        <v/>
      </c>
      <c r="G134" s="7"/>
      <c r="H134" s="8"/>
      <c r="I134" s="9"/>
      <c r="K134" s="12" t="str" cm="1">
        <f t="array" ref="K134">IF($B134&lt;&gt;"",TRANSPOSE(_xlfn._xlws.FILTER(plan!$C$4:$C$52, ($B134 &gt;= (plan!$J$4:$J$52-Indice_Plan_ExtensionPlazo))*($B134 &lt;= (plan!$K$4:$K$52+Indice_Plan_ExtensionPlazo)), "")), "")</f>
        <v/>
      </c>
      <c r="BH134" s="4"/>
    </row>
    <row r="135" spans="2:60" x14ac:dyDescent="0.3">
      <c r="B135" s="6"/>
      <c r="C135" s="10"/>
      <c r="D135" s="48" t="str">
        <f>IF(Tabla_Registro_Tareas2[[#This Row],[Actividad]]=Indice_Aux_Vacio,"",IFERROR(INDEX(plan!$D$4:$D$52,MATCH(Tabla_Registro_Tareas2[[#This Row],[Actividad]],plan!$C$4:$C$52,0)),""))</f>
        <v/>
      </c>
      <c r="E135" s="48" t="str">
        <f>IFERROR(INDEX(plan!$E$4:$E$52,MATCH(Tabla_Registro_Tareas2[[#This Row],[Actividad]],plan!$C$4:$C$52,0)),"")</f>
        <v/>
      </c>
      <c r="F135" s="49" t="str">
        <f>IF(Tabla_Registro_Tareas2[[#This Row],[Actividad]]=Indice_Aux_Vacio,"",Indice_PROBLAM_Estudiante2)</f>
        <v/>
      </c>
      <c r="G135" s="7"/>
      <c r="H135" s="8"/>
      <c r="I135" s="9"/>
      <c r="K135" s="12" t="str" cm="1">
        <f t="array" ref="K135">IF($B135&lt;&gt;"",TRANSPOSE(_xlfn._xlws.FILTER(plan!$C$4:$C$52, ($B135 &gt;= (plan!$J$4:$J$52-Indice_Plan_ExtensionPlazo))*($B135 &lt;= (plan!$K$4:$K$52+Indice_Plan_ExtensionPlazo)), "")), "")</f>
        <v/>
      </c>
      <c r="BH135" s="4"/>
    </row>
    <row r="136" spans="2:60" x14ac:dyDescent="0.3">
      <c r="B136" s="6"/>
      <c r="C136" s="10"/>
      <c r="D136" s="48" t="str">
        <f>IF(Tabla_Registro_Tareas2[[#This Row],[Actividad]]=Indice_Aux_Vacio,"",IFERROR(INDEX(plan!$D$4:$D$52,MATCH(Tabla_Registro_Tareas2[[#This Row],[Actividad]],plan!$C$4:$C$52,0)),""))</f>
        <v/>
      </c>
      <c r="E136" s="48" t="str">
        <f>IFERROR(INDEX(plan!$E$4:$E$52,MATCH(Tabla_Registro_Tareas2[[#This Row],[Actividad]],plan!$C$4:$C$52,0)),"")</f>
        <v/>
      </c>
      <c r="F136" s="49" t="str">
        <f>IF(Tabla_Registro_Tareas2[[#This Row],[Actividad]]=Indice_Aux_Vacio,"",Indice_PROBLAM_Estudiante2)</f>
        <v/>
      </c>
      <c r="G136" s="7"/>
      <c r="H136" s="8"/>
      <c r="I136" s="9"/>
      <c r="K136" s="12" t="str" cm="1">
        <f t="array" ref="K136">IF($B136&lt;&gt;"",TRANSPOSE(_xlfn._xlws.FILTER(plan!$C$4:$C$52, ($B136 &gt;= (plan!$J$4:$J$52-Indice_Plan_ExtensionPlazo))*($B136 &lt;= (plan!$K$4:$K$52+Indice_Plan_ExtensionPlazo)), "")), "")</f>
        <v/>
      </c>
      <c r="BH136" s="4"/>
    </row>
    <row r="137" spans="2:60" x14ac:dyDescent="0.3">
      <c r="B137" s="6"/>
      <c r="C137" s="10"/>
      <c r="D137" s="48" t="str">
        <f>IF(Tabla_Registro_Tareas2[[#This Row],[Actividad]]=Indice_Aux_Vacio,"",IFERROR(INDEX(plan!$D$4:$D$52,MATCH(Tabla_Registro_Tareas2[[#This Row],[Actividad]],plan!$C$4:$C$52,0)),""))</f>
        <v/>
      </c>
      <c r="E137" s="48" t="str">
        <f>IFERROR(INDEX(plan!$E$4:$E$52,MATCH(Tabla_Registro_Tareas2[[#This Row],[Actividad]],plan!$C$4:$C$52,0)),"")</f>
        <v/>
      </c>
      <c r="F137" s="49" t="str">
        <f>IF(Tabla_Registro_Tareas2[[#This Row],[Actividad]]=Indice_Aux_Vacio,"",Indice_PROBLAM_Estudiante2)</f>
        <v/>
      </c>
      <c r="G137" s="7"/>
      <c r="H137" s="8"/>
      <c r="I137" s="9"/>
      <c r="K137" s="12" t="str" cm="1">
        <f t="array" ref="K137">IF($B137&lt;&gt;"",TRANSPOSE(_xlfn._xlws.FILTER(plan!$C$4:$C$52, ($B137 &gt;= (plan!$J$4:$J$52-Indice_Plan_ExtensionPlazo))*($B137 &lt;= (plan!$K$4:$K$52+Indice_Plan_ExtensionPlazo)), "")), "")</f>
        <v/>
      </c>
      <c r="BH137" s="4"/>
    </row>
    <row r="138" spans="2:60" x14ac:dyDescent="0.3">
      <c r="B138" s="6"/>
      <c r="C138" s="10"/>
      <c r="D138" s="48" t="str">
        <f>IF(Tabla_Registro_Tareas2[[#This Row],[Actividad]]=Indice_Aux_Vacio,"",IFERROR(INDEX(plan!$D$4:$D$52,MATCH(Tabla_Registro_Tareas2[[#This Row],[Actividad]],plan!$C$4:$C$52,0)),""))</f>
        <v/>
      </c>
      <c r="E138" s="48" t="str">
        <f>IFERROR(INDEX(plan!$E$4:$E$52,MATCH(Tabla_Registro_Tareas2[[#This Row],[Actividad]],plan!$C$4:$C$52,0)),"")</f>
        <v/>
      </c>
      <c r="F138" s="49" t="str">
        <f>IF(Tabla_Registro_Tareas2[[#This Row],[Actividad]]=Indice_Aux_Vacio,"",Indice_PROBLAM_Estudiante2)</f>
        <v/>
      </c>
      <c r="G138" s="7"/>
      <c r="H138" s="8"/>
      <c r="I138" s="9"/>
      <c r="K138" s="12" t="str" cm="1">
        <f t="array" ref="K138">IF($B138&lt;&gt;"",TRANSPOSE(_xlfn._xlws.FILTER(plan!$C$4:$C$52, ($B138 &gt;= (plan!$J$4:$J$52-Indice_Plan_ExtensionPlazo))*($B138 &lt;= (plan!$K$4:$K$52+Indice_Plan_ExtensionPlazo)), "")), "")</f>
        <v/>
      </c>
      <c r="BH138" s="4"/>
    </row>
    <row r="139" spans="2:60" x14ac:dyDescent="0.3">
      <c r="B139" s="6"/>
      <c r="C139" s="10"/>
      <c r="D139" s="48" t="str">
        <f>IF(Tabla_Registro_Tareas2[[#This Row],[Actividad]]=Indice_Aux_Vacio,"",IFERROR(INDEX(plan!$D$4:$D$52,MATCH(Tabla_Registro_Tareas2[[#This Row],[Actividad]],plan!$C$4:$C$52,0)),""))</f>
        <v/>
      </c>
      <c r="E139" s="48" t="str">
        <f>IFERROR(INDEX(plan!$E$4:$E$52,MATCH(Tabla_Registro_Tareas2[[#This Row],[Actividad]],plan!$C$4:$C$52,0)),"")</f>
        <v/>
      </c>
      <c r="F139" s="49" t="str">
        <f>IF(Tabla_Registro_Tareas2[[#This Row],[Actividad]]=Indice_Aux_Vacio,"",Indice_PROBLAM_Estudiante2)</f>
        <v/>
      </c>
      <c r="G139" s="7"/>
      <c r="H139" s="8"/>
      <c r="I139" s="9"/>
      <c r="K139" s="12" t="str" cm="1">
        <f t="array" ref="K139">IF($B139&lt;&gt;"",TRANSPOSE(_xlfn._xlws.FILTER(plan!$C$4:$C$52, ($B139 &gt;= (plan!$J$4:$J$52-Indice_Plan_ExtensionPlazo))*($B139 &lt;= (plan!$K$4:$K$52+Indice_Plan_ExtensionPlazo)), "")), "")</f>
        <v/>
      </c>
      <c r="BH139" s="4"/>
    </row>
    <row r="140" spans="2:60" x14ac:dyDescent="0.3">
      <c r="B140" s="6"/>
      <c r="C140" s="10"/>
      <c r="D140" s="48" t="str">
        <f>IF(Tabla_Registro_Tareas2[[#This Row],[Actividad]]=Indice_Aux_Vacio,"",IFERROR(INDEX(plan!$D$4:$D$52,MATCH(Tabla_Registro_Tareas2[[#This Row],[Actividad]],plan!$C$4:$C$52,0)),""))</f>
        <v/>
      </c>
      <c r="E140" s="48" t="str">
        <f>IFERROR(INDEX(plan!$E$4:$E$52,MATCH(Tabla_Registro_Tareas2[[#This Row],[Actividad]],plan!$C$4:$C$52,0)),"")</f>
        <v/>
      </c>
      <c r="F140" s="49" t="str">
        <f>IF(Tabla_Registro_Tareas2[[#This Row],[Actividad]]=Indice_Aux_Vacio,"",Indice_PROBLAM_Estudiante2)</f>
        <v/>
      </c>
      <c r="G140" s="7"/>
      <c r="H140" s="8"/>
      <c r="I140" s="9"/>
      <c r="K140" s="12" t="str" cm="1">
        <f t="array" ref="K140">IF($B140&lt;&gt;"",TRANSPOSE(_xlfn._xlws.FILTER(plan!$C$4:$C$52, ($B140 &gt;= (plan!$J$4:$J$52-Indice_Plan_ExtensionPlazo))*($B140 &lt;= (plan!$K$4:$K$52+Indice_Plan_ExtensionPlazo)), "")), "")</f>
        <v/>
      </c>
      <c r="BH140" s="4"/>
    </row>
    <row r="141" spans="2:60" x14ac:dyDescent="0.3">
      <c r="B141" s="6"/>
      <c r="C141" s="10"/>
      <c r="D141" s="48" t="str">
        <f>IF(Tabla_Registro_Tareas2[[#This Row],[Actividad]]=Indice_Aux_Vacio,"",IFERROR(INDEX(plan!$D$4:$D$52,MATCH(Tabla_Registro_Tareas2[[#This Row],[Actividad]],plan!$C$4:$C$52,0)),""))</f>
        <v/>
      </c>
      <c r="E141" s="48" t="str">
        <f>IFERROR(INDEX(plan!$E$4:$E$52,MATCH(Tabla_Registro_Tareas2[[#This Row],[Actividad]],plan!$C$4:$C$52,0)),"")</f>
        <v/>
      </c>
      <c r="F141" s="49" t="str">
        <f>IF(Tabla_Registro_Tareas2[[#This Row],[Actividad]]=Indice_Aux_Vacio,"",Indice_PROBLAM_Estudiante2)</f>
        <v/>
      </c>
      <c r="G141" s="7"/>
      <c r="H141" s="8"/>
      <c r="I141" s="9"/>
      <c r="K141" s="12" t="str" cm="1">
        <f t="array" ref="K141">IF($B141&lt;&gt;"",TRANSPOSE(_xlfn._xlws.FILTER(plan!$C$4:$C$52, ($B141 &gt;= (plan!$J$4:$J$52-Indice_Plan_ExtensionPlazo))*($B141 &lt;= (plan!$K$4:$K$52+Indice_Plan_ExtensionPlazo)), "")), "")</f>
        <v/>
      </c>
      <c r="BH141" s="4"/>
    </row>
    <row r="142" spans="2:60" x14ac:dyDescent="0.3">
      <c r="B142" s="6"/>
      <c r="C142" s="10"/>
      <c r="D142" s="48" t="str">
        <f>IF(Tabla_Registro_Tareas2[[#This Row],[Actividad]]=Indice_Aux_Vacio,"",IFERROR(INDEX(plan!$D$4:$D$52,MATCH(Tabla_Registro_Tareas2[[#This Row],[Actividad]],plan!$C$4:$C$52,0)),""))</f>
        <v/>
      </c>
      <c r="E142" s="48" t="str">
        <f>IFERROR(INDEX(plan!$E$4:$E$52,MATCH(Tabla_Registro_Tareas2[[#This Row],[Actividad]],plan!$C$4:$C$52,0)),"")</f>
        <v/>
      </c>
      <c r="F142" s="49" t="str">
        <f>IF(Tabla_Registro_Tareas2[[#This Row],[Actividad]]=Indice_Aux_Vacio,"",Indice_PROBLAM_Estudiante2)</f>
        <v/>
      </c>
      <c r="G142" s="7"/>
      <c r="H142" s="8"/>
      <c r="I142" s="9"/>
      <c r="K142" s="12" t="str" cm="1">
        <f t="array" ref="K142">IF($B142&lt;&gt;"",TRANSPOSE(_xlfn._xlws.FILTER(plan!$C$4:$C$52, ($B142 &gt;= (plan!$J$4:$J$52-Indice_Plan_ExtensionPlazo))*($B142 &lt;= (plan!$K$4:$K$52+Indice_Plan_ExtensionPlazo)), "")), "")</f>
        <v/>
      </c>
      <c r="BH142" s="4"/>
    </row>
    <row r="143" spans="2:60" x14ac:dyDescent="0.3">
      <c r="B143" s="6"/>
      <c r="C143" s="10"/>
      <c r="D143" s="48" t="str">
        <f>IF(Tabla_Registro_Tareas2[[#This Row],[Actividad]]=Indice_Aux_Vacio,"",IFERROR(INDEX(plan!$D$4:$D$52,MATCH(Tabla_Registro_Tareas2[[#This Row],[Actividad]],plan!$C$4:$C$52,0)),""))</f>
        <v/>
      </c>
      <c r="E143" s="48" t="str">
        <f>IFERROR(INDEX(plan!$E$4:$E$52,MATCH(Tabla_Registro_Tareas2[[#This Row],[Actividad]],plan!$C$4:$C$52,0)),"")</f>
        <v/>
      </c>
      <c r="F143" s="49" t="str">
        <f>IF(Tabla_Registro_Tareas2[[#This Row],[Actividad]]=Indice_Aux_Vacio,"",Indice_PROBLAM_Estudiante2)</f>
        <v/>
      </c>
      <c r="G143" s="7"/>
      <c r="H143" s="8"/>
      <c r="I143" s="9"/>
      <c r="K143" s="12" t="str" cm="1">
        <f t="array" ref="K143">IF($B143&lt;&gt;"",TRANSPOSE(_xlfn._xlws.FILTER(plan!$C$4:$C$52, ($B143 &gt;= (plan!$J$4:$J$52-Indice_Plan_ExtensionPlazo))*($B143 &lt;= (plan!$K$4:$K$52+Indice_Plan_ExtensionPlazo)), "")), "")</f>
        <v/>
      </c>
      <c r="BH143" s="4"/>
    </row>
    <row r="144" spans="2:60" x14ac:dyDescent="0.3">
      <c r="B144" s="6"/>
      <c r="C144" s="10"/>
      <c r="D144" s="48" t="str">
        <f>IF(Tabla_Registro_Tareas2[[#This Row],[Actividad]]=Indice_Aux_Vacio,"",IFERROR(INDEX(plan!$D$4:$D$52,MATCH(Tabla_Registro_Tareas2[[#This Row],[Actividad]],plan!$C$4:$C$52,0)),""))</f>
        <v/>
      </c>
      <c r="E144" s="48" t="str">
        <f>IFERROR(INDEX(plan!$E$4:$E$52,MATCH(Tabla_Registro_Tareas2[[#This Row],[Actividad]],plan!$C$4:$C$52,0)),"")</f>
        <v/>
      </c>
      <c r="F144" s="49" t="str">
        <f>IF(Tabla_Registro_Tareas2[[#This Row],[Actividad]]=Indice_Aux_Vacio,"",Indice_PROBLAM_Estudiante2)</f>
        <v/>
      </c>
      <c r="G144" s="7"/>
      <c r="H144" s="8"/>
      <c r="I144" s="9"/>
      <c r="K144" s="12" t="str" cm="1">
        <f t="array" ref="K144">IF($B144&lt;&gt;"",TRANSPOSE(_xlfn._xlws.FILTER(plan!$C$4:$C$52, ($B144 &gt;= (plan!$J$4:$J$52-Indice_Plan_ExtensionPlazo))*($B144 &lt;= (plan!$K$4:$K$52+Indice_Plan_ExtensionPlazo)), "")), "")</f>
        <v/>
      </c>
      <c r="BH144" s="4"/>
    </row>
    <row r="145" spans="2:60" x14ac:dyDescent="0.3">
      <c r="B145" s="6"/>
      <c r="C145" s="10"/>
      <c r="D145" s="48" t="str">
        <f>IF(Tabla_Registro_Tareas2[[#This Row],[Actividad]]=Indice_Aux_Vacio,"",IFERROR(INDEX(plan!$D$4:$D$52,MATCH(Tabla_Registro_Tareas2[[#This Row],[Actividad]],plan!$C$4:$C$52,0)),""))</f>
        <v/>
      </c>
      <c r="E145" s="48" t="str">
        <f>IFERROR(INDEX(plan!$E$4:$E$52,MATCH(Tabla_Registro_Tareas2[[#This Row],[Actividad]],plan!$C$4:$C$52,0)),"")</f>
        <v/>
      </c>
      <c r="F145" s="49" t="str">
        <f>IF(Tabla_Registro_Tareas2[[#This Row],[Actividad]]=Indice_Aux_Vacio,"",Indice_PROBLAM_Estudiante2)</f>
        <v/>
      </c>
      <c r="G145" s="7"/>
      <c r="H145" s="8"/>
      <c r="I145" s="9"/>
      <c r="K145" s="12" t="str" cm="1">
        <f t="array" ref="K145">IF($B145&lt;&gt;"",TRANSPOSE(_xlfn._xlws.FILTER(plan!$C$4:$C$52, ($B145 &gt;= (plan!$J$4:$J$52-Indice_Plan_ExtensionPlazo))*($B145 &lt;= (plan!$K$4:$K$52+Indice_Plan_ExtensionPlazo)), "")), "")</f>
        <v/>
      </c>
      <c r="BH145" s="4"/>
    </row>
    <row r="146" spans="2:60" x14ac:dyDescent="0.3">
      <c r="B146" s="6"/>
      <c r="C146" s="10"/>
      <c r="D146" s="48" t="str">
        <f>IF(Tabla_Registro_Tareas2[[#This Row],[Actividad]]=Indice_Aux_Vacio,"",IFERROR(INDEX(plan!$D$4:$D$52,MATCH(Tabla_Registro_Tareas2[[#This Row],[Actividad]],plan!$C$4:$C$52,0)),""))</f>
        <v/>
      </c>
      <c r="E146" s="48" t="str">
        <f>IFERROR(INDEX(plan!$E$4:$E$52,MATCH(Tabla_Registro_Tareas2[[#This Row],[Actividad]],plan!$C$4:$C$52,0)),"")</f>
        <v/>
      </c>
      <c r="F146" s="49" t="str">
        <f>IF(Tabla_Registro_Tareas2[[#This Row],[Actividad]]=Indice_Aux_Vacio,"",Indice_PROBLAM_Estudiante2)</f>
        <v/>
      </c>
      <c r="G146" s="7"/>
      <c r="H146" s="8"/>
      <c r="I146" s="9"/>
      <c r="K146" s="12" t="str" cm="1">
        <f t="array" ref="K146">IF($B146&lt;&gt;"",TRANSPOSE(_xlfn._xlws.FILTER(plan!$C$4:$C$52, ($B146 &gt;= (plan!$J$4:$J$52-Indice_Plan_ExtensionPlazo))*($B146 &lt;= (plan!$K$4:$K$52+Indice_Plan_ExtensionPlazo)), "")), "")</f>
        <v/>
      </c>
      <c r="BH146" s="4"/>
    </row>
    <row r="147" spans="2:60" x14ac:dyDescent="0.3">
      <c r="B147" s="6"/>
      <c r="C147" s="10"/>
      <c r="D147" s="48" t="str">
        <f>IF(Tabla_Registro_Tareas2[[#This Row],[Actividad]]=Indice_Aux_Vacio,"",IFERROR(INDEX(plan!$D$4:$D$52,MATCH(Tabla_Registro_Tareas2[[#This Row],[Actividad]],plan!$C$4:$C$52,0)),""))</f>
        <v/>
      </c>
      <c r="E147" s="48" t="str">
        <f>IFERROR(INDEX(plan!$E$4:$E$52,MATCH(Tabla_Registro_Tareas2[[#This Row],[Actividad]],plan!$C$4:$C$52,0)),"")</f>
        <v/>
      </c>
      <c r="F147" s="49" t="str">
        <f>IF(Tabla_Registro_Tareas2[[#This Row],[Actividad]]=Indice_Aux_Vacio,"",Indice_PROBLAM_Estudiante2)</f>
        <v/>
      </c>
      <c r="G147" s="7"/>
      <c r="H147" s="8"/>
      <c r="I147" s="9"/>
      <c r="K147" s="12" t="str" cm="1">
        <f t="array" ref="K147">IF($B147&lt;&gt;"",TRANSPOSE(_xlfn._xlws.FILTER(plan!$C$4:$C$52, ($B147 &gt;= (plan!$J$4:$J$52-Indice_Plan_ExtensionPlazo))*($B147 &lt;= (plan!$K$4:$K$52+Indice_Plan_ExtensionPlazo)), "")), "")</f>
        <v/>
      </c>
      <c r="BH147" s="4"/>
    </row>
    <row r="148" spans="2:60" x14ac:dyDescent="0.3">
      <c r="B148" s="6"/>
      <c r="C148" s="10"/>
      <c r="D148" s="48" t="str">
        <f>IF(Tabla_Registro_Tareas2[[#This Row],[Actividad]]=Indice_Aux_Vacio,"",IFERROR(INDEX(plan!$D$4:$D$52,MATCH(Tabla_Registro_Tareas2[[#This Row],[Actividad]],plan!$C$4:$C$52,0)),""))</f>
        <v/>
      </c>
      <c r="E148" s="48" t="str">
        <f>IFERROR(INDEX(plan!$E$4:$E$52,MATCH(Tabla_Registro_Tareas2[[#This Row],[Actividad]],plan!$C$4:$C$52,0)),"")</f>
        <v/>
      </c>
      <c r="F148" s="49" t="str">
        <f>IF(Tabla_Registro_Tareas2[[#This Row],[Actividad]]=Indice_Aux_Vacio,"",Indice_PROBLAM_Estudiante2)</f>
        <v/>
      </c>
      <c r="G148" s="7"/>
      <c r="H148" s="8"/>
      <c r="I148" s="9"/>
      <c r="K148" s="12" t="str" cm="1">
        <f t="array" ref="K148">IF($B148&lt;&gt;"",TRANSPOSE(_xlfn._xlws.FILTER(plan!$C$4:$C$52, ($B148 &gt;= (plan!$J$4:$J$52-Indice_Plan_ExtensionPlazo))*($B148 &lt;= (plan!$K$4:$K$52+Indice_Plan_ExtensionPlazo)), "")), "")</f>
        <v/>
      </c>
      <c r="BH148" s="4"/>
    </row>
    <row r="149" spans="2:60" x14ac:dyDescent="0.3">
      <c r="B149" s="6"/>
      <c r="C149" s="10"/>
      <c r="D149" s="48" t="str">
        <f>IF(Tabla_Registro_Tareas2[[#This Row],[Actividad]]=Indice_Aux_Vacio,"",IFERROR(INDEX(plan!$D$4:$D$52,MATCH(Tabla_Registro_Tareas2[[#This Row],[Actividad]],plan!$C$4:$C$52,0)),""))</f>
        <v/>
      </c>
      <c r="E149" s="48" t="str">
        <f>IFERROR(INDEX(plan!$E$4:$E$52,MATCH(Tabla_Registro_Tareas2[[#This Row],[Actividad]],plan!$C$4:$C$52,0)),"")</f>
        <v/>
      </c>
      <c r="F149" s="49" t="str">
        <f>IF(Tabla_Registro_Tareas2[[#This Row],[Actividad]]=Indice_Aux_Vacio,"",Indice_PROBLAM_Estudiante2)</f>
        <v/>
      </c>
      <c r="G149" s="7"/>
      <c r="H149" s="8"/>
      <c r="I149" s="9"/>
      <c r="K149" s="12" t="str" cm="1">
        <f t="array" ref="K149">IF($B149&lt;&gt;"",TRANSPOSE(_xlfn._xlws.FILTER(plan!$C$4:$C$52, ($B149 &gt;= (plan!$J$4:$J$52-Indice_Plan_ExtensionPlazo))*($B149 &lt;= (plan!$K$4:$K$52+Indice_Plan_ExtensionPlazo)), "")), "")</f>
        <v/>
      </c>
      <c r="BH149" s="4"/>
    </row>
    <row r="150" spans="2:60" x14ac:dyDescent="0.3">
      <c r="B150" s="6"/>
      <c r="C150" s="10"/>
      <c r="D150" s="48" t="str">
        <f>IF(Tabla_Registro_Tareas2[[#This Row],[Actividad]]=Indice_Aux_Vacio,"",IFERROR(INDEX(plan!$D$4:$D$52,MATCH(Tabla_Registro_Tareas2[[#This Row],[Actividad]],plan!$C$4:$C$52,0)),""))</f>
        <v/>
      </c>
      <c r="E150" s="48" t="str">
        <f>IFERROR(INDEX(plan!$E$4:$E$52,MATCH(Tabla_Registro_Tareas2[[#This Row],[Actividad]],plan!$C$4:$C$52,0)),"")</f>
        <v/>
      </c>
      <c r="F150" s="49" t="str">
        <f>IF(Tabla_Registro_Tareas2[[#This Row],[Actividad]]=Indice_Aux_Vacio,"",Indice_PROBLAM_Estudiante2)</f>
        <v/>
      </c>
      <c r="G150" s="7"/>
      <c r="H150" s="8"/>
      <c r="I150" s="9"/>
      <c r="K150" s="12" t="str" cm="1">
        <f t="array" ref="K150">IF($B150&lt;&gt;"",TRANSPOSE(_xlfn._xlws.FILTER(plan!$C$4:$C$52, ($B150 &gt;= (plan!$J$4:$J$52-Indice_Plan_ExtensionPlazo))*($B150 &lt;= (plan!$K$4:$K$52+Indice_Plan_ExtensionPlazo)), "")), "")</f>
        <v/>
      </c>
      <c r="BH150" s="4"/>
    </row>
    <row r="151" spans="2:60" x14ac:dyDescent="0.3">
      <c r="B151" s="6"/>
      <c r="C151" s="10"/>
      <c r="D151" s="48" t="str">
        <f>IF(Tabla_Registro_Tareas2[[#This Row],[Actividad]]=Indice_Aux_Vacio,"",IFERROR(INDEX(plan!$D$4:$D$52,MATCH(Tabla_Registro_Tareas2[[#This Row],[Actividad]],plan!$C$4:$C$52,0)),""))</f>
        <v/>
      </c>
      <c r="E151" s="48" t="str">
        <f>IFERROR(INDEX(plan!$E$4:$E$52,MATCH(Tabla_Registro_Tareas2[[#This Row],[Actividad]],plan!$C$4:$C$52,0)),"")</f>
        <v/>
      </c>
      <c r="F151" s="49" t="str">
        <f>IF(Tabla_Registro_Tareas2[[#This Row],[Actividad]]=Indice_Aux_Vacio,"",Indice_PROBLAM_Estudiante2)</f>
        <v/>
      </c>
      <c r="G151" s="7"/>
      <c r="H151" s="8"/>
      <c r="I151" s="9"/>
      <c r="K151" s="12" t="str" cm="1">
        <f t="array" ref="K151">IF($B151&lt;&gt;"",TRANSPOSE(_xlfn._xlws.FILTER(plan!$C$4:$C$52, ($B151 &gt;= (plan!$J$4:$J$52-Indice_Plan_ExtensionPlazo))*($B151 &lt;= (plan!$K$4:$K$52+Indice_Plan_ExtensionPlazo)), "")), "")</f>
        <v/>
      </c>
      <c r="BH151" s="4"/>
    </row>
    <row r="152" spans="2:60" x14ac:dyDescent="0.3">
      <c r="B152" s="6"/>
      <c r="C152" s="10"/>
      <c r="D152" s="48" t="str">
        <f>IF(Tabla_Registro_Tareas2[[#This Row],[Actividad]]=Indice_Aux_Vacio,"",IFERROR(INDEX(plan!$D$4:$D$52,MATCH(Tabla_Registro_Tareas2[[#This Row],[Actividad]],plan!$C$4:$C$52,0)),""))</f>
        <v/>
      </c>
      <c r="E152" s="48" t="str">
        <f>IFERROR(INDEX(plan!$E$4:$E$52,MATCH(Tabla_Registro_Tareas2[[#This Row],[Actividad]],plan!$C$4:$C$52,0)),"")</f>
        <v/>
      </c>
      <c r="F152" s="49" t="str">
        <f>IF(Tabla_Registro_Tareas2[[#This Row],[Actividad]]=Indice_Aux_Vacio,"",Indice_PROBLAM_Estudiante2)</f>
        <v/>
      </c>
      <c r="G152" s="7"/>
      <c r="H152" s="8"/>
      <c r="I152" s="9"/>
      <c r="K152" s="12" t="str" cm="1">
        <f t="array" ref="K152">IF($B152&lt;&gt;"",TRANSPOSE(_xlfn._xlws.FILTER(plan!$C$4:$C$52, ($B152 &gt;= (plan!$J$4:$J$52-Indice_Plan_ExtensionPlazo))*($B152 &lt;= (plan!$K$4:$K$52+Indice_Plan_ExtensionPlazo)), "")), "")</f>
        <v/>
      </c>
      <c r="BH152" s="4"/>
    </row>
    <row r="153" spans="2:60" x14ac:dyDescent="0.3">
      <c r="B153" s="6"/>
      <c r="C153" s="10"/>
      <c r="D153" s="48" t="str">
        <f>IF(Tabla_Registro_Tareas2[[#This Row],[Actividad]]=Indice_Aux_Vacio,"",IFERROR(INDEX(plan!$D$4:$D$52,MATCH(Tabla_Registro_Tareas2[[#This Row],[Actividad]],plan!$C$4:$C$52,0)),""))</f>
        <v/>
      </c>
      <c r="E153" s="48" t="str">
        <f>IFERROR(INDEX(plan!$E$4:$E$52,MATCH(Tabla_Registro_Tareas2[[#This Row],[Actividad]],plan!$C$4:$C$52,0)),"")</f>
        <v/>
      </c>
      <c r="F153" s="49" t="str">
        <f>IF(Tabla_Registro_Tareas2[[#This Row],[Actividad]]=Indice_Aux_Vacio,"",Indice_PROBLAM_Estudiante2)</f>
        <v/>
      </c>
      <c r="G153" s="7"/>
      <c r="H153" s="8"/>
      <c r="I153" s="9"/>
      <c r="K153" s="12" t="str" cm="1">
        <f t="array" ref="K153">IF($B153&lt;&gt;"",TRANSPOSE(_xlfn._xlws.FILTER(plan!$C$4:$C$52, ($B153 &gt;= (plan!$J$4:$J$52-Indice_Plan_ExtensionPlazo))*($B153 &lt;= (plan!$K$4:$K$52+Indice_Plan_ExtensionPlazo)), "")), "")</f>
        <v/>
      </c>
      <c r="BH153" s="4"/>
    </row>
    <row r="154" spans="2:60" x14ac:dyDescent="0.3">
      <c r="B154" s="6"/>
      <c r="C154" s="10"/>
      <c r="D154" s="48" t="str">
        <f>IF(Tabla_Registro_Tareas2[[#This Row],[Actividad]]=Indice_Aux_Vacio,"",IFERROR(INDEX(plan!$D$4:$D$52,MATCH(Tabla_Registro_Tareas2[[#This Row],[Actividad]],plan!$C$4:$C$52,0)),""))</f>
        <v/>
      </c>
      <c r="E154" s="48" t="str">
        <f>IFERROR(INDEX(plan!$E$4:$E$52,MATCH(Tabla_Registro_Tareas2[[#This Row],[Actividad]],plan!$C$4:$C$52,0)),"")</f>
        <v/>
      </c>
      <c r="F154" s="49" t="str">
        <f>IF(Tabla_Registro_Tareas2[[#This Row],[Actividad]]=Indice_Aux_Vacio,"",Indice_PROBLAM_Estudiante2)</f>
        <v/>
      </c>
      <c r="G154" s="7"/>
      <c r="H154" s="8"/>
      <c r="I154" s="9"/>
      <c r="K154" s="12" t="str" cm="1">
        <f t="array" ref="K154">IF($B154&lt;&gt;"",TRANSPOSE(_xlfn._xlws.FILTER(plan!$C$4:$C$52, ($B154 &gt;= (plan!$J$4:$J$52-Indice_Plan_ExtensionPlazo))*($B154 &lt;= (plan!$K$4:$K$52+Indice_Plan_ExtensionPlazo)), "")), "")</f>
        <v/>
      </c>
      <c r="BH154" s="4"/>
    </row>
    <row r="155" spans="2:60" x14ac:dyDescent="0.3">
      <c r="B155" s="6"/>
      <c r="C155" s="10"/>
      <c r="D155" s="48" t="str">
        <f>IF(Tabla_Registro_Tareas2[[#This Row],[Actividad]]=Indice_Aux_Vacio,"",IFERROR(INDEX(plan!$D$4:$D$52,MATCH(Tabla_Registro_Tareas2[[#This Row],[Actividad]],plan!$C$4:$C$52,0)),""))</f>
        <v/>
      </c>
      <c r="E155" s="48" t="str">
        <f>IFERROR(INDEX(plan!$E$4:$E$52,MATCH(Tabla_Registro_Tareas2[[#This Row],[Actividad]],plan!$C$4:$C$52,0)),"")</f>
        <v/>
      </c>
      <c r="F155" s="49" t="str">
        <f>IF(Tabla_Registro_Tareas2[[#This Row],[Actividad]]=Indice_Aux_Vacio,"",Indice_PROBLAM_Estudiante2)</f>
        <v/>
      </c>
      <c r="G155" s="7"/>
      <c r="H155" s="8"/>
      <c r="I155" s="9"/>
      <c r="K155" s="12" t="str" cm="1">
        <f t="array" ref="K155">IF($B155&lt;&gt;"",TRANSPOSE(_xlfn._xlws.FILTER(plan!$C$4:$C$52, ($B155 &gt;= (plan!$J$4:$J$52-Indice_Plan_ExtensionPlazo))*($B155 &lt;= (plan!$K$4:$K$52+Indice_Plan_ExtensionPlazo)), "")), "")</f>
        <v/>
      </c>
      <c r="BH155" s="4"/>
    </row>
    <row r="156" spans="2:60" x14ac:dyDescent="0.3">
      <c r="B156" s="6"/>
      <c r="C156" s="10"/>
      <c r="D156" s="48" t="str">
        <f>IF(Tabla_Registro_Tareas2[[#This Row],[Actividad]]=Indice_Aux_Vacio,"",IFERROR(INDEX(plan!$D$4:$D$52,MATCH(Tabla_Registro_Tareas2[[#This Row],[Actividad]],plan!$C$4:$C$52,0)),""))</f>
        <v/>
      </c>
      <c r="E156" s="48" t="str">
        <f>IFERROR(INDEX(plan!$E$4:$E$52,MATCH(Tabla_Registro_Tareas2[[#This Row],[Actividad]],plan!$C$4:$C$52,0)),"")</f>
        <v/>
      </c>
      <c r="F156" s="49" t="str">
        <f>IF(Tabla_Registro_Tareas2[[#This Row],[Actividad]]=Indice_Aux_Vacio,"",Indice_PROBLAM_Estudiante2)</f>
        <v/>
      </c>
      <c r="G156" s="7"/>
      <c r="H156" s="8"/>
      <c r="I156" s="9"/>
      <c r="K156" s="12" t="str" cm="1">
        <f t="array" ref="K156">IF($B156&lt;&gt;"",TRANSPOSE(_xlfn._xlws.FILTER(plan!$C$4:$C$52, ($B156 &gt;= (plan!$J$4:$J$52-Indice_Plan_ExtensionPlazo))*($B156 &lt;= (plan!$K$4:$K$52+Indice_Plan_ExtensionPlazo)), "")), "")</f>
        <v/>
      </c>
      <c r="BH156" s="4"/>
    </row>
    <row r="157" spans="2:60" x14ac:dyDescent="0.3">
      <c r="B157" s="6"/>
      <c r="C157" s="10"/>
      <c r="D157" s="48" t="str">
        <f>IF(Tabla_Registro_Tareas2[[#This Row],[Actividad]]=Indice_Aux_Vacio,"",IFERROR(INDEX(plan!$D$4:$D$52,MATCH(Tabla_Registro_Tareas2[[#This Row],[Actividad]],plan!$C$4:$C$52,0)),""))</f>
        <v/>
      </c>
      <c r="E157" s="48" t="str">
        <f>IFERROR(INDEX(plan!$E$4:$E$52,MATCH(Tabla_Registro_Tareas2[[#This Row],[Actividad]],plan!$C$4:$C$52,0)),"")</f>
        <v/>
      </c>
      <c r="F157" s="49" t="str">
        <f>IF(Tabla_Registro_Tareas2[[#This Row],[Actividad]]=Indice_Aux_Vacio,"",Indice_PROBLAM_Estudiante2)</f>
        <v/>
      </c>
      <c r="G157" s="7"/>
      <c r="H157" s="8"/>
      <c r="I157" s="9"/>
      <c r="K157" s="12" t="str" cm="1">
        <f t="array" ref="K157">IF($B157&lt;&gt;"",TRANSPOSE(_xlfn._xlws.FILTER(plan!$C$4:$C$52, ($B157 &gt;= (plan!$J$4:$J$52-Indice_Plan_ExtensionPlazo))*($B157 &lt;= (plan!$K$4:$K$52+Indice_Plan_ExtensionPlazo)), "")), "")</f>
        <v/>
      </c>
      <c r="BH157" s="4"/>
    </row>
    <row r="158" spans="2:60" x14ac:dyDescent="0.3">
      <c r="B158" s="6"/>
      <c r="C158" s="10"/>
      <c r="D158" s="48" t="str">
        <f>IF(Tabla_Registro_Tareas2[[#This Row],[Actividad]]=Indice_Aux_Vacio,"",IFERROR(INDEX(plan!$D$4:$D$52,MATCH(Tabla_Registro_Tareas2[[#This Row],[Actividad]],plan!$C$4:$C$52,0)),""))</f>
        <v/>
      </c>
      <c r="E158" s="48" t="str">
        <f>IFERROR(INDEX(plan!$E$4:$E$52,MATCH(Tabla_Registro_Tareas2[[#This Row],[Actividad]],plan!$C$4:$C$52,0)),"")</f>
        <v/>
      </c>
      <c r="F158" s="49" t="str">
        <f>IF(Tabla_Registro_Tareas2[[#This Row],[Actividad]]=Indice_Aux_Vacio,"",Indice_PROBLAM_Estudiante2)</f>
        <v/>
      </c>
      <c r="G158" s="7"/>
      <c r="H158" s="8"/>
      <c r="I158" s="9"/>
      <c r="K158" s="12" t="str" cm="1">
        <f t="array" ref="K158">IF($B158&lt;&gt;"",TRANSPOSE(_xlfn._xlws.FILTER(plan!$C$4:$C$52, ($B158 &gt;= (plan!$J$4:$J$52-Indice_Plan_ExtensionPlazo))*($B158 &lt;= (plan!$K$4:$K$52+Indice_Plan_ExtensionPlazo)), "")), "")</f>
        <v/>
      </c>
      <c r="BH158" s="4"/>
    </row>
    <row r="159" spans="2:60" x14ac:dyDescent="0.3">
      <c r="B159" s="6"/>
      <c r="C159" s="10"/>
      <c r="D159" s="48" t="str">
        <f>IF(Tabla_Registro_Tareas2[[#This Row],[Actividad]]=Indice_Aux_Vacio,"",IFERROR(INDEX(plan!$D$4:$D$52,MATCH(Tabla_Registro_Tareas2[[#This Row],[Actividad]],plan!$C$4:$C$52,0)),""))</f>
        <v/>
      </c>
      <c r="E159" s="48" t="str">
        <f>IFERROR(INDEX(plan!$E$4:$E$52,MATCH(Tabla_Registro_Tareas2[[#This Row],[Actividad]],plan!$C$4:$C$52,0)),"")</f>
        <v/>
      </c>
      <c r="F159" s="49" t="str">
        <f>IF(Tabla_Registro_Tareas2[[#This Row],[Actividad]]=Indice_Aux_Vacio,"",Indice_PROBLAM_Estudiante2)</f>
        <v/>
      </c>
      <c r="G159" s="7"/>
      <c r="H159" s="8"/>
      <c r="I159" s="9"/>
      <c r="K159" s="12" t="str" cm="1">
        <f t="array" ref="K159">IF($B159&lt;&gt;"",TRANSPOSE(_xlfn._xlws.FILTER(plan!$C$4:$C$52, ($B159 &gt;= (plan!$J$4:$J$52-Indice_Plan_ExtensionPlazo))*($B159 &lt;= (plan!$K$4:$K$52+Indice_Plan_ExtensionPlazo)), "")), "")</f>
        <v/>
      </c>
      <c r="BH159" s="4"/>
    </row>
    <row r="160" spans="2:60" x14ac:dyDescent="0.3">
      <c r="B160" s="6"/>
      <c r="C160" s="10"/>
      <c r="D160" s="48" t="str">
        <f>IF(Tabla_Registro_Tareas2[[#This Row],[Actividad]]=Indice_Aux_Vacio,"",IFERROR(INDEX(plan!$D$4:$D$52,MATCH(Tabla_Registro_Tareas2[[#This Row],[Actividad]],plan!$C$4:$C$52,0)),""))</f>
        <v/>
      </c>
      <c r="E160" s="48" t="str">
        <f>IFERROR(INDEX(plan!$E$4:$E$52,MATCH(Tabla_Registro_Tareas2[[#This Row],[Actividad]],plan!$C$4:$C$52,0)),"")</f>
        <v/>
      </c>
      <c r="F160" s="49" t="str">
        <f>IF(Tabla_Registro_Tareas2[[#This Row],[Actividad]]=Indice_Aux_Vacio,"",Indice_PROBLAM_Estudiante2)</f>
        <v/>
      </c>
      <c r="G160" s="7"/>
      <c r="H160" s="8"/>
      <c r="I160" s="9"/>
      <c r="K160" s="12" t="str" cm="1">
        <f t="array" ref="K160">IF($B160&lt;&gt;"",TRANSPOSE(_xlfn._xlws.FILTER(plan!$C$4:$C$52, ($B160 &gt;= (plan!$J$4:$J$52-Indice_Plan_ExtensionPlazo))*($B160 &lt;= (plan!$K$4:$K$52+Indice_Plan_ExtensionPlazo)), "")), "")</f>
        <v/>
      </c>
      <c r="BH160" s="4"/>
    </row>
    <row r="161" spans="2:60" x14ac:dyDescent="0.3">
      <c r="B161" s="6"/>
      <c r="C161" s="10"/>
      <c r="D161" s="48" t="str">
        <f>IF(Tabla_Registro_Tareas2[[#This Row],[Actividad]]=Indice_Aux_Vacio,"",IFERROR(INDEX(plan!$D$4:$D$52,MATCH(Tabla_Registro_Tareas2[[#This Row],[Actividad]],plan!$C$4:$C$52,0)),""))</f>
        <v/>
      </c>
      <c r="E161" s="48" t="str">
        <f>IFERROR(INDEX(plan!$E$4:$E$52,MATCH(Tabla_Registro_Tareas2[[#This Row],[Actividad]],plan!$C$4:$C$52,0)),"")</f>
        <v/>
      </c>
      <c r="F161" s="49" t="str">
        <f>IF(Tabla_Registro_Tareas2[[#This Row],[Actividad]]=Indice_Aux_Vacio,"",Indice_PROBLAM_Estudiante2)</f>
        <v/>
      </c>
      <c r="G161" s="7"/>
      <c r="H161" s="8"/>
      <c r="I161" s="9"/>
      <c r="K161" s="12" t="str" cm="1">
        <f t="array" ref="K161">IF($B161&lt;&gt;"",TRANSPOSE(_xlfn._xlws.FILTER(plan!$C$4:$C$52, ($B161 &gt;= (plan!$J$4:$J$52-Indice_Plan_ExtensionPlazo))*($B161 &lt;= (plan!$K$4:$K$52+Indice_Plan_ExtensionPlazo)), "")), "")</f>
        <v/>
      </c>
      <c r="BH161" s="4"/>
    </row>
    <row r="162" spans="2:60" x14ac:dyDescent="0.3">
      <c r="B162" s="6"/>
      <c r="C162" s="10"/>
      <c r="D162" s="48" t="str">
        <f>IF(Tabla_Registro_Tareas2[[#This Row],[Actividad]]=Indice_Aux_Vacio,"",IFERROR(INDEX(plan!$D$4:$D$52,MATCH(Tabla_Registro_Tareas2[[#This Row],[Actividad]],plan!$C$4:$C$52,0)),""))</f>
        <v/>
      </c>
      <c r="E162" s="48" t="str">
        <f>IFERROR(INDEX(plan!$E$4:$E$52,MATCH(Tabla_Registro_Tareas2[[#This Row],[Actividad]],plan!$C$4:$C$52,0)),"")</f>
        <v/>
      </c>
      <c r="F162" s="49" t="str">
        <f>IF(Tabla_Registro_Tareas2[[#This Row],[Actividad]]=Indice_Aux_Vacio,"",Indice_PROBLAM_Estudiante2)</f>
        <v/>
      </c>
      <c r="G162" s="7"/>
      <c r="H162" s="8"/>
      <c r="I162" s="9"/>
      <c r="K162" s="12" t="str" cm="1">
        <f t="array" ref="K162">IF($B162&lt;&gt;"",TRANSPOSE(_xlfn._xlws.FILTER(plan!$C$4:$C$52, ($B162 &gt;= (plan!$J$4:$J$52-Indice_Plan_ExtensionPlazo))*($B162 &lt;= (plan!$K$4:$K$52+Indice_Plan_ExtensionPlazo)), "")), "")</f>
        <v/>
      </c>
      <c r="BH162" s="4"/>
    </row>
    <row r="163" spans="2:60" x14ac:dyDescent="0.3">
      <c r="B163" s="6"/>
      <c r="C163" s="10"/>
      <c r="D163" s="48" t="str">
        <f>IF(Tabla_Registro_Tareas2[[#This Row],[Actividad]]=Indice_Aux_Vacio,"",IFERROR(INDEX(plan!$D$4:$D$52,MATCH(Tabla_Registro_Tareas2[[#This Row],[Actividad]],plan!$C$4:$C$52,0)),""))</f>
        <v/>
      </c>
      <c r="E163" s="48" t="str">
        <f>IFERROR(INDEX(plan!$E$4:$E$52,MATCH(Tabla_Registro_Tareas2[[#This Row],[Actividad]],plan!$C$4:$C$52,0)),"")</f>
        <v/>
      </c>
      <c r="F163" s="49" t="str">
        <f>IF(Tabla_Registro_Tareas2[[#This Row],[Actividad]]=Indice_Aux_Vacio,"",Indice_PROBLAM_Estudiante2)</f>
        <v/>
      </c>
      <c r="G163" s="7"/>
      <c r="H163" s="8"/>
      <c r="I163" s="9"/>
      <c r="K163" s="12" t="str" cm="1">
        <f t="array" ref="K163">IF($B163&lt;&gt;"",TRANSPOSE(_xlfn._xlws.FILTER(plan!$C$4:$C$52, ($B163 &gt;= (plan!$J$4:$J$52-Indice_Plan_ExtensionPlazo))*($B163 &lt;= (plan!$K$4:$K$52+Indice_Plan_ExtensionPlazo)), "")), "")</f>
        <v/>
      </c>
      <c r="BH163" s="4"/>
    </row>
    <row r="164" spans="2:60" x14ac:dyDescent="0.3">
      <c r="B164" s="6"/>
      <c r="C164" s="10"/>
      <c r="D164" s="48" t="str">
        <f>IF(Tabla_Registro_Tareas2[[#This Row],[Actividad]]=Indice_Aux_Vacio,"",IFERROR(INDEX(plan!$D$4:$D$52,MATCH(Tabla_Registro_Tareas2[[#This Row],[Actividad]],plan!$C$4:$C$52,0)),""))</f>
        <v/>
      </c>
      <c r="E164" s="48" t="str">
        <f>IFERROR(INDEX(plan!$E$4:$E$52,MATCH(Tabla_Registro_Tareas2[[#This Row],[Actividad]],plan!$C$4:$C$52,0)),"")</f>
        <v/>
      </c>
      <c r="F164" s="49" t="str">
        <f>IF(Tabla_Registro_Tareas2[[#This Row],[Actividad]]=Indice_Aux_Vacio,"",Indice_PROBLAM_Estudiante2)</f>
        <v/>
      </c>
      <c r="G164" s="7"/>
      <c r="H164" s="8"/>
      <c r="I164" s="9"/>
      <c r="K164" s="12" t="str" cm="1">
        <f t="array" ref="K164">IF($B164&lt;&gt;"",TRANSPOSE(_xlfn._xlws.FILTER(plan!$C$4:$C$52, ($B164 &gt;= (plan!$J$4:$J$52-Indice_Plan_ExtensionPlazo))*($B164 &lt;= (plan!$K$4:$K$52+Indice_Plan_ExtensionPlazo)), "")), "")</f>
        <v/>
      </c>
      <c r="BH164" s="4"/>
    </row>
    <row r="165" spans="2:60" x14ac:dyDescent="0.3">
      <c r="B165" s="6"/>
      <c r="C165" s="10"/>
      <c r="D165" s="48" t="str">
        <f>IF(Tabla_Registro_Tareas2[[#This Row],[Actividad]]=Indice_Aux_Vacio,"",IFERROR(INDEX(plan!$D$4:$D$52,MATCH(Tabla_Registro_Tareas2[[#This Row],[Actividad]],plan!$C$4:$C$52,0)),""))</f>
        <v/>
      </c>
      <c r="E165" s="48" t="str">
        <f>IFERROR(INDEX(plan!$E$4:$E$52,MATCH(Tabla_Registro_Tareas2[[#This Row],[Actividad]],plan!$C$4:$C$52,0)),"")</f>
        <v/>
      </c>
      <c r="F165" s="49" t="str">
        <f>IF(Tabla_Registro_Tareas2[[#This Row],[Actividad]]=Indice_Aux_Vacio,"",Indice_PROBLAM_Estudiante2)</f>
        <v/>
      </c>
      <c r="G165" s="7"/>
      <c r="H165" s="8"/>
      <c r="I165" s="9"/>
      <c r="K165" s="12" t="str" cm="1">
        <f t="array" ref="K165">IF($B165&lt;&gt;"",TRANSPOSE(_xlfn._xlws.FILTER(plan!$C$4:$C$52, ($B165 &gt;= (plan!$J$4:$J$52-Indice_Plan_ExtensionPlazo))*($B165 &lt;= (plan!$K$4:$K$52+Indice_Plan_ExtensionPlazo)), "")), "")</f>
        <v/>
      </c>
      <c r="BH165" s="4"/>
    </row>
    <row r="166" spans="2:60" x14ac:dyDescent="0.3">
      <c r="B166" s="6"/>
      <c r="C166" s="10"/>
      <c r="D166" s="48" t="str">
        <f>IF(Tabla_Registro_Tareas2[[#This Row],[Actividad]]=Indice_Aux_Vacio,"",IFERROR(INDEX(plan!$D$4:$D$52,MATCH(Tabla_Registro_Tareas2[[#This Row],[Actividad]],plan!$C$4:$C$52,0)),""))</f>
        <v/>
      </c>
      <c r="E166" s="48" t="str">
        <f>IFERROR(INDEX(plan!$E$4:$E$52,MATCH(Tabla_Registro_Tareas2[[#This Row],[Actividad]],plan!$C$4:$C$52,0)),"")</f>
        <v/>
      </c>
      <c r="F166" s="49" t="str">
        <f>IF(Tabla_Registro_Tareas2[[#This Row],[Actividad]]=Indice_Aux_Vacio,"",Indice_PROBLAM_Estudiante2)</f>
        <v/>
      </c>
      <c r="G166" s="7"/>
      <c r="H166" s="8"/>
      <c r="I166" s="9"/>
      <c r="K166" s="12" t="str" cm="1">
        <f t="array" ref="K166">IF($B166&lt;&gt;"",TRANSPOSE(_xlfn._xlws.FILTER(plan!$C$4:$C$52, ($B166 &gt;= (plan!$J$4:$J$52-Indice_Plan_ExtensionPlazo))*($B166 &lt;= (plan!$K$4:$K$52+Indice_Plan_ExtensionPlazo)), "")), "")</f>
        <v/>
      </c>
      <c r="BH166" s="4"/>
    </row>
    <row r="167" spans="2:60" x14ac:dyDescent="0.3">
      <c r="B167" s="6"/>
      <c r="C167" s="10"/>
      <c r="D167" s="48" t="str">
        <f>IF(Tabla_Registro_Tareas2[[#This Row],[Actividad]]=Indice_Aux_Vacio,"",IFERROR(INDEX(plan!$D$4:$D$52,MATCH(Tabla_Registro_Tareas2[[#This Row],[Actividad]],plan!$C$4:$C$52,0)),""))</f>
        <v/>
      </c>
      <c r="E167" s="48" t="str">
        <f>IFERROR(INDEX(plan!$E$4:$E$52,MATCH(Tabla_Registro_Tareas2[[#This Row],[Actividad]],plan!$C$4:$C$52,0)),"")</f>
        <v/>
      </c>
      <c r="F167" s="49" t="str">
        <f>IF(Tabla_Registro_Tareas2[[#This Row],[Actividad]]=Indice_Aux_Vacio,"",Indice_PROBLAM_Estudiante2)</f>
        <v/>
      </c>
      <c r="G167" s="7"/>
      <c r="H167" s="8"/>
      <c r="I167" s="9"/>
      <c r="K167" s="12" t="str" cm="1">
        <f t="array" ref="K167">IF($B167&lt;&gt;"",TRANSPOSE(_xlfn._xlws.FILTER(plan!$C$4:$C$52, ($B167 &gt;= (plan!$J$4:$J$52-Indice_Plan_ExtensionPlazo))*($B167 &lt;= (plan!$K$4:$K$52+Indice_Plan_ExtensionPlazo)), "")), "")</f>
        <v/>
      </c>
      <c r="BH167" s="4"/>
    </row>
    <row r="168" spans="2:60" x14ac:dyDescent="0.3">
      <c r="B168" s="6"/>
      <c r="C168" s="10"/>
      <c r="D168" s="48" t="str">
        <f>IF(Tabla_Registro_Tareas2[[#This Row],[Actividad]]=Indice_Aux_Vacio,"",IFERROR(INDEX(plan!$D$4:$D$52,MATCH(Tabla_Registro_Tareas2[[#This Row],[Actividad]],plan!$C$4:$C$52,0)),""))</f>
        <v/>
      </c>
      <c r="E168" s="48" t="str">
        <f>IFERROR(INDEX(plan!$E$4:$E$52,MATCH(Tabla_Registro_Tareas2[[#This Row],[Actividad]],plan!$C$4:$C$52,0)),"")</f>
        <v/>
      </c>
      <c r="F168" s="49" t="str">
        <f>IF(Tabla_Registro_Tareas2[[#This Row],[Actividad]]=Indice_Aux_Vacio,"",Indice_PROBLAM_Estudiante2)</f>
        <v/>
      </c>
      <c r="G168" s="7"/>
      <c r="H168" s="8"/>
      <c r="I168" s="9"/>
      <c r="K168" s="12" t="str" cm="1">
        <f t="array" ref="K168">IF($B168&lt;&gt;"",TRANSPOSE(_xlfn._xlws.FILTER(plan!$C$4:$C$52, ($B168 &gt;= (plan!$J$4:$J$52-Indice_Plan_ExtensionPlazo))*($B168 &lt;= (plan!$K$4:$K$52+Indice_Plan_ExtensionPlazo)), "")), "")</f>
        <v/>
      </c>
      <c r="BH168" s="4"/>
    </row>
    <row r="169" spans="2:60" x14ac:dyDescent="0.3">
      <c r="B169" s="6"/>
      <c r="C169" s="10"/>
      <c r="D169" s="48" t="str">
        <f>IF(Tabla_Registro_Tareas2[[#This Row],[Actividad]]=Indice_Aux_Vacio,"",IFERROR(INDEX(plan!$D$4:$D$52,MATCH(Tabla_Registro_Tareas2[[#This Row],[Actividad]],plan!$C$4:$C$52,0)),""))</f>
        <v/>
      </c>
      <c r="E169" s="48" t="str">
        <f>IFERROR(INDEX(plan!$E$4:$E$52,MATCH(Tabla_Registro_Tareas2[[#This Row],[Actividad]],plan!$C$4:$C$52,0)),"")</f>
        <v/>
      </c>
      <c r="F169" s="49" t="str">
        <f>IF(Tabla_Registro_Tareas2[[#This Row],[Actividad]]=Indice_Aux_Vacio,"",Indice_PROBLAM_Estudiante2)</f>
        <v/>
      </c>
      <c r="G169" s="7"/>
      <c r="H169" s="8"/>
      <c r="I169" s="9"/>
      <c r="K169" s="12" t="str" cm="1">
        <f t="array" ref="K169">IF($B169&lt;&gt;"",TRANSPOSE(_xlfn._xlws.FILTER(plan!$C$4:$C$52, ($B169 &gt;= (plan!$J$4:$J$52-Indice_Plan_ExtensionPlazo))*($B169 &lt;= (plan!$K$4:$K$52+Indice_Plan_ExtensionPlazo)), "")), "")</f>
        <v/>
      </c>
      <c r="BH169" s="4"/>
    </row>
    <row r="170" spans="2:60" x14ac:dyDescent="0.3">
      <c r="B170" s="6"/>
      <c r="C170" s="10"/>
      <c r="D170" s="48" t="str">
        <f>IF(Tabla_Registro_Tareas2[[#This Row],[Actividad]]=Indice_Aux_Vacio,"",IFERROR(INDEX(plan!$D$4:$D$52,MATCH(Tabla_Registro_Tareas2[[#This Row],[Actividad]],plan!$C$4:$C$52,0)),""))</f>
        <v/>
      </c>
      <c r="E170" s="48" t="str">
        <f>IFERROR(INDEX(plan!$E$4:$E$52,MATCH(Tabla_Registro_Tareas2[[#This Row],[Actividad]],plan!$C$4:$C$52,0)),"")</f>
        <v/>
      </c>
      <c r="F170" s="49" t="str">
        <f>IF(Tabla_Registro_Tareas2[[#This Row],[Actividad]]=Indice_Aux_Vacio,"",Indice_PROBLAM_Estudiante2)</f>
        <v/>
      </c>
      <c r="G170" s="7"/>
      <c r="H170" s="8"/>
      <c r="I170" s="9"/>
      <c r="K170" s="12" t="str" cm="1">
        <f t="array" ref="K170">IF($B170&lt;&gt;"",TRANSPOSE(_xlfn._xlws.FILTER(plan!$C$4:$C$52, ($B170 &gt;= (plan!$J$4:$J$52-Indice_Plan_ExtensionPlazo))*($B170 &lt;= (plan!$K$4:$K$52+Indice_Plan_ExtensionPlazo)), "")), "")</f>
        <v/>
      </c>
      <c r="BH170" s="4"/>
    </row>
    <row r="171" spans="2:60" x14ac:dyDescent="0.3">
      <c r="B171" s="6"/>
      <c r="C171" s="10"/>
      <c r="D171" s="48" t="str">
        <f>IF(Tabla_Registro_Tareas2[[#This Row],[Actividad]]=Indice_Aux_Vacio,"",IFERROR(INDEX(plan!$D$4:$D$52,MATCH(Tabla_Registro_Tareas2[[#This Row],[Actividad]],plan!$C$4:$C$52,0)),""))</f>
        <v/>
      </c>
      <c r="E171" s="48" t="str">
        <f>IFERROR(INDEX(plan!$E$4:$E$52,MATCH(Tabla_Registro_Tareas2[[#This Row],[Actividad]],plan!$C$4:$C$52,0)),"")</f>
        <v/>
      </c>
      <c r="F171" s="49" t="str">
        <f>IF(Tabla_Registro_Tareas2[[#This Row],[Actividad]]=Indice_Aux_Vacio,"",Indice_PROBLAM_Estudiante2)</f>
        <v/>
      </c>
      <c r="G171" s="7"/>
      <c r="H171" s="8"/>
      <c r="I171" s="9"/>
      <c r="K171" s="12" t="str" cm="1">
        <f t="array" ref="K171">IF($B171&lt;&gt;"",TRANSPOSE(_xlfn._xlws.FILTER(plan!$C$4:$C$52, ($B171 &gt;= (plan!$J$4:$J$52-Indice_Plan_ExtensionPlazo))*($B171 &lt;= (plan!$K$4:$K$52+Indice_Plan_ExtensionPlazo)), "")), "")</f>
        <v/>
      </c>
      <c r="BH171" s="4"/>
    </row>
    <row r="172" spans="2:60" x14ac:dyDescent="0.3">
      <c r="B172" s="6"/>
      <c r="C172" s="10"/>
      <c r="D172" s="48" t="str">
        <f>IF(Tabla_Registro_Tareas2[[#This Row],[Actividad]]=Indice_Aux_Vacio,"",IFERROR(INDEX(plan!$D$4:$D$52,MATCH(Tabla_Registro_Tareas2[[#This Row],[Actividad]],plan!$C$4:$C$52,0)),""))</f>
        <v/>
      </c>
      <c r="E172" s="48" t="str">
        <f>IFERROR(INDEX(plan!$E$4:$E$52,MATCH(Tabla_Registro_Tareas2[[#This Row],[Actividad]],plan!$C$4:$C$52,0)),"")</f>
        <v/>
      </c>
      <c r="F172" s="49" t="str">
        <f>IF(Tabla_Registro_Tareas2[[#This Row],[Actividad]]=Indice_Aux_Vacio,"",Indice_PROBLAM_Estudiante2)</f>
        <v/>
      </c>
      <c r="G172" s="7"/>
      <c r="H172" s="8"/>
      <c r="I172" s="9"/>
      <c r="K172" s="12" t="str" cm="1">
        <f t="array" ref="K172">IF($B172&lt;&gt;"",TRANSPOSE(_xlfn._xlws.FILTER(plan!$C$4:$C$52, ($B172 &gt;= (plan!$J$4:$J$52-Indice_Plan_ExtensionPlazo))*($B172 &lt;= (plan!$K$4:$K$52+Indice_Plan_ExtensionPlazo)), "")), "")</f>
        <v/>
      </c>
      <c r="BH172" s="4"/>
    </row>
    <row r="173" spans="2:60" x14ac:dyDescent="0.3">
      <c r="B173" s="6"/>
      <c r="C173" s="10"/>
      <c r="D173" s="48" t="str">
        <f>IF(Tabla_Registro_Tareas2[[#This Row],[Actividad]]=Indice_Aux_Vacio,"",IFERROR(INDEX(plan!$D$4:$D$52,MATCH(Tabla_Registro_Tareas2[[#This Row],[Actividad]],plan!$C$4:$C$52,0)),""))</f>
        <v/>
      </c>
      <c r="E173" s="48" t="str">
        <f>IFERROR(INDEX(plan!$E$4:$E$52,MATCH(Tabla_Registro_Tareas2[[#This Row],[Actividad]],plan!$C$4:$C$52,0)),"")</f>
        <v/>
      </c>
      <c r="F173" s="49" t="str">
        <f>IF(Tabla_Registro_Tareas2[[#This Row],[Actividad]]=Indice_Aux_Vacio,"",Indice_PROBLAM_Estudiante2)</f>
        <v/>
      </c>
      <c r="G173" s="7"/>
      <c r="H173" s="8"/>
      <c r="I173" s="9"/>
      <c r="K173" s="12" t="str" cm="1">
        <f t="array" ref="K173">IF($B173&lt;&gt;"",TRANSPOSE(_xlfn._xlws.FILTER(plan!$C$4:$C$52, ($B173 &gt;= (plan!$J$4:$J$52-Indice_Plan_ExtensionPlazo))*($B173 &lt;= (plan!$K$4:$K$52+Indice_Plan_ExtensionPlazo)), "")), "")</f>
        <v/>
      </c>
      <c r="BH173" s="4"/>
    </row>
    <row r="174" spans="2:60" x14ac:dyDescent="0.3">
      <c r="B174" s="6"/>
      <c r="C174" s="10"/>
      <c r="D174" s="48" t="str">
        <f>IF(Tabla_Registro_Tareas2[[#This Row],[Actividad]]=Indice_Aux_Vacio,"",IFERROR(INDEX(plan!$D$4:$D$52,MATCH(Tabla_Registro_Tareas2[[#This Row],[Actividad]],plan!$C$4:$C$52,0)),""))</f>
        <v/>
      </c>
      <c r="E174" s="48" t="str">
        <f>IFERROR(INDEX(plan!$E$4:$E$52,MATCH(Tabla_Registro_Tareas2[[#This Row],[Actividad]],plan!$C$4:$C$52,0)),"")</f>
        <v/>
      </c>
      <c r="F174" s="49" t="str">
        <f>IF(Tabla_Registro_Tareas2[[#This Row],[Actividad]]=Indice_Aux_Vacio,"",Indice_PROBLAM_Estudiante2)</f>
        <v/>
      </c>
      <c r="G174" s="7"/>
      <c r="H174" s="8"/>
      <c r="I174" s="9"/>
      <c r="K174" s="12" t="str" cm="1">
        <f t="array" ref="K174">IF($B174&lt;&gt;"",TRANSPOSE(_xlfn._xlws.FILTER(plan!$C$4:$C$52, ($B174 &gt;= (plan!$J$4:$J$52-Indice_Plan_ExtensionPlazo))*($B174 &lt;= (plan!$K$4:$K$52+Indice_Plan_ExtensionPlazo)), "")), "")</f>
        <v/>
      </c>
      <c r="BH174" s="4"/>
    </row>
    <row r="175" spans="2:60" x14ac:dyDescent="0.3">
      <c r="B175" s="6"/>
      <c r="C175" s="10"/>
      <c r="D175" s="48" t="str">
        <f>IF(Tabla_Registro_Tareas2[[#This Row],[Actividad]]=Indice_Aux_Vacio,"",IFERROR(INDEX(plan!$D$4:$D$52,MATCH(Tabla_Registro_Tareas2[[#This Row],[Actividad]],plan!$C$4:$C$52,0)),""))</f>
        <v/>
      </c>
      <c r="E175" s="48" t="str">
        <f>IFERROR(INDEX(plan!$E$4:$E$52,MATCH(Tabla_Registro_Tareas2[[#This Row],[Actividad]],plan!$C$4:$C$52,0)),"")</f>
        <v/>
      </c>
      <c r="F175" s="49" t="str">
        <f>IF(Tabla_Registro_Tareas2[[#This Row],[Actividad]]=Indice_Aux_Vacio,"",Indice_PROBLAM_Estudiante2)</f>
        <v/>
      </c>
      <c r="G175" s="7"/>
      <c r="H175" s="8"/>
      <c r="I175" s="9"/>
      <c r="K175" s="12" t="str" cm="1">
        <f t="array" ref="K175">IF($B175&lt;&gt;"",TRANSPOSE(_xlfn._xlws.FILTER(plan!$C$4:$C$52, ($B175 &gt;= (plan!$J$4:$J$52-Indice_Plan_ExtensionPlazo))*($B175 &lt;= (plan!$K$4:$K$52+Indice_Plan_ExtensionPlazo)), "")), "")</f>
        <v/>
      </c>
      <c r="BH175" s="4"/>
    </row>
    <row r="176" spans="2:60" x14ac:dyDescent="0.3">
      <c r="B176" s="6"/>
      <c r="C176" s="10"/>
      <c r="D176" s="48" t="str">
        <f>IF(Tabla_Registro_Tareas2[[#This Row],[Actividad]]=Indice_Aux_Vacio,"",IFERROR(INDEX(plan!$D$4:$D$52,MATCH(Tabla_Registro_Tareas2[[#This Row],[Actividad]],plan!$C$4:$C$52,0)),""))</f>
        <v/>
      </c>
      <c r="E176" s="48" t="str">
        <f>IFERROR(INDEX(plan!$E$4:$E$52,MATCH(Tabla_Registro_Tareas2[[#This Row],[Actividad]],plan!$C$4:$C$52,0)),"")</f>
        <v/>
      </c>
      <c r="F176" s="49" t="str">
        <f>IF(Tabla_Registro_Tareas2[[#This Row],[Actividad]]=Indice_Aux_Vacio,"",Indice_PROBLAM_Estudiante2)</f>
        <v/>
      </c>
      <c r="G176" s="7"/>
      <c r="H176" s="8"/>
      <c r="I176" s="9"/>
      <c r="K176" s="12" t="str" cm="1">
        <f t="array" ref="K176">IF($B176&lt;&gt;"",TRANSPOSE(_xlfn._xlws.FILTER(plan!$C$4:$C$52, ($B176 &gt;= (plan!$J$4:$J$52-Indice_Plan_ExtensionPlazo))*($B176 &lt;= (plan!$K$4:$K$52+Indice_Plan_ExtensionPlazo)), "")), "")</f>
        <v/>
      </c>
      <c r="BH176" s="4"/>
    </row>
    <row r="177" spans="2:60" x14ac:dyDescent="0.3">
      <c r="B177" s="6"/>
      <c r="C177" s="10"/>
      <c r="D177" s="48" t="str">
        <f>IF(Tabla_Registro_Tareas2[[#This Row],[Actividad]]=Indice_Aux_Vacio,"",IFERROR(INDEX(plan!$D$4:$D$52,MATCH(Tabla_Registro_Tareas2[[#This Row],[Actividad]],plan!$C$4:$C$52,0)),""))</f>
        <v/>
      </c>
      <c r="E177" s="48" t="str">
        <f>IFERROR(INDEX(plan!$E$4:$E$52,MATCH(Tabla_Registro_Tareas2[[#This Row],[Actividad]],plan!$C$4:$C$52,0)),"")</f>
        <v/>
      </c>
      <c r="F177" s="49" t="str">
        <f>IF(Tabla_Registro_Tareas2[[#This Row],[Actividad]]=Indice_Aux_Vacio,"",Indice_PROBLAM_Estudiante2)</f>
        <v/>
      </c>
      <c r="G177" s="7"/>
      <c r="H177" s="8"/>
      <c r="I177" s="9"/>
      <c r="K177" s="12" t="str" cm="1">
        <f t="array" ref="K177">IF($B177&lt;&gt;"",TRANSPOSE(_xlfn._xlws.FILTER(plan!$C$4:$C$52, ($B177 &gt;= (plan!$J$4:$J$52-Indice_Plan_ExtensionPlazo))*($B177 &lt;= (plan!$K$4:$K$52+Indice_Plan_ExtensionPlazo)), "")), "")</f>
        <v/>
      </c>
      <c r="BH177" s="4"/>
    </row>
    <row r="178" spans="2:60" x14ac:dyDescent="0.3">
      <c r="B178" s="6"/>
      <c r="C178" s="10"/>
      <c r="D178" s="48" t="str">
        <f>IF(Tabla_Registro_Tareas2[[#This Row],[Actividad]]=Indice_Aux_Vacio,"",IFERROR(INDEX(plan!$D$4:$D$52,MATCH(Tabla_Registro_Tareas2[[#This Row],[Actividad]],plan!$C$4:$C$52,0)),""))</f>
        <v/>
      </c>
      <c r="E178" s="48" t="str">
        <f>IFERROR(INDEX(plan!$E$4:$E$52,MATCH(Tabla_Registro_Tareas2[[#This Row],[Actividad]],plan!$C$4:$C$52,0)),"")</f>
        <v/>
      </c>
      <c r="F178" s="49" t="str">
        <f>IF(Tabla_Registro_Tareas2[[#This Row],[Actividad]]=Indice_Aux_Vacio,"",Indice_PROBLAM_Estudiante2)</f>
        <v/>
      </c>
      <c r="G178" s="7"/>
      <c r="H178" s="8"/>
      <c r="I178" s="9"/>
      <c r="K178" s="12" t="str" cm="1">
        <f t="array" ref="K178">IF($B178&lt;&gt;"",TRANSPOSE(_xlfn._xlws.FILTER(plan!$C$4:$C$52, ($B178 &gt;= (plan!$J$4:$J$52-Indice_Plan_ExtensionPlazo))*($B178 &lt;= (plan!$K$4:$K$52+Indice_Plan_ExtensionPlazo)), "")), "")</f>
        <v/>
      </c>
      <c r="BH178" s="4"/>
    </row>
    <row r="179" spans="2:60" x14ac:dyDescent="0.3">
      <c r="B179" s="6"/>
      <c r="C179" s="10"/>
      <c r="D179" s="48" t="str">
        <f>IF(Tabla_Registro_Tareas2[[#This Row],[Actividad]]=Indice_Aux_Vacio,"",IFERROR(INDEX(plan!$D$4:$D$52,MATCH(Tabla_Registro_Tareas2[[#This Row],[Actividad]],plan!$C$4:$C$52,0)),""))</f>
        <v/>
      </c>
      <c r="E179" s="48" t="str">
        <f>IFERROR(INDEX(plan!$E$4:$E$52,MATCH(Tabla_Registro_Tareas2[[#This Row],[Actividad]],plan!$C$4:$C$52,0)),"")</f>
        <v/>
      </c>
      <c r="F179" s="49" t="str">
        <f>IF(Tabla_Registro_Tareas2[[#This Row],[Actividad]]=Indice_Aux_Vacio,"",Indice_PROBLAM_Estudiante2)</f>
        <v/>
      </c>
      <c r="G179" s="7"/>
      <c r="H179" s="8"/>
      <c r="I179" s="9"/>
      <c r="K179" s="12" t="str" cm="1">
        <f t="array" ref="K179">IF($B179&lt;&gt;"",TRANSPOSE(_xlfn._xlws.FILTER(plan!$C$4:$C$52, ($B179 &gt;= (plan!$J$4:$J$52-Indice_Plan_ExtensionPlazo))*($B179 &lt;= (plan!$K$4:$K$52+Indice_Plan_ExtensionPlazo)), "")), "")</f>
        <v/>
      </c>
      <c r="BH179" s="4"/>
    </row>
    <row r="180" spans="2:60" x14ac:dyDescent="0.3">
      <c r="B180" s="6"/>
      <c r="C180" s="10"/>
      <c r="D180" s="48" t="str">
        <f>IF(Tabla_Registro_Tareas2[[#This Row],[Actividad]]=Indice_Aux_Vacio,"",IFERROR(INDEX(plan!$D$4:$D$52,MATCH(Tabla_Registro_Tareas2[[#This Row],[Actividad]],plan!$C$4:$C$52,0)),""))</f>
        <v/>
      </c>
      <c r="E180" s="48" t="str">
        <f>IFERROR(INDEX(plan!$E$4:$E$52,MATCH(Tabla_Registro_Tareas2[[#This Row],[Actividad]],plan!$C$4:$C$52,0)),"")</f>
        <v/>
      </c>
      <c r="F180" s="49" t="str">
        <f>IF(Tabla_Registro_Tareas2[[#This Row],[Actividad]]=Indice_Aux_Vacio,"",Indice_PROBLAM_Estudiante2)</f>
        <v/>
      </c>
      <c r="G180" s="7"/>
      <c r="H180" s="8"/>
      <c r="I180" s="9"/>
      <c r="K180" s="12" t="str" cm="1">
        <f t="array" ref="K180">IF($B180&lt;&gt;"",TRANSPOSE(_xlfn._xlws.FILTER(plan!$C$4:$C$52, ($B180 &gt;= (plan!$J$4:$J$52-Indice_Plan_ExtensionPlazo))*($B180 &lt;= (plan!$K$4:$K$52+Indice_Plan_ExtensionPlazo)), "")), "")</f>
        <v/>
      </c>
      <c r="BH180" s="4"/>
    </row>
    <row r="181" spans="2:60" x14ac:dyDescent="0.3">
      <c r="B181" s="6"/>
      <c r="C181" s="10"/>
      <c r="D181" s="48" t="str">
        <f>IF(Tabla_Registro_Tareas2[[#This Row],[Actividad]]=Indice_Aux_Vacio,"",IFERROR(INDEX(plan!$D$4:$D$52,MATCH(Tabla_Registro_Tareas2[[#This Row],[Actividad]],plan!$C$4:$C$52,0)),""))</f>
        <v/>
      </c>
      <c r="E181" s="48" t="str">
        <f>IFERROR(INDEX(plan!$E$4:$E$52,MATCH(Tabla_Registro_Tareas2[[#This Row],[Actividad]],plan!$C$4:$C$52,0)),"")</f>
        <v/>
      </c>
      <c r="F181" s="49" t="str">
        <f>IF(Tabla_Registro_Tareas2[[#This Row],[Actividad]]=Indice_Aux_Vacio,"",Indice_PROBLAM_Estudiante2)</f>
        <v/>
      </c>
      <c r="G181" s="7"/>
      <c r="H181" s="8"/>
      <c r="I181" s="9"/>
      <c r="K181" s="12" t="str" cm="1">
        <f t="array" ref="K181">IF($B181&lt;&gt;"",TRANSPOSE(_xlfn._xlws.FILTER(plan!$C$4:$C$52, ($B181 &gt;= (plan!$J$4:$J$52-Indice_Plan_ExtensionPlazo))*($B181 &lt;= (plan!$K$4:$K$52+Indice_Plan_ExtensionPlazo)), "")), "")</f>
        <v/>
      </c>
      <c r="BH181" s="4"/>
    </row>
    <row r="182" spans="2:60" x14ac:dyDescent="0.3">
      <c r="B182" s="6"/>
      <c r="C182" s="10"/>
      <c r="D182" s="48" t="str">
        <f>IF(Tabla_Registro_Tareas2[[#This Row],[Actividad]]=Indice_Aux_Vacio,"",IFERROR(INDEX(plan!$D$4:$D$52,MATCH(Tabla_Registro_Tareas2[[#This Row],[Actividad]],plan!$C$4:$C$52,0)),""))</f>
        <v/>
      </c>
      <c r="E182" s="48" t="str">
        <f>IFERROR(INDEX(plan!$E$4:$E$52,MATCH(Tabla_Registro_Tareas2[[#This Row],[Actividad]],plan!$C$4:$C$52,0)),"")</f>
        <v/>
      </c>
      <c r="F182" s="49" t="str">
        <f>IF(Tabla_Registro_Tareas2[[#This Row],[Actividad]]=Indice_Aux_Vacio,"",Indice_PROBLAM_Estudiante2)</f>
        <v/>
      </c>
      <c r="G182" s="7"/>
      <c r="H182" s="8"/>
      <c r="I182" s="9"/>
      <c r="K182" s="12" t="str" cm="1">
        <f t="array" ref="K182">IF($B182&lt;&gt;"",TRANSPOSE(_xlfn._xlws.FILTER(plan!$C$4:$C$52, ($B182 &gt;= (plan!$J$4:$J$52-Indice_Plan_ExtensionPlazo))*($B182 &lt;= (plan!$K$4:$K$52+Indice_Plan_ExtensionPlazo)), "")), "")</f>
        <v/>
      </c>
      <c r="BH182" s="4"/>
    </row>
    <row r="183" spans="2:60" x14ac:dyDescent="0.3">
      <c r="B183" s="6"/>
      <c r="C183" s="10"/>
      <c r="D183" s="48" t="str">
        <f>IF(Tabla_Registro_Tareas2[[#This Row],[Actividad]]=Indice_Aux_Vacio,"",IFERROR(INDEX(plan!$D$4:$D$52,MATCH(Tabla_Registro_Tareas2[[#This Row],[Actividad]],plan!$C$4:$C$52,0)),""))</f>
        <v/>
      </c>
      <c r="E183" s="48" t="str">
        <f>IFERROR(INDEX(plan!$E$4:$E$52,MATCH(Tabla_Registro_Tareas2[[#This Row],[Actividad]],plan!$C$4:$C$52,0)),"")</f>
        <v/>
      </c>
      <c r="F183" s="49" t="str">
        <f>IF(Tabla_Registro_Tareas2[[#This Row],[Actividad]]=Indice_Aux_Vacio,"",Indice_PROBLAM_Estudiante2)</f>
        <v/>
      </c>
      <c r="G183" s="7"/>
      <c r="H183" s="8"/>
      <c r="I183" s="9"/>
      <c r="K183" s="12" t="str" cm="1">
        <f t="array" ref="K183">IF($B183&lt;&gt;"",TRANSPOSE(_xlfn._xlws.FILTER(plan!$C$4:$C$52, ($B183 &gt;= (plan!$J$4:$J$52-Indice_Plan_ExtensionPlazo))*($B183 &lt;= (plan!$K$4:$K$52+Indice_Plan_ExtensionPlazo)), "")), "")</f>
        <v/>
      </c>
      <c r="BH183" s="4"/>
    </row>
    <row r="184" spans="2:60" x14ac:dyDescent="0.3">
      <c r="B184" s="6"/>
      <c r="C184" s="10"/>
      <c r="D184" s="48" t="str">
        <f>IF(Tabla_Registro_Tareas2[[#This Row],[Actividad]]=Indice_Aux_Vacio,"",IFERROR(INDEX(plan!$D$4:$D$52,MATCH(Tabla_Registro_Tareas2[[#This Row],[Actividad]],plan!$C$4:$C$52,0)),""))</f>
        <v/>
      </c>
      <c r="E184" s="48" t="str">
        <f>IFERROR(INDEX(plan!$E$4:$E$52,MATCH(Tabla_Registro_Tareas2[[#This Row],[Actividad]],plan!$C$4:$C$52,0)),"")</f>
        <v/>
      </c>
      <c r="F184" s="49" t="str">
        <f>IF(Tabla_Registro_Tareas2[[#This Row],[Actividad]]=Indice_Aux_Vacio,"",Indice_PROBLAM_Estudiante2)</f>
        <v/>
      </c>
      <c r="G184" s="7"/>
      <c r="H184" s="8"/>
      <c r="I184" s="9"/>
      <c r="K184" s="12" t="str" cm="1">
        <f t="array" ref="K184">IF($B184&lt;&gt;"",TRANSPOSE(_xlfn._xlws.FILTER(plan!$C$4:$C$52, ($B184 &gt;= (plan!$J$4:$J$52-Indice_Plan_ExtensionPlazo))*($B184 &lt;= (plan!$K$4:$K$52+Indice_Plan_ExtensionPlazo)), "")), "")</f>
        <v/>
      </c>
      <c r="BH184" s="4"/>
    </row>
    <row r="185" spans="2:60" x14ac:dyDescent="0.3">
      <c r="B185" s="6"/>
      <c r="C185" s="10"/>
      <c r="D185" s="48" t="str">
        <f>IF(Tabla_Registro_Tareas2[[#This Row],[Actividad]]=Indice_Aux_Vacio,"",IFERROR(INDEX(plan!$D$4:$D$52,MATCH(Tabla_Registro_Tareas2[[#This Row],[Actividad]],plan!$C$4:$C$52,0)),""))</f>
        <v/>
      </c>
      <c r="E185" s="48" t="str">
        <f>IFERROR(INDEX(plan!$E$4:$E$52,MATCH(Tabla_Registro_Tareas2[[#This Row],[Actividad]],plan!$C$4:$C$52,0)),"")</f>
        <v/>
      </c>
      <c r="F185" s="49" t="str">
        <f>IF(Tabla_Registro_Tareas2[[#This Row],[Actividad]]=Indice_Aux_Vacio,"",Indice_PROBLAM_Estudiante2)</f>
        <v/>
      </c>
      <c r="G185" s="7"/>
      <c r="H185" s="8"/>
      <c r="I185" s="9"/>
      <c r="K185" s="12" t="str" cm="1">
        <f t="array" ref="K185">IF($B185&lt;&gt;"",TRANSPOSE(_xlfn._xlws.FILTER(plan!$C$4:$C$52, ($B185 &gt;= (plan!$J$4:$J$52-Indice_Plan_ExtensionPlazo))*($B185 &lt;= (plan!$K$4:$K$52+Indice_Plan_ExtensionPlazo)), "")), "")</f>
        <v/>
      </c>
      <c r="BH185" s="4"/>
    </row>
    <row r="186" spans="2:60" x14ac:dyDescent="0.3">
      <c r="B186" s="6"/>
      <c r="C186" s="10"/>
      <c r="D186" s="48" t="str">
        <f>IF(Tabla_Registro_Tareas2[[#This Row],[Actividad]]=Indice_Aux_Vacio,"",IFERROR(INDEX(plan!$D$4:$D$52,MATCH(Tabla_Registro_Tareas2[[#This Row],[Actividad]],plan!$C$4:$C$52,0)),""))</f>
        <v/>
      </c>
      <c r="E186" s="48" t="str">
        <f>IFERROR(INDEX(plan!$E$4:$E$52,MATCH(Tabla_Registro_Tareas2[[#This Row],[Actividad]],plan!$C$4:$C$52,0)),"")</f>
        <v/>
      </c>
      <c r="F186" s="49" t="str">
        <f>IF(Tabla_Registro_Tareas2[[#This Row],[Actividad]]=Indice_Aux_Vacio,"",Indice_PROBLAM_Estudiante2)</f>
        <v/>
      </c>
      <c r="G186" s="7"/>
      <c r="H186" s="8"/>
      <c r="I186" s="9"/>
      <c r="K186" s="12" t="str" cm="1">
        <f t="array" ref="K186">IF($B186&lt;&gt;"",TRANSPOSE(_xlfn._xlws.FILTER(plan!$C$4:$C$52, ($B186 &gt;= (plan!$J$4:$J$52-Indice_Plan_ExtensionPlazo))*($B186 &lt;= (plan!$K$4:$K$52+Indice_Plan_ExtensionPlazo)), "")), "")</f>
        <v/>
      </c>
      <c r="BH186" s="4"/>
    </row>
    <row r="187" spans="2:60" x14ac:dyDescent="0.3">
      <c r="B187" s="6"/>
      <c r="C187" s="10"/>
      <c r="D187" s="48" t="str">
        <f>IF(Tabla_Registro_Tareas2[[#This Row],[Actividad]]=Indice_Aux_Vacio,"",IFERROR(INDEX(plan!$D$4:$D$52,MATCH(Tabla_Registro_Tareas2[[#This Row],[Actividad]],plan!$C$4:$C$52,0)),""))</f>
        <v/>
      </c>
      <c r="E187" s="48" t="str">
        <f>IFERROR(INDEX(plan!$E$4:$E$52,MATCH(Tabla_Registro_Tareas2[[#This Row],[Actividad]],plan!$C$4:$C$52,0)),"")</f>
        <v/>
      </c>
      <c r="F187" s="49" t="str">
        <f>IF(Tabla_Registro_Tareas2[[#This Row],[Actividad]]=Indice_Aux_Vacio,"",Indice_PROBLAM_Estudiante2)</f>
        <v/>
      </c>
      <c r="G187" s="7"/>
      <c r="H187" s="8"/>
      <c r="I187" s="9"/>
      <c r="K187" s="12" t="str" cm="1">
        <f t="array" ref="K187">IF($B187&lt;&gt;"",TRANSPOSE(_xlfn._xlws.FILTER(plan!$C$4:$C$52, ($B187 &gt;= (plan!$J$4:$J$52-Indice_Plan_ExtensionPlazo))*($B187 &lt;= (plan!$K$4:$K$52+Indice_Plan_ExtensionPlazo)), "")), "")</f>
        <v/>
      </c>
      <c r="BH187" s="4"/>
    </row>
    <row r="188" spans="2:60" x14ac:dyDescent="0.3">
      <c r="B188" s="6"/>
      <c r="C188" s="10"/>
      <c r="D188" s="48" t="str">
        <f>IF(Tabla_Registro_Tareas2[[#This Row],[Actividad]]=Indice_Aux_Vacio,"",IFERROR(INDEX(plan!$D$4:$D$52,MATCH(Tabla_Registro_Tareas2[[#This Row],[Actividad]],plan!$C$4:$C$52,0)),""))</f>
        <v/>
      </c>
      <c r="E188" s="48" t="str">
        <f>IFERROR(INDEX(plan!$E$4:$E$52,MATCH(Tabla_Registro_Tareas2[[#This Row],[Actividad]],plan!$C$4:$C$52,0)),"")</f>
        <v/>
      </c>
      <c r="F188" s="49" t="str">
        <f>IF(Tabla_Registro_Tareas2[[#This Row],[Actividad]]=Indice_Aux_Vacio,"",Indice_PROBLAM_Estudiante2)</f>
        <v/>
      </c>
      <c r="G188" s="7"/>
      <c r="H188" s="8"/>
      <c r="I188" s="9"/>
      <c r="K188" s="12" t="str" cm="1">
        <f t="array" ref="K188">IF($B188&lt;&gt;"",TRANSPOSE(_xlfn._xlws.FILTER(plan!$C$4:$C$52, ($B188 &gt;= (plan!$J$4:$J$52-Indice_Plan_ExtensionPlazo))*($B188 &lt;= (plan!$K$4:$K$52+Indice_Plan_ExtensionPlazo)), "")), "")</f>
        <v/>
      </c>
      <c r="BH188" s="4"/>
    </row>
    <row r="189" spans="2:60" x14ac:dyDescent="0.3">
      <c r="B189" s="6"/>
      <c r="C189" s="10"/>
      <c r="D189" s="48" t="str">
        <f>IF(Tabla_Registro_Tareas2[[#This Row],[Actividad]]=Indice_Aux_Vacio,"",IFERROR(INDEX(plan!$D$4:$D$52,MATCH(Tabla_Registro_Tareas2[[#This Row],[Actividad]],plan!$C$4:$C$52,0)),""))</f>
        <v/>
      </c>
      <c r="E189" s="48" t="str">
        <f>IFERROR(INDEX(plan!$E$4:$E$52,MATCH(Tabla_Registro_Tareas2[[#This Row],[Actividad]],plan!$C$4:$C$52,0)),"")</f>
        <v/>
      </c>
      <c r="F189" s="49" t="str">
        <f>IF(Tabla_Registro_Tareas2[[#This Row],[Actividad]]=Indice_Aux_Vacio,"",Indice_PROBLAM_Estudiante2)</f>
        <v/>
      </c>
      <c r="G189" s="7"/>
      <c r="H189" s="8"/>
      <c r="I189" s="9"/>
      <c r="K189" s="12" t="str" cm="1">
        <f t="array" ref="K189">IF($B189&lt;&gt;"",TRANSPOSE(_xlfn._xlws.FILTER(plan!$C$4:$C$52, ($B189 &gt;= (plan!$J$4:$J$52-Indice_Plan_ExtensionPlazo))*($B189 &lt;= (plan!$K$4:$K$52+Indice_Plan_ExtensionPlazo)), "")), "")</f>
        <v/>
      </c>
      <c r="BH189" s="4"/>
    </row>
    <row r="190" spans="2:60" x14ac:dyDescent="0.3">
      <c r="B190" s="6"/>
      <c r="C190" s="10"/>
      <c r="D190" s="48" t="str">
        <f>IF(Tabla_Registro_Tareas2[[#This Row],[Actividad]]=Indice_Aux_Vacio,"",IFERROR(INDEX(plan!$D$4:$D$52,MATCH(Tabla_Registro_Tareas2[[#This Row],[Actividad]],plan!$C$4:$C$52,0)),""))</f>
        <v/>
      </c>
      <c r="E190" s="48" t="str">
        <f>IFERROR(INDEX(plan!$E$4:$E$52,MATCH(Tabla_Registro_Tareas2[[#This Row],[Actividad]],plan!$C$4:$C$52,0)),"")</f>
        <v/>
      </c>
      <c r="F190" s="49" t="str">
        <f>IF(Tabla_Registro_Tareas2[[#This Row],[Actividad]]=Indice_Aux_Vacio,"",Indice_PROBLAM_Estudiante2)</f>
        <v/>
      </c>
      <c r="G190" s="7"/>
      <c r="H190" s="8"/>
      <c r="I190" s="9"/>
      <c r="K190" s="12" t="str" cm="1">
        <f t="array" ref="K190">IF($B190&lt;&gt;"",TRANSPOSE(_xlfn._xlws.FILTER(plan!$C$4:$C$52, ($B190 &gt;= (plan!$J$4:$J$52-Indice_Plan_ExtensionPlazo))*($B190 &lt;= (plan!$K$4:$K$52+Indice_Plan_ExtensionPlazo)), "")), "")</f>
        <v/>
      </c>
      <c r="BH190" s="4"/>
    </row>
    <row r="191" spans="2:60" x14ac:dyDescent="0.3">
      <c r="B191" s="6"/>
      <c r="C191" s="10"/>
      <c r="D191" s="48" t="str">
        <f>IF(Tabla_Registro_Tareas2[[#This Row],[Actividad]]=Indice_Aux_Vacio,"",IFERROR(INDEX(plan!$D$4:$D$52,MATCH(Tabla_Registro_Tareas2[[#This Row],[Actividad]],plan!$C$4:$C$52,0)),""))</f>
        <v/>
      </c>
      <c r="E191" s="48" t="str">
        <f>IFERROR(INDEX(plan!$E$4:$E$52,MATCH(Tabla_Registro_Tareas2[[#This Row],[Actividad]],plan!$C$4:$C$52,0)),"")</f>
        <v/>
      </c>
      <c r="F191" s="49" t="str">
        <f>IF(Tabla_Registro_Tareas2[[#This Row],[Actividad]]=Indice_Aux_Vacio,"",Indice_PROBLAM_Estudiante2)</f>
        <v/>
      </c>
      <c r="G191" s="7"/>
      <c r="H191" s="8"/>
      <c r="I191" s="9"/>
      <c r="K191" s="12" t="str" cm="1">
        <f t="array" ref="K191">IF($B191&lt;&gt;"",TRANSPOSE(_xlfn._xlws.FILTER(plan!$C$4:$C$52, ($B191 &gt;= (plan!$J$4:$J$52-Indice_Plan_ExtensionPlazo))*($B191 &lt;= (plan!$K$4:$K$52+Indice_Plan_ExtensionPlazo)), "")), "")</f>
        <v/>
      </c>
      <c r="BH191" s="4"/>
    </row>
    <row r="192" spans="2:60" x14ac:dyDescent="0.3">
      <c r="B192" s="6"/>
      <c r="C192" s="10"/>
      <c r="D192" s="48" t="str">
        <f>IF(Tabla_Registro_Tareas2[[#This Row],[Actividad]]=Indice_Aux_Vacio,"",IFERROR(INDEX(plan!$D$4:$D$52,MATCH(Tabla_Registro_Tareas2[[#This Row],[Actividad]],plan!$C$4:$C$52,0)),""))</f>
        <v/>
      </c>
      <c r="E192" s="48" t="str">
        <f>IFERROR(INDEX(plan!$E$4:$E$52,MATCH(Tabla_Registro_Tareas2[[#This Row],[Actividad]],plan!$C$4:$C$52,0)),"")</f>
        <v/>
      </c>
      <c r="F192" s="49" t="str">
        <f>IF(Tabla_Registro_Tareas2[[#This Row],[Actividad]]=Indice_Aux_Vacio,"",Indice_PROBLAM_Estudiante2)</f>
        <v/>
      </c>
      <c r="G192" s="7"/>
      <c r="H192" s="8"/>
      <c r="I192" s="9"/>
      <c r="K192" s="12" t="str" cm="1">
        <f t="array" ref="K192">IF($B192&lt;&gt;"",TRANSPOSE(_xlfn._xlws.FILTER(plan!$C$4:$C$52, ($B192 &gt;= (plan!$J$4:$J$52-Indice_Plan_ExtensionPlazo))*($B192 &lt;= (plan!$K$4:$K$52+Indice_Plan_ExtensionPlazo)), "")), "")</f>
        <v/>
      </c>
      <c r="BH192" s="4"/>
    </row>
    <row r="193" spans="2:60" x14ac:dyDescent="0.3">
      <c r="B193" s="6"/>
      <c r="C193" s="10"/>
      <c r="D193" s="48" t="str">
        <f>IF(Tabla_Registro_Tareas2[[#This Row],[Actividad]]=Indice_Aux_Vacio,"",IFERROR(INDEX(plan!$D$4:$D$52,MATCH(Tabla_Registro_Tareas2[[#This Row],[Actividad]],plan!$C$4:$C$52,0)),""))</f>
        <v/>
      </c>
      <c r="E193" s="48" t="str">
        <f>IFERROR(INDEX(plan!$E$4:$E$52,MATCH(Tabla_Registro_Tareas2[[#This Row],[Actividad]],plan!$C$4:$C$52,0)),"")</f>
        <v/>
      </c>
      <c r="F193" s="49" t="str">
        <f>IF(Tabla_Registro_Tareas2[[#This Row],[Actividad]]=Indice_Aux_Vacio,"",Indice_PROBLAM_Estudiante2)</f>
        <v/>
      </c>
      <c r="G193" s="7"/>
      <c r="H193" s="8"/>
      <c r="I193" s="9"/>
      <c r="K193" s="12" t="str" cm="1">
        <f t="array" ref="K193">IF($B193&lt;&gt;"",TRANSPOSE(_xlfn._xlws.FILTER(plan!$C$4:$C$52, ($B193 &gt;= (plan!$J$4:$J$52-Indice_Plan_ExtensionPlazo))*($B193 &lt;= (plan!$K$4:$K$52+Indice_Plan_ExtensionPlazo)), "")), "")</f>
        <v/>
      </c>
      <c r="BH193" s="4"/>
    </row>
    <row r="194" spans="2:60" x14ac:dyDescent="0.3">
      <c r="B194" s="6"/>
      <c r="C194" s="10"/>
      <c r="D194" s="48" t="str">
        <f>IF(Tabla_Registro_Tareas2[[#This Row],[Actividad]]=Indice_Aux_Vacio,"",IFERROR(INDEX(plan!$D$4:$D$52,MATCH(Tabla_Registro_Tareas2[[#This Row],[Actividad]],plan!$C$4:$C$52,0)),""))</f>
        <v/>
      </c>
      <c r="E194" s="48" t="str">
        <f>IFERROR(INDEX(plan!$E$4:$E$52,MATCH(Tabla_Registro_Tareas2[[#This Row],[Actividad]],plan!$C$4:$C$52,0)),"")</f>
        <v/>
      </c>
      <c r="F194" s="49" t="str">
        <f>IF(Tabla_Registro_Tareas2[[#This Row],[Actividad]]=Indice_Aux_Vacio,"",Indice_PROBLAM_Estudiante2)</f>
        <v/>
      </c>
      <c r="G194" s="7"/>
      <c r="H194" s="8"/>
      <c r="I194" s="9"/>
      <c r="K194" s="12" t="str" cm="1">
        <f t="array" ref="K194">IF($B194&lt;&gt;"",TRANSPOSE(_xlfn._xlws.FILTER(plan!$C$4:$C$52, ($B194 &gt;= (plan!$J$4:$J$52-Indice_Plan_ExtensionPlazo))*($B194 &lt;= (plan!$K$4:$K$52+Indice_Plan_ExtensionPlazo)), "")), "")</f>
        <v/>
      </c>
      <c r="BH194" s="4"/>
    </row>
    <row r="195" spans="2:60" x14ac:dyDescent="0.3">
      <c r="B195" s="6"/>
      <c r="C195" s="10"/>
      <c r="D195" s="48" t="str">
        <f>IF(Tabla_Registro_Tareas2[[#This Row],[Actividad]]=Indice_Aux_Vacio,"",IFERROR(INDEX(plan!$D$4:$D$52,MATCH(Tabla_Registro_Tareas2[[#This Row],[Actividad]],plan!$C$4:$C$52,0)),""))</f>
        <v/>
      </c>
      <c r="E195" s="48" t="str">
        <f>IFERROR(INDEX(plan!$E$4:$E$52,MATCH(Tabla_Registro_Tareas2[[#This Row],[Actividad]],plan!$C$4:$C$52,0)),"")</f>
        <v/>
      </c>
      <c r="F195" s="49" t="str">
        <f>IF(Tabla_Registro_Tareas2[[#This Row],[Actividad]]=Indice_Aux_Vacio,"",Indice_PROBLAM_Estudiante2)</f>
        <v/>
      </c>
      <c r="G195" s="7"/>
      <c r="H195" s="8"/>
      <c r="I195" s="9"/>
      <c r="K195" s="12" t="str" cm="1">
        <f t="array" ref="K195">IF($B195&lt;&gt;"",TRANSPOSE(_xlfn._xlws.FILTER(plan!$C$4:$C$52, ($B195 &gt;= (plan!$J$4:$J$52-Indice_Plan_ExtensionPlazo))*($B195 &lt;= (plan!$K$4:$K$52+Indice_Plan_ExtensionPlazo)), "")), "")</f>
        <v/>
      </c>
      <c r="BH195" s="4"/>
    </row>
    <row r="196" spans="2:60" x14ac:dyDescent="0.3">
      <c r="B196" s="6"/>
      <c r="C196" s="10"/>
      <c r="D196" s="48" t="str">
        <f>IF(Tabla_Registro_Tareas2[[#This Row],[Actividad]]=Indice_Aux_Vacio,"",IFERROR(INDEX(plan!$D$4:$D$52,MATCH(Tabla_Registro_Tareas2[[#This Row],[Actividad]],plan!$C$4:$C$52,0)),""))</f>
        <v/>
      </c>
      <c r="E196" s="48" t="str">
        <f>IFERROR(INDEX(plan!$E$4:$E$52,MATCH(Tabla_Registro_Tareas2[[#This Row],[Actividad]],plan!$C$4:$C$52,0)),"")</f>
        <v/>
      </c>
      <c r="F196" s="49" t="str">
        <f>IF(Tabla_Registro_Tareas2[[#This Row],[Actividad]]=Indice_Aux_Vacio,"",Indice_PROBLAM_Estudiante2)</f>
        <v/>
      </c>
      <c r="G196" s="7"/>
      <c r="H196" s="8"/>
      <c r="I196" s="9"/>
      <c r="K196" s="12" t="str" cm="1">
        <f t="array" ref="K196">IF($B196&lt;&gt;"",TRANSPOSE(_xlfn._xlws.FILTER(plan!$C$4:$C$52, ($B196 &gt;= (plan!$J$4:$J$52-Indice_Plan_ExtensionPlazo))*($B196 &lt;= (plan!$K$4:$K$52+Indice_Plan_ExtensionPlazo)), "")), "")</f>
        <v/>
      </c>
      <c r="BH196" s="4"/>
    </row>
    <row r="197" spans="2:60" x14ac:dyDescent="0.3">
      <c r="B197" s="6"/>
      <c r="C197" s="10"/>
      <c r="D197" s="48" t="str">
        <f>IF(Tabla_Registro_Tareas2[[#This Row],[Actividad]]=Indice_Aux_Vacio,"",IFERROR(INDEX(plan!$D$4:$D$52,MATCH(Tabla_Registro_Tareas2[[#This Row],[Actividad]],plan!$C$4:$C$52,0)),""))</f>
        <v/>
      </c>
      <c r="E197" s="48" t="str">
        <f>IFERROR(INDEX(plan!$E$4:$E$52,MATCH(Tabla_Registro_Tareas2[[#This Row],[Actividad]],plan!$C$4:$C$52,0)),"")</f>
        <v/>
      </c>
      <c r="F197" s="49" t="str">
        <f>IF(Tabla_Registro_Tareas2[[#This Row],[Actividad]]=Indice_Aux_Vacio,"",Indice_PROBLAM_Estudiante2)</f>
        <v/>
      </c>
      <c r="G197" s="7"/>
      <c r="H197" s="8"/>
      <c r="I197" s="9"/>
      <c r="K197" s="12" t="str" cm="1">
        <f t="array" ref="K197">IF($B197&lt;&gt;"",TRANSPOSE(_xlfn._xlws.FILTER(plan!$C$4:$C$52, ($B197 &gt;= (plan!$J$4:$J$52-Indice_Plan_ExtensionPlazo))*($B197 &lt;= (plan!$K$4:$K$52+Indice_Plan_ExtensionPlazo)), "")), "")</f>
        <v/>
      </c>
      <c r="BH197" s="4"/>
    </row>
    <row r="198" spans="2:60" x14ac:dyDescent="0.3">
      <c r="B198" s="6"/>
      <c r="C198" s="10"/>
      <c r="D198" s="48" t="str">
        <f>IF(Tabla_Registro_Tareas2[[#This Row],[Actividad]]=Indice_Aux_Vacio,"",IFERROR(INDEX(plan!$D$4:$D$52,MATCH(Tabla_Registro_Tareas2[[#This Row],[Actividad]],plan!$C$4:$C$52,0)),""))</f>
        <v/>
      </c>
      <c r="E198" s="48" t="str">
        <f>IFERROR(INDEX(plan!$E$4:$E$52,MATCH(Tabla_Registro_Tareas2[[#This Row],[Actividad]],plan!$C$4:$C$52,0)),"")</f>
        <v/>
      </c>
      <c r="F198" s="49" t="str">
        <f>IF(Tabla_Registro_Tareas2[[#This Row],[Actividad]]=Indice_Aux_Vacio,"",Indice_PROBLAM_Estudiante2)</f>
        <v/>
      </c>
      <c r="G198" s="7"/>
      <c r="H198" s="8"/>
      <c r="I198" s="9"/>
      <c r="K198" s="12" t="str" cm="1">
        <f t="array" ref="K198">IF($B198&lt;&gt;"",TRANSPOSE(_xlfn._xlws.FILTER(plan!$C$4:$C$52, ($B198 &gt;= (plan!$J$4:$J$52-Indice_Plan_ExtensionPlazo))*($B198 &lt;= (plan!$K$4:$K$52+Indice_Plan_ExtensionPlazo)), "")), "")</f>
        <v/>
      </c>
      <c r="BH198" s="4"/>
    </row>
    <row r="199" spans="2:60" x14ac:dyDescent="0.3">
      <c r="B199" s="6"/>
      <c r="C199" s="10"/>
      <c r="D199" s="48" t="str">
        <f>IF(Tabla_Registro_Tareas2[[#This Row],[Actividad]]=Indice_Aux_Vacio,"",IFERROR(INDEX(plan!$D$4:$D$52,MATCH(Tabla_Registro_Tareas2[[#This Row],[Actividad]],plan!$C$4:$C$52,0)),""))</f>
        <v/>
      </c>
      <c r="E199" s="48" t="str">
        <f>IFERROR(INDEX(plan!$E$4:$E$52,MATCH(Tabla_Registro_Tareas2[[#This Row],[Actividad]],plan!$C$4:$C$52,0)),"")</f>
        <v/>
      </c>
      <c r="F199" s="49" t="str">
        <f>IF(Tabla_Registro_Tareas2[[#This Row],[Actividad]]=Indice_Aux_Vacio,"",Indice_PROBLAM_Estudiante2)</f>
        <v/>
      </c>
      <c r="G199" s="7"/>
      <c r="H199" s="8"/>
      <c r="I199" s="9"/>
      <c r="K199" s="12" t="str" cm="1">
        <f t="array" ref="K199">IF($B199&lt;&gt;"",TRANSPOSE(_xlfn._xlws.FILTER(plan!$C$4:$C$52, ($B199 &gt;= (plan!$J$4:$J$52-Indice_Plan_ExtensionPlazo))*($B199 &lt;= (plan!$K$4:$K$52+Indice_Plan_ExtensionPlazo)), "")), "")</f>
        <v/>
      </c>
      <c r="BH199" s="4"/>
    </row>
    <row r="200" spans="2:60" x14ac:dyDescent="0.3">
      <c r="B200" s="6"/>
      <c r="C200" s="10"/>
      <c r="D200" s="48" t="str">
        <f>IF(Tabla_Registro_Tareas2[[#This Row],[Actividad]]=Indice_Aux_Vacio,"",IFERROR(INDEX(plan!$D$4:$D$52,MATCH(Tabla_Registro_Tareas2[[#This Row],[Actividad]],plan!$C$4:$C$52,0)),""))</f>
        <v/>
      </c>
      <c r="E200" s="48" t="str">
        <f>IFERROR(INDEX(plan!$E$4:$E$52,MATCH(Tabla_Registro_Tareas2[[#This Row],[Actividad]],plan!$C$4:$C$52,0)),"")</f>
        <v/>
      </c>
      <c r="F200" s="49" t="str">
        <f>IF(Tabla_Registro_Tareas2[[#This Row],[Actividad]]=Indice_Aux_Vacio,"",Indice_PROBLAM_Estudiante2)</f>
        <v/>
      </c>
      <c r="G200" s="7"/>
      <c r="H200" s="8"/>
      <c r="I200" s="9"/>
      <c r="K200" s="12" t="str" cm="1">
        <f t="array" ref="K200">IF($B200&lt;&gt;"",TRANSPOSE(_xlfn._xlws.FILTER(plan!$C$4:$C$52, ($B200 &gt;= (plan!$J$4:$J$52-Indice_Plan_ExtensionPlazo))*($B200 &lt;= (plan!$K$4:$K$52+Indice_Plan_ExtensionPlazo)), "")), "")</f>
        <v/>
      </c>
      <c r="BH200" s="4"/>
    </row>
    <row r="201" spans="2:60" x14ac:dyDescent="0.3">
      <c r="B201" s="6"/>
      <c r="C201" s="10"/>
      <c r="D201" s="48" t="str">
        <f>IF(Tabla_Registro_Tareas2[[#This Row],[Actividad]]=Indice_Aux_Vacio,"",IFERROR(INDEX(plan!$D$4:$D$52,MATCH(Tabla_Registro_Tareas2[[#This Row],[Actividad]],plan!$C$4:$C$52,0)),""))</f>
        <v/>
      </c>
      <c r="E201" s="48" t="str">
        <f>IFERROR(INDEX(plan!$E$4:$E$52,MATCH(Tabla_Registro_Tareas2[[#This Row],[Actividad]],plan!$C$4:$C$52,0)),"")</f>
        <v/>
      </c>
      <c r="F201" s="49" t="str">
        <f>IF(Tabla_Registro_Tareas2[[#This Row],[Actividad]]=Indice_Aux_Vacio,"",Indice_PROBLAM_Estudiante2)</f>
        <v/>
      </c>
      <c r="G201" s="7"/>
      <c r="H201" s="8"/>
      <c r="I201" s="9"/>
      <c r="K201" s="12" t="str" cm="1">
        <f t="array" ref="K201">IF($B201&lt;&gt;"",TRANSPOSE(_xlfn._xlws.FILTER(plan!$C$4:$C$52, ($B201 &gt;= (plan!$J$4:$J$52-Indice_Plan_ExtensionPlazo))*($B201 &lt;= (plan!$K$4:$K$52+Indice_Plan_ExtensionPlazo)), "")), "")</f>
        <v/>
      </c>
      <c r="BH201" s="4"/>
    </row>
    <row r="202" spans="2:60" x14ac:dyDescent="0.3">
      <c r="B202" s="6"/>
      <c r="C202" s="10"/>
      <c r="D202" s="48" t="str">
        <f>IF(Tabla_Registro_Tareas2[[#This Row],[Actividad]]=Indice_Aux_Vacio,"",IFERROR(INDEX(plan!$D$4:$D$52,MATCH(Tabla_Registro_Tareas2[[#This Row],[Actividad]],plan!$C$4:$C$52,0)),""))</f>
        <v/>
      </c>
      <c r="E202" s="48" t="str">
        <f>IFERROR(INDEX(plan!$E$4:$E$52,MATCH(Tabla_Registro_Tareas2[[#This Row],[Actividad]],plan!$C$4:$C$52,0)),"")</f>
        <v/>
      </c>
      <c r="F202" s="49" t="str">
        <f>IF(Tabla_Registro_Tareas2[[#This Row],[Actividad]]=Indice_Aux_Vacio,"",Indice_PROBLAM_Estudiante2)</f>
        <v/>
      </c>
      <c r="G202" s="7"/>
      <c r="H202" s="8"/>
      <c r="I202" s="9"/>
      <c r="K202" s="12" t="str" cm="1">
        <f t="array" ref="K202">IF($B202&lt;&gt;"",TRANSPOSE(_xlfn._xlws.FILTER(plan!$C$4:$C$52, ($B202 &gt;= (plan!$J$4:$J$52-Indice_Plan_ExtensionPlazo))*($B202 &lt;= (plan!$K$4:$K$52+Indice_Plan_ExtensionPlazo)), "")), "")</f>
        <v/>
      </c>
      <c r="BH202" s="4"/>
    </row>
    <row r="203" spans="2:60" x14ac:dyDescent="0.3">
      <c r="B203" s="6"/>
      <c r="C203" s="10"/>
      <c r="D203" s="48" t="str">
        <f>IF(Tabla_Registro_Tareas2[[#This Row],[Actividad]]=Indice_Aux_Vacio,"",IFERROR(INDEX(plan!$D$4:$D$52,MATCH(Tabla_Registro_Tareas2[[#This Row],[Actividad]],plan!$C$4:$C$52,0)),""))</f>
        <v/>
      </c>
      <c r="E203" s="48" t="str">
        <f>IFERROR(INDEX(plan!$E$4:$E$52,MATCH(Tabla_Registro_Tareas2[[#This Row],[Actividad]],plan!$C$4:$C$52,0)),"")</f>
        <v/>
      </c>
      <c r="F203" s="49" t="str">
        <f>IF(Tabla_Registro_Tareas2[[#This Row],[Actividad]]=Indice_Aux_Vacio,"",Indice_PROBLAM_Estudiante2)</f>
        <v/>
      </c>
      <c r="G203" s="7"/>
      <c r="H203" s="8"/>
      <c r="I203" s="9"/>
      <c r="K203" s="12" t="str" cm="1">
        <f t="array" ref="K203">IF($B203&lt;&gt;"",TRANSPOSE(_xlfn._xlws.FILTER(plan!$C$4:$C$52, ($B203 &gt;= (plan!$J$4:$J$52-Indice_Plan_ExtensionPlazo))*($B203 &lt;= (plan!$K$4:$K$52+Indice_Plan_ExtensionPlazo)), "")), "")</f>
        <v/>
      </c>
      <c r="BH203" s="4"/>
    </row>
    <row r="204" spans="2:60" x14ac:dyDescent="0.3">
      <c r="B204" s="6"/>
      <c r="C204" s="10"/>
      <c r="D204" s="48" t="str">
        <f>IF(Tabla_Registro_Tareas2[[#This Row],[Actividad]]=Indice_Aux_Vacio,"",IFERROR(INDEX(plan!$D$4:$D$52,MATCH(Tabla_Registro_Tareas2[[#This Row],[Actividad]],plan!$C$4:$C$52,0)),""))</f>
        <v/>
      </c>
      <c r="E204" s="48" t="str">
        <f>IFERROR(INDEX(plan!$E$4:$E$52,MATCH(Tabla_Registro_Tareas2[[#This Row],[Actividad]],plan!$C$4:$C$52,0)),"")</f>
        <v/>
      </c>
      <c r="F204" s="49" t="str">
        <f>IF(Tabla_Registro_Tareas2[[#This Row],[Actividad]]=Indice_Aux_Vacio,"",Indice_PROBLAM_Estudiante2)</f>
        <v/>
      </c>
      <c r="G204" s="7"/>
      <c r="H204" s="8"/>
      <c r="I204" s="9"/>
      <c r="K204" s="12" t="str" cm="1">
        <f t="array" ref="K204">IF($B204&lt;&gt;"",TRANSPOSE(_xlfn._xlws.FILTER(plan!$C$4:$C$52, ($B204 &gt;= (plan!$J$4:$J$52-Indice_Plan_ExtensionPlazo))*($B204 &lt;= (plan!$K$4:$K$52+Indice_Plan_ExtensionPlazo)), "")), "")</f>
        <v/>
      </c>
      <c r="BH204" s="4"/>
    </row>
    <row r="205" spans="2:60" x14ac:dyDescent="0.3">
      <c r="B205" s="6"/>
      <c r="C205" s="10"/>
      <c r="D205" s="48" t="str">
        <f>IF(Tabla_Registro_Tareas2[[#This Row],[Actividad]]=Indice_Aux_Vacio,"",IFERROR(INDEX(plan!$D$4:$D$52,MATCH(Tabla_Registro_Tareas2[[#This Row],[Actividad]],plan!$C$4:$C$52,0)),""))</f>
        <v/>
      </c>
      <c r="E205" s="48" t="str">
        <f>IFERROR(INDEX(plan!$E$4:$E$52,MATCH(Tabla_Registro_Tareas2[[#This Row],[Actividad]],plan!$C$4:$C$52,0)),"")</f>
        <v/>
      </c>
      <c r="F205" s="49" t="str">
        <f>IF(Tabla_Registro_Tareas2[[#This Row],[Actividad]]=Indice_Aux_Vacio,"",Indice_PROBLAM_Estudiante2)</f>
        <v/>
      </c>
      <c r="G205" s="7"/>
      <c r="H205" s="8"/>
      <c r="I205" s="9"/>
      <c r="K205" s="12" t="str" cm="1">
        <f t="array" ref="K205">IF($B205&lt;&gt;"",TRANSPOSE(_xlfn._xlws.FILTER(plan!$C$4:$C$52, ($B205 &gt;= (plan!$J$4:$J$52-Indice_Plan_ExtensionPlazo))*($B205 &lt;= (plan!$K$4:$K$52+Indice_Plan_ExtensionPlazo)), "")), "")</f>
        <v/>
      </c>
      <c r="BH205" s="4"/>
    </row>
    <row r="206" spans="2:60" x14ac:dyDescent="0.3">
      <c r="B206" s="6"/>
      <c r="C206" s="10"/>
      <c r="D206" s="48" t="str">
        <f>IF(Tabla_Registro_Tareas2[[#This Row],[Actividad]]=Indice_Aux_Vacio,"",IFERROR(INDEX(plan!$D$4:$D$52,MATCH(Tabla_Registro_Tareas2[[#This Row],[Actividad]],plan!$C$4:$C$52,0)),""))</f>
        <v/>
      </c>
      <c r="E206" s="48" t="str">
        <f>IFERROR(INDEX(plan!$E$4:$E$52,MATCH(Tabla_Registro_Tareas2[[#This Row],[Actividad]],plan!$C$4:$C$52,0)),"")</f>
        <v/>
      </c>
      <c r="F206" s="49" t="str">
        <f>IF(Tabla_Registro_Tareas2[[#This Row],[Actividad]]=Indice_Aux_Vacio,"",Indice_PROBLAM_Estudiante2)</f>
        <v/>
      </c>
      <c r="G206" s="7"/>
      <c r="H206" s="8"/>
      <c r="I206" s="9"/>
      <c r="K206" s="12" t="str" cm="1">
        <f t="array" ref="K206">IF($B206&lt;&gt;"",TRANSPOSE(_xlfn._xlws.FILTER(plan!$C$4:$C$52, ($B206 &gt;= (plan!$J$4:$J$52-Indice_Plan_ExtensionPlazo))*($B206 &lt;= (plan!$K$4:$K$52+Indice_Plan_ExtensionPlazo)), "")), "")</f>
        <v/>
      </c>
      <c r="BH206" s="4"/>
    </row>
    <row r="207" spans="2:60" x14ac:dyDescent="0.3">
      <c r="B207" s="6"/>
      <c r="C207" s="10"/>
      <c r="D207" s="48" t="str">
        <f>IF(Tabla_Registro_Tareas2[[#This Row],[Actividad]]=Indice_Aux_Vacio,"",IFERROR(INDEX(plan!$D$4:$D$52,MATCH(Tabla_Registro_Tareas2[[#This Row],[Actividad]],plan!$C$4:$C$52,0)),""))</f>
        <v/>
      </c>
      <c r="E207" s="48" t="str">
        <f>IFERROR(INDEX(plan!$E$4:$E$52,MATCH(Tabla_Registro_Tareas2[[#This Row],[Actividad]],plan!$C$4:$C$52,0)),"")</f>
        <v/>
      </c>
      <c r="F207" s="49" t="str">
        <f>IF(Tabla_Registro_Tareas2[[#This Row],[Actividad]]=Indice_Aux_Vacio,"",Indice_PROBLAM_Estudiante2)</f>
        <v/>
      </c>
      <c r="G207" s="7"/>
      <c r="H207" s="8"/>
      <c r="I207" s="9"/>
      <c r="K207" s="12" t="str" cm="1">
        <f t="array" ref="K207">IF($B207&lt;&gt;"",TRANSPOSE(_xlfn._xlws.FILTER(plan!$C$4:$C$52, ($B207 &gt;= (plan!$J$4:$J$52-Indice_Plan_ExtensionPlazo))*($B207 &lt;= (plan!$K$4:$K$52+Indice_Plan_ExtensionPlazo)), "")), "")</f>
        <v/>
      </c>
      <c r="BH207" s="4"/>
    </row>
    <row r="208" spans="2:60" x14ac:dyDescent="0.3">
      <c r="B208" s="6"/>
      <c r="C208" s="10"/>
      <c r="D208" s="48" t="str">
        <f>IF(Tabla_Registro_Tareas2[[#This Row],[Actividad]]=Indice_Aux_Vacio,"",IFERROR(INDEX(plan!$D$4:$D$52,MATCH(Tabla_Registro_Tareas2[[#This Row],[Actividad]],plan!$C$4:$C$52,0)),""))</f>
        <v/>
      </c>
      <c r="E208" s="48" t="str">
        <f>IFERROR(INDEX(plan!$E$4:$E$52,MATCH(Tabla_Registro_Tareas2[[#This Row],[Actividad]],plan!$C$4:$C$52,0)),"")</f>
        <v/>
      </c>
      <c r="F208" s="49" t="str">
        <f>IF(Tabla_Registro_Tareas2[[#This Row],[Actividad]]=Indice_Aux_Vacio,"",Indice_PROBLAM_Estudiante2)</f>
        <v/>
      </c>
      <c r="G208" s="7"/>
      <c r="H208" s="8"/>
      <c r="I208" s="9"/>
      <c r="K208" s="12" t="str" cm="1">
        <f t="array" ref="K208">IF($B208&lt;&gt;"",TRANSPOSE(_xlfn._xlws.FILTER(plan!$C$4:$C$52, ($B208 &gt;= (plan!$J$4:$J$52-Indice_Plan_ExtensionPlazo))*($B208 &lt;= (plan!$K$4:$K$52+Indice_Plan_ExtensionPlazo)), "")), "")</f>
        <v/>
      </c>
      <c r="BH208" s="4"/>
    </row>
    <row r="209" spans="2:60" x14ac:dyDescent="0.3">
      <c r="B209" s="6"/>
      <c r="C209" s="10"/>
      <c r="D209" s="48" t="str">
        <f>IF(Tabla_Registro_Tareas2[[#This Row],[Actividad]]=Indice_Aux_Vacio,"",IFERROR(INDEX(plan!$D$4:$D$52,MATCH(Tabla_Registro_Tareas2[[#This Row],[Actividad]],plan!$C$4:$C$52,0)),""))</f>
        <v/>
      </c>
      <c r="E209" s="48" t="str">
        <f>IFERROR(INDEX(plan!$E$4:$E$52,MATCH(Tabla_Registro_Tareas2[[#This Row],[Actividad]],plan!$C$4:$C$52,0)),"")</f>
        <v/>
      </c>
      <c r="F209" s="49" t="str">
        <f>IF(Tabla_Registro_Tareas2[[#This Row],[Actividad]]=Indice_Aux_Vacio,"",Indice_PROBLAM_Estudiante2)</f>
        <v/>
      </c>
      <c r="G209" s="7"/>
      <c r="H209" s="8"/>
      <c r="I209" s="9"/>
      <c r="K209" s="12" t="str" cm="1">
        <f t="array" ref="K209">IF($B209&lt;&gt;"",TRANSPOSE(_xlfn._xlws.FILTER(plan!$C$4:$C$52, ($B209 &gt;= (plan!$J$4:$J$52-Indice_Plan_ExtensionPlazo))*($B209 &lt;= (plan!$K$4:$K$52+Indice_Plan_ExtensionPlazo)), "")), "")</f>
        <v/>
      </c>
      <c r="BH209" s="4"/>
    </row>
    <row r="210" spans="2:60" x14ac:dyDescent="0.3">
      <c r="B210" s="6"/>
      <c r="C210" s="10"/>
      <c r="D210" s="48" t="str">
        <f>IF(Tabla_Registro_Tareas2[[#This Row],[Actividad]]=Indice_Aux_Vacio,"",IFERROR(INDEX(plan!$D$4:$D$52,MATCH(Tabla_Registro_Tareas2[[#This Row],[Actividad]],plan!$C$4:$C$52,0)),""))</f>
        <v/>
      </c>
      <c r="E210" s="48" t="str">
        <f>IFERROR(INDEX(plan!$E$4:$E$52,MATCH(Tabla_Registro_Tareas2[[#This Row],[Actividad]],plan!$C$4:$C$52,0)),"")</f>
        <v/>
      </c>
      <c r="F210" s="49" t="str">
        <f>IF(Tabla_Registro_Tareas2[[#This Row],[Actividad]]=Indice_Aux_Vacio,"",Indice_PROBLAM_Estudiante2)</f>
        <v/>
      </c>
      <c r="G210" s="7"/>
      <c r="H210" s="8"/>
      <c r="I210" s="9"/>
      <c r="K210" s="12" t="str" cm="1">
        <f t="array" ref="K210">IF($B210&lt;&gt;"",TRANSPOSE(_xlfn._xlws.FILTER(plan!$C$4:$C$52, ($B210 &gt;= (plan!$J$4:$J$52-Indice_Plan_ExtensionPlazo))*($B210 &lt;= (plan!$K$4:$K$52+Indice_Plan_ExtensionPlazo)), "")), "")</f>
        <v/>
      </c>
      <c r="BH210" s="4"/>
    </row>
    <row r="211" spans="2:60" x14ac:dyDescent="0.3">
      <c r="B211" s="6"/>
      <c r="C211" s="10"/>
      <c r="D211" s="48" t="str">
        <f>IF(Tabla_Registro_Tareas2[[#This Row],[Actividad]]=Indice_Aux_Vacio,"",IFERROR(INDEX(plan!$D$4:$D$52,MATCH(Tabla_Registro_Tareas2[[#This Row],[Actividad]],plan!$C$4:$C$52,0)),""))</f>
        <v/>
      </c>
      <c r="E211" s="48" t="str">
        <f>IFERROR(INDEX(plan!$E$4:$E$52,MATCH(Tabla_Registro_Tareas2[[#This Row],[Actividad]],plan!$C$4:$C$52,0)),"")</f>
        <v/>
      </c>
      <c r="F211" s="49" t="str">
        <f>IF(Tabla_Registro_Tareas2[[#This Row],[Actividad]]=Indice_Aux_Vacio,"",Indice_PROBLAM_Estudiante2)</f>
        <v/>
      </c>
      <c r="G211" s="7"/>
      <c r="H211" s="8"/>
      <c r="I211" s="9"/>
      <c r="K211" s="12" t="str" cm="1">
        <f t="array" ref="K211">IF($B211&lt;&gt;"",TRANSPOSE(_xlfn._xlws.FILTER(plan!$C$4:$C$52, ($B211 &gt;= (plan!$J$4:$J$52-Indice_Plan_ExtensionPlazo))*($B211 &lt;= (plan!$K$4:$K$52+Indice_Plan_ExtensionPlazo)), "")), "")</f>
        <v/>
      </c>
      <c r="BH211" s="4"/>
    </row>
    <row r="212" spans="2:60" x14ac:dyDescent="0.3">
      <c r="B212" s="6"/>
      <c r="C212" s="10"/>
      <c r="D212" s="48" t="str">
        <f>IF(Tabla_Registro_Tareas2[[#This Row],[Actividad]]=Indice_Aux_Vacio,"",IFERROR(INDEX(plan!$D$4:$D$52,MATCH(Tabla_Registro_Tareas2[[#This Row],[Actividad]],plan!$C$4:$C$52,0)),""))</f>
        <v/>
      </c>
      <c r="E212" s="48" t="str">
        <f>IFERROR(INDEX(plan!$E$4:$E$52,MATCH(Tabla_Registro_Tareas2[[#This Row],[Actividad]],plan!$C$4:$C$52,0)),"")</f>
        <v/>
      </c>
      <c r="F212" s="49" t="str">
        <f>IF(Tabla_Registro_Tareas2[[#This Row],[Actividad]]=Indice_Aux_Vacio,"",Indice_PROBLAM_Estudiante2)</f>
        <v/>
      </c>
      <c r="G212" s="7"/>
      <c r="H212" s="8"/>
      <c r="I212" s="9"/>
      <c r="K212" s="12" t="str" cm="1">
        <f t="array" ref="K212">IF($B212&lt;&gt;"",TRANSPOSE(_xlfn._xlws.FILTER(plan!$C$4:$C$52, ($B212 &gt;= (plan!$J$4:$J$52-Indice_Plan_ExtensionPlazo))*($B212 &lt;= (plan!$K$4:$K$52+Indice_Plan_ExtensionPlazo)), "")), "")</f>
        <v/>
      </c>
      <c r="BH212" s="4"/>
    </row>
    <row r="213" spans="2:60" x14ac:dyDescent="0.3">
      <c r="B213" s="6"/>
      <c r="C213" s="10"/>
      <c r="D213" s="48" t="str">
        <f>IF(Tabla_Registro_Tareas2[[#This Row],[Actividad]]=Indice_Aux_Vacio,"",IFERROR(INDEX(plan!$D$4:$D$52,MATCH(Tabla_Registro_Tareas2[[#This Row],[Actividad]],plan!$C$4:$C$52,0)),""))</f>
        <v/>
      </c>
      <c r="E213" s="48" t="str">
        <f>IFERROR(INDEX(plan!$E$4:$E$52,MATCH(Tabla_Registro_Tareas2[[#This Row],[Actividad]],plan!$C$4:$C$52,0)),"")</f>
        <v/>
      </c>
      <c r="F213" s="49" t="str">
        <f>IF(Tabla_Registro_Tareas2[[#This Row],[Actividad]]=Indice_Aux_Vacio,"",Indice_PROBLAM_Estudiante2)</f>
        <v/>
      </c>
      <c r="G213" s="7"/>
      <c r="H213" s="8"/>
      <c r="I213" s="9"/>
      <c r="K213" s="12" t="str" cm="1">
        <f t="array" ref="K213">IF($B213&lt;&gt;"",TRANSPOSE(_xlfn._xlws.FILTER(plan!$C$4:$C$52, ($B213 &gt;= (plan!$J$4:$J$52-Indice_Plan_ExtensionPlazo))*($B213 &lt;= (plan!$K$4:$K$52+Indice_Plan_ExtensionPlazo)), "")), "")</f>
        <v/>
      </c>
      <c r="BH213" s="4"/>
    </row>
    <row r="214" spans="2:60" x14ac:dyDescent="0.3">
      <c r="B214" s="6"/>
      <c r="C214" s="10"/>
      <c r="D214" s="48" t="str">
        <f>IF(Tabla_Registro_Tareas2[[#This Row],[Actividad]]=Indice_Aux_Vacio,"",IFERROR(INDEX(plan!$D$4:$D$52,MATCH(Tabla_Registro_Tareas2[[#This Row],[Actividad]],plan!$C$4:$C$52,0)),""))</f>
        <v/>
      </c>
      <c r="E214" s="48" t="str">
        <f>IFERROR(INDEX(plan!$E$4:$E$52,MATCH(Tabla_Registro_Tareas2[[#This Row],[Actividad]],plan!$C$4:$C$52,0)),"")</f>
        <v/>
      </c>
      <c r="F214" s="49" t="str">
        <f>IF(Tabla_Registro_Tareas2[[#This Row],[Actividad]]=Indice_Aux_Vacio,"",Indice_PROBLAM_Estudiante2)</f>
        <v/>
      </c>
      <c r="G214" s="7"/>
      <c r="H214" s="8"/>
      <c r="I214" s="9"/>
      <c r="K214" s="12" t="str" cm="1">
        <f t="array" ref="K214">IF($B214&lt;&gt;"",TRANSPOSE(_xlfn._xlws.FILTER(plan!$C$4:$C$52, ($B214 &gt;= (plan!$J$4:$J$52-Indice_Plan_ExtensionPlazo))*($B214 &lt;= (plan!$K$4:$K$52+Indice_Plan_ExtensionPlazo)), "")), "")</f>
        <v/>
      </c>
      <c r="BH214" s="4"/>
    </row>
    <row r="215" spans="2:60" x14ac:dyDescent="0.3">
      <c r="B215" s="6"/>
      <c r="C215" s="10"/>
      <c r="D215" s="48" t="str">
        <f>IF(Tabla_Registro_Tareas2[[#This Row],[Actividad]]=Indice_Aux_Vacio,"",IFERROR(INDEX(plan!$D$4:$D$52,MATCH(Tabla_Registro_Tareas2[[#This Row],[Actividad]],plan!$C$4:$C$52,0)),""))</f>
        <v/>
      </c>
      <c r="E215" s="48" t="str">
        <f>IFERROR(INDEX(plan!$E$4:$E$52,MATCH(Tabla_Registro_Tareas2[[#This Row],[Actividad]],plan!$C$4:$C$52,0)),"")</f>
        <v/>
      </c>
      <c r="F215" s="49" t="str">
        <f>IF(Tabla_Registro_Tareas2[[#This Row],[Actividad]]=Indice_Aux_Vacio,"",Indice_PROBLAM_Estudiante2)</f>
        <v/>
      </c>
      <c r="G215" s="7"/>
      <c r="H215" s="8"/>
      <c r="I215" s="9"/>
      <c r="K215" s="12" t="str" cm="1">
        <f t="array" ref="K215">IF($B215&lt;&gt;"",TRANSPOSE(_xlfn._xlws.FILTER(plan!$C$4:$C$52, ($B215 &gt;= (plan!$J$4:$J$52-Indice_Plan_ExtensionPlazo))*($B215 &lt;= (plan!$K$4:$K$52+Indice_Plan_ExtensionPlazo)), "")), "")</f>
        <v/>
      </c>
      <c r="BH215" s="4"/>
    </row>
    <row r="216" spans="2:60" x14ac:dyDescent="0.3">
      <c r="B216" s="6"/>
      <c r="C216" s="10"/>
      <c r="D216" s="48" t="str">
        <f>IF(Tabla_Registro_Tareas2[[#This Row],[Actividad]]=Indice_Aux_Vacio,"",IFERROR(INDEX(plan!$D$4:$D$52,MATCH(Tabla_Registro_Tareas2[[#This Row],[Actividad]],plan!$C$4:$C$52,0)),""))</f>
        <v/>
      </c>
      <c r="E216" s="48" t="str">
        <f>IFERROR(INDEX(plan!$E$4:$E$52,MATCH(Tabla_Registro_Tareas2[[#This Row],[Actividad]],plan!$C$4:$C$52,0)),"")</f>
        <v/>
      </c>
      <c r="F216" s="49" t="str">
        <f>IF(Tabla_Registro_Tareas2[[#This Row],[Actividad]]=Indice_Aux_Vacio,"",Indice_PROBLAM_Estudiante2)</f>
        <v/>
      </c>
      <c r="G216" s="7"/>
      <c r="H216" s="8"/>
      <c r="I216" s="9"/>
      <c r="K216" s="12" t="str" cm="1">
        <f t="array" ref="K216">IF($B216&lt;&gt;"",TRANSPOSE(_xlfn._xlws.FILTER(plan!$C$4:$C$52, ($B216 &gt;= (plan!$J$4:$J$52-Indice_Plan_ExtensionPlazo))*($B216 &lt;= (plan!$K$4:$K$52+Indice_Plan_ExtensionPlazo)), "")), "")</f>
        <v/>
      </c>
      <c r="BH216" s="4"/>
    </row>
    <row r="217" spans="2:60" x14ac:dyDescent="0.3">
      <c r="B217" s="6"/>
      <c r="C217" s="10"/>
      <c r="D217" s="48" t="str">
        <f>IF(Tabla_Registro_Tareas2[[#This Row],[Actividad]]=Indice_Aux_Vacio,"",IFERROR(INDEX(plan!$D$4:$D$52,MATCH(Tabla_Registro_Tareas2[[#This Row],[Actividad]],plan!$C$4:$C$52,0)),""))</f>
        <v/>
      </c>
      <c r="E217" s="48" t="str">
        <f>IFERROR(INDEX(plan!$E$4:$E$52,MATCH(Tabla_Registro_Tareas2[[#This Row],[Actividad]],plan!$C$4:$C$52,0)),"")</f>
        <v/>
      </c>
      <c r="F217" s="49" t="str">
        <f>IF(Tabla_Registro_Tareas2[[#This Row],[Actividad]]=Indice_Aux_Vacio,"",Indice_PROBLAM_Estudiante2)</f>
        <v/>
      </c>
      <c r="G217" s="7"/>
      <c r="H217" s="8"/>
      <c r="I217" s="9"/>
      <c r="K217" s="12" t="str" cm="1">
        <f t="array" ref="K217">IF($B217&lt;&gt;"",TRANSPOSE(_xlfn._xlws.FILTER(plan!$C$4:$C$52, ($B217 &gt;= (plan!$J$4:$J$52-Indice_Plan_ExtensionPlazo))*($B217 &lt;= (plan!$K$4:$K$52+Indice_Plan_ExtensionPlazo)), "")), "")</f>
        <v/>
      </c>
      <c r="BH217" s="4"/>
    </row>
    <row r="218" spans="2:60" x14ac:dyDescent="0.3">
      <c r="B218" s="6"/>
      <c r="C218" s="10"/>
      <c r="D218" s="48" t="str">
        <f>IF(Tabla_Registro_Tareas2[[#This Row],[Actividad]]=Indice_Aux_Vacio,"",IFERROR(INDEX(plan!$D$4:$D$52,MATCH(Tabla_Registro_Tareas2[[#This Row],[Actividad]],plan!$C$4:$C$52,0)),""))</f>
        <v/>
      </c>
      <c r="E218" s="48" t="str">
        <f>IFERROR(INDEX(plan!$E$4:$E$52,MATCH(Tabla_Registro_Tareas2[[#This Row],[Actividad]],plan!$C$4:$C$52,0)),"")</f>
        <v/>
      </c>
      <c r="F218" s="49" t="str">
        <f>IF(Tabla_Registro_Tareas2[[#This Row],[Actividad]]=Indice_Aux_Vacio,"",Indice_PROBLAM_Estudiante2)</f>
        <v/>
      </c>
      <c r="G218" s="7"/>
      <c r="H218" s="8"/>
      <c r="I218" s="9"/>
      <c r="K218" s="12" t="str" cm="1">
        <f t="array" ref="K218">IF($B218&lt;&gt;"",TRANSPOSE(_xlfn._xlws.FILTER(plan!$C$4:$C$52, ($B218 &gt;= (plan!$J$4:$J$52-Indice_Plan_ExtensionPlazo))*($B218 &lt;= (plan!$K$4:$K$52+Indice_Plan_ExtensionPlazo)), "")), "")</f>
        <v/>
      </c>
      <c r="BH218" s="4"/>
    </row>
    <row r="219" spans="2:60" x14ac:dyDescent="0.3">
      <c r="B219" s="6"/>
      <c r="C219" s="10"/>
      <c r="D219" s="48" t="str">
        <f>IF(Tabla_Registro_Tareas2[[#This Row],[Actividad]]=Indice_Aux_Vacio,"",IFERROR(INDEX(plan!$D$4:$D$52,MATCH(Tabla_Registro_Tareas2[[#This Row],[Actividad]],plan!$C$4:$C$52,0)),""))</f>
        <v/>
      </c>
      <c r="E219" s="48" t="str">
        <f>IFERROR(INDEX(plan!$E$4:$E$52,MATCH(Tabla_Registro_Tareas2[[#This Row],[Actividad]],plan!$C$4:$C$52,0)),"")</f>
        <v/>
      </c>
      <c r="F219" s="49" t="str">
        <f>IF(Tabla_Registro_Tareas2[[#This Row],[Actividad]]=Indice_Aux_Vacio,"",Indice_PROBLAM_Estudiante2)</f>
        <v/>
      </c>
      <c r="G219" s="7"/>
      <c r="H219" s="8"/>
      <c r="I219" s="9"/>
      <c r="K219" s="12" t="str" cm="1">
        <f t="array" ref="K219">IF($B219&lt;&gt;"",TRANSPOSE(_xlfn._xlws.FILTER(plan!$C$4:$C$52, ($B219 &gt;= (plan!$J$4:$J$52-Indice_Plan_ExtensionPlazo))*($B219 &lt;= (plan!$K$4:$K$52+Indice_Plan_ExtensionPlazo)), "")), "")</f>
        <v/>
      </c>
      <c r="BH219" s="4"/>
    </row>
    <row r="220" spans="2:60" x14ac:dyDescent="0.3">
      <c r="B220" s="6"/>
      <c r="C220" s="10"/>
      <c r="D220" s="48" t="str">
        <f>IF(Tabla_Registro_Tareas2[[#This Row],[Actividad]]=Indice_Aux_Vacio,"",IFERROR(INDEX(plan!$D$4:$D$52,MATCH(Tabla_Registro_Tareas2[[#This Row],[Actividad]],plan!$C$4:$C$52,0)),""))</f>
        <v/>
      </c>
      <c r="E220" s="48" t="str">
        <f>IFERROR(INDEX(plan!$E$4:$E$52,MATCH(Tabla_Registro_Tareas2[[#This Row],[Actividad]],plan!$C$4:$C$52,0)),"")</f>
        <v/>
      </c>
      <c r="F220" s="49" t="str">
        <f>IF(Tabla_Registro_Tareas2[[#This Row],[Actividad]]=Indice_Aux_Vacio,"",Indice_PROBLAM_Estudiante2)</f>
        <v/>
      </c>
      <c r="G220" s="7"/>
      <c r="H220" s="8"/>
      <c r="I220" s="9"/>
      <c r="K220" s="12" t="str" cm="1">
        <f t="array" ref="K220">IF($B220&lt;&gt;"",TRANSPOSE(_xlfn._xlws.FILTER(plan!$C$4:$C$52, ($B220 &gt;= (plan!$J$4:$J$52-Indice_Plan_ExtensionPlazo))*($B220 &lt;= (plan!$K$4:$K$52+Indice_Plan_ExtensionPlazo)), "")), "")</f>
        <v/>
      </c>
      <c r="BH220" s="4"/>
    </row>
    <row r="221" spans="2:60" x14ac:dyDescent="0.3">
      <c r="B221" s="6"/>
      <c r="C221" s="10"/>
      <c r="D221" s="48" t="str">
        <f>IF(Tabla_Registro_Tareas2[[#This Row],[Actividad]]=Indice_Aux_Vacio,"",IFERROR(INDEX(plan!$D$4:$D$52,MATCH(Tabla_Registro_Tareas2[[#This Row],[Actividad]],plan!$C$4:$C$52,0)),""))</f>
        <v/>
      </c>
      <c r="E221" s="48" t="str">
        <f>IFERROR(INDEX(plan!$E$4:$E$52,MATCH(Tabla_Registro_Tareas2[[#This Row],[Actividad]],plan!$C$4:$C$52,0)),"")</f>
        <v/>
      </c>
      <c r="F221" s="49" t="str">
        <f>IF(Tabla_Registro_Tareas2[[#This Row],[Actividad]]=Indice_Aux_Vacio,"",Indice_PROBLAM_Estudiante2)</f>
        <v/>
      </c>
      <c r="G221" s="7"/>
      <c r="H221" s="8"/>
      <c r="I221" s="9"/>
      <c r="K221" s="12" t="str" cm="1">
        <f t="array" ref="K221">IF($B221&lt;&gt;"",TRANSPOSE(_xlfn._xlws.FILTER(plan!$C$4:$C$52, ($B221 &gt;= (plan!$J$4:$J$52-Indice_Plan_ExtensionPlazo))*($B221 &lt;= (plan!$K$4:$K$52+Indice_Plan_ExtensionPlazo)), "")), "")</f>
        <v/>
      </c>
      <c r="BH221" s="4"/>
    </row>
    <row r="222" spans="2:60" x14ac:dyDescent="0.3">
      <c r="B222" s="6"/>
      <c r="C222" s="10"/>
      <c r="D222" s="48" t="str">
        <f>IF(Tabla_Registro_Tareas2[[#This Row],[Actividad]]=Indice_Aux_Vacio,"",IFERROR(INDEX(plan!$D$4:$D$52,MATCH(Tabla_Registro_Tareas2[[#This Row],[Actividad]],plan!$C$4:$C$52,0)),""))</f>
        <v/>
      </c>
      <c r="E222" s="48" t="str">
        <f>IFERROR(INDEX(plan!$E$4:$E$52,MATCH(Tabla_Registro_Tareas2[[#This Row],[Actividad]],plan!$C$4:$C$52,0)),"")</f>
        <v/>
      </c>
      <c r="F222" s="49" t="str">
        <f>IF(Tabla_Registro_Tareas2[[#This Row],[Actividad]]=Indice_Aux_Vacio,"",Indice_PROBLAM_Estudiante2)</f>
        <v/>
      </c>
      <c r="G222" s="7"/>
      <c r="H222" s="8"/>
      <c r="I222" s="9"/>
      <c r="K222" s="12" t="str" cm="1">
        <f t="array" ref="K222">IF($B222&lt;&gt;"",TRANSPOSE(_xlfn._xlws.FILTER(plan!$C$4:$C$52, ($B222 &gt;= (plan!$J$4:$J$52-Indice_Plan_ExtensionPlazo))*($B222 &lt;= (plan!$K$4:$K$52+Indice_Plan_ExtensionPlazo)), "")), "")</f>
        <v/>
      </c>
      <c r="BH222" s="4"/>
    </row>
    <row r="223" spans="2:60" x14ac:dyDescent="0.3">
      <c r="B223" s="6"/>
      <c r="C223" s="10"/>
      <c r="D223" s="48" t="str">
        <f>IF(Tabla_Registro_Tareas2[[#This Row],[Actividad]]=Indice_Aux_Vacio,"",IFERROR(INDEX(plan!$D$4:$D$52,MATCH(Tabla_Registro_Tareas2[[#This Row],[Actividad]],plan!$C$4:$C$52,0)),""))</f>
        <v/>
      </c>
      <c r="E223" s="48" t="str">
        <f>IFERROR(INDEX(plan!$E$4:$E$52,MATCH(Tabla_Registro_Tareas2[[#This Row],[Actividad]],plan!$C$4:$C$52,0)),"")</f>
        <v/>
      </c>
      <c r="F223" s="49" t="str">
        <f>IF(Tabla_Registro_Tareas2[[#This Row],[Actividad]]=Indice_Aux_Vacio,"",Indice_PROBLAM_Estudiante2)</f>
        <v/>
      </c>
      <c r="G223" s="7"/>
      <c r="H223" s="8"/>
      <c r="I223" s="9"/>
      <c r="K223" s="12" t="str" cm="1">
        <f t="array" ref="K223">IF($B223&lt;&gt;"",TRANSPOSE(_xlfn._xlws.FILTER(plan!$C$4:$C$52, ($B223 &gt;= (plan!$J$4:$J$52-Indice_Plan_ExtensionPlazo))*($B223 &lt;= (plan!$K$4:$K$52+Indice_Plan_ExtensionPlazo)), "")), "")</f>
        <v/>
      </c>
      <c r="BH223" s="4"/>
    </row>
    <row r="224" spans="2:60" x14ac:dyDescent="0.3">
      <c r="B224" s="6"/>
      <c r="C224" s="10"/>
      <c r="D224" s="48" t="str">
        <f>IF(Tabla_Registro_Tareas2[[#This Row],[Actividad]]=Indice_Aux_Vacio,"",IFERROR(INDEX(plan!$D$4:$D$52,MATCH(Tabla_Registro_Tareas2[[#This Row],[Actividad]],plan!$C$4:$C$52,0)),""))</f>
        <v/>
      </c>
      <c r="E224" s="48" t="str">
        <f>IFERROR(INDEX(plan!$E$4:$E$52,MATCH(Tabla_Registro_Tareas2[[#This Row],[Actividad]],plan!$C$4:$C$52,0)),"")</f>
        <v/>
      </c>
      <c r="F224" s="49" t="str">
        <f>IF(Tabla_Registro_Tareas2[[#This Row],[Actividad]]=Indice_Aux_Vacio,"",Indice_PROBLAM_Estudiante2)</f>
        <v/>
      </c>
      <c r="G224" s="7"/>
      <c r="H224" s="8"/>
      <c r="I224" s="9"/>
      <c r="K224" s="12" t="str" cm="1">
        <f t="array" ref="K224">IF($B224&lt;&gt;"",TRANSPOSE(_xlfn._xlws.FILTER(plan!$C$4:$C$52, ($B224 &gt;= (plan!$J$4:$J$52-Indice_Plan_ExtensionPlazo))*($B224 &lt;= (plan!$K$4:$K$52+Indice_Plan_ExtensionPlazo)), "")), "")</f>
        <v/>
      </c>
      <c r="BH224" s="4"/>
    </row>
    <row r="225" spans="2:60" x14ac:dyDescent="0.3">
      <c r="B225" s="6"/>
      <c r="C225" s="10"/>
      <c r="D225" s="48" t="str">
        <f>IF(Tabla_Registro_Tareas2[[#This Row],[Actividad]]=Indice_Aux_Vacio,"",IFERROR(INDEX(plan!$D$4:$D$52,MATCH(Tabla_Registro_Tareas2[[#This Row],[Actividad]],plan!$C$4:$C$52,0)),""))</f>
        <v/>
      </c>
      <c r="E225" s="48" t="str">
        <f>IFERROR(INDEX(plan!$E$4:$E$52,MATCH(Tabla_Registro_Tareas2[[#This Row],[Actividad]],plan!$C$4:$C$52,0)),"")</f>
        <v/>
      </c>
      <c r="F225" s="49" t="str">
        <f>IF(Tabla_Registro_Tareas2[[#This Row],[Actividad]]=Indice_Aux_Vacio,"",Indice_PROBLAM_Estudiante2)</f>
        <v/>
      </c>
      <c r="G225" s="7"/>
      <c r="H225" s="8"/>
      <c r="I225" s="9"/>
      <c r="K225" s="12" t="str" cm="1">
        <f t="array" ref="K225">IF($B225&lt;&gt;"",TRANSPOSE(_xlfn._xlws.FILTER(plan!$C$4:$C$52, ($B225 &gt;= (plan!$J$4:$J$52-Indice_Plan_ExtensionPlazo))*($B225 &lt;= (plan!$K$4:$K$52+Indice_Plan_ExtensionPlazo)), "")), "")</f>
        <v/>
      </c>
      <c r="BH225" s="4"/>
    </row>
    <row r="226" spans="2:60" x14ac:dyDescent="0.3">
      <c r="B226" s="6"/>
      <c r="C226" s="10"/>
      <c r="D226" s="48" t="str">
        <f>IF(Tabla_Registro_Tareas2[[#This Row],[Actividad]]=Indice_Aux_Vacio,"",IFERROR(INDEX(plan!$D$4:$D$52,MATCH(Tabla_Registro_Tareas2[[#This Row],[Actividad]],plan!$C$4:$C$52,0)),""))</f>
        <v/>
      </c>
      <c r="E226" s="48" t="str">
        <f>IFERROR(INDEX(plan!$E$4:$E$52,MATCH(Tabla_Registro_Tareas2[[#This Row],[Actividad]],plan!$C$4:$C$52,0)),"")</f>
        <v/>
      </c>
      <c r="F226" s="49" t="str">
        <f>IF(Tabla_Registro_Tareas2[[#This Row],[Actividad]]=Indice_Aux_Vacio,"",Indice_PROBLAM_Estudiante2)</f>
        <v/>
      </c>
      <c r="G226" s="7"/>
      <c r="H226" s="8"/>
      <c r="I226" s="9"/>
      <c r="K226" s="12" t="str" cm="1">
        <f t="array" ref="K226">IF($B226&lt;&gt;"",TRANSPOSE(_xlfn._xlws.FILTER(plan!$C$4:$C$52, ($B226 &gt;= (plan!$J$4:$J$52-Indice_Plan_ExtensionPlazo))*($B226 &lt;= (plan!$K$4:$K$52+Indice_Plan_ExtensionPlazo)), "")), "")</f>
        <v/>
      </c>
      <c r="BH226" s="4"/>
    </row>
    <row r="227" spans="2:60" x14ac:dyDescent="0.3">
      <c r="B227" s="6"/>
      <c r="C227" s="10"/>
      <c r="D227" s="48" t="str">
        <f>IF(Tabla_Registro_Tareas2[[#This Row],[Actividad]]=Indice_Aux_Vacio,"",IFERROR(INDEX(plan!$D$4:$D$52,MATCH(Tabla_Registro_Tareas2[[#This Row],[Actividad]],plan!$C$4:$C$52,0)),""))</f>
        <v/>
      </c>
      <c r="E227" s="48" t="str">
        <f>IFERROR(INDEX(plan!$E$4:$E$52,MATCH(Tabla_Registro_Tareas2[[#This Row],[Actividad]],plan!$C$4:$C$52,0)),"")</f>
        <v/>
      </c>
      <c r="F227" s="49" t="str">
        <f>IF(Tabla_Registro_Tareas2[[#This Row],[Actividad]]=Indice_Aux_Vacio,"",Indice_PROBLAM_Estudiante2)</f>
        <v/>
      </c>
      <c r="G227" s="7"/>
      <c r="H227" s="8"/>
      <c r="I227" s="9"/>
      <c r="K227" s="12" t="str" cm="1">
        <f t="array" ref="K227">IF($B227&lt;&gt;"",TRANSPOSE(_xlfn._xlws.FILTER(plan!$C$4:$C$52, ($B227 &gt;= (plan!$J$4:$J$52-Indice_Plan_ExtensionPlazo))*($B227 &lt;= (plan!$K$4:$K$52+Indice_Plan_ExtensionPlazo)), "")), "")</f>
        <v/>
      </c>
      <c r="BH227" s="4"/>
    </row>
    <row r="228" spans="2:60" x14ac:dyDescent="0.3">
      <c r="B228" s="6"/>
      <c r="C228" s="10"/>
      <c r="D228" s="48" t="str">
        <f>IF(Tabla_Registro_Tareas2[[#This Row],[Actividad]]=Indice_Aux_Vacio,"",IFERROR(INDEX(plan!$D$4:$D$52,MATCH(Tabla_Registro_Tareas2[[#This Row],[Actividad]],plan!$C$4:$C$52,0)),""))</f>
        <v/>
      </c>
      <c r="E228" s="48" t="str">
        <f>IFERROR(INDEX(plan!$E$4:$E$52,MATCH(Tabla_Registro_Tareas2[[#This Row],[Actividad]],plan!$C$4:$C$52,0)),"")</f>
        <v/>
      </c>
      <c r="F228" s="49" t="str">
        <f>IF(Tabla_Registro_Tareas2[[#This Row],[Actividad]]=Indice_Aux_Vacio,"",Indice_PROBLAM_Estudiante2)</f>
        <v/>
      </c>
      <c r="G228" s="7"/>
      <c r="H228" s="8"/>
      <c r="I228" s="9"/>
      <c r="K228" s="12" t="str" cm="1">
        <f t="array" ref="K228">IF($B228&lt;&gt;"",TRANSPOSE(_xlfn._xlws.FILTER(plan!$C$4:$C$52, ($B228 &gt;= (plan!$J$4:$J$52-Indice_Plan_ExtensionPlazo))*($B228 &lt;= (plan!$K$4:$K$52+Indice_Plan_ExtensionPlazo)), "")), "")</f>
        <v/>
      </c>
      <c r="BH228" s="4"/>
    </row>
    <row r="229" spans="2:60" x14ac:dyDescent="0.3">
      <c r="B229" s="6"/>
      <c r="C229" s="10"/>
      <c r="D229" s="48" t="str">
        <f>IF(Tabla_Registro_Tareas2[[#This Row],[Actividad]]=Indice_Aux_Vacio,"",IFERROR(INDEX(plan!$D$4:$D$52,MATCH(Tabla_Registro_Tareas2[[#This Row],[Actividad]],plan!$C$4:$C$52,0)),""))</f>
        <v/>
      </c>
      <c r="E229" s="48" t="str">
        <f>IFERROR(INDEX(plan!$E$4:$E$52,MATCH(Tabla_Registro_Tareas2[[#This Row],[Actividad]],plan!$C$4:$C$52,0)),"")</f>
        <v/>
      </c>
      <c r="F229" s="49" t="str">
        <f>IF(Tabla_Registro_Tareas2[[#This Row],[Actividad]]=Indice_Aux_Vacio,"",Indice_PROBLAM_Estudiante2)</f>
        <v/>
      </c>
      <c r="G229" s="7"/>
      <c r="H229" s="8"/>
      <c r="I229" s="9"/>
      <c r="K229" s="12" t="str" cm="1">
        <f t="array" ref="K229">IF($B229&lt;&gt;"",TRANSPOSE(_xlfn._xlws.FILTER(plan!$C$4:$C$52, ($B229 &gt;= (plan!$J$4:$J$52-Indice_Plan_ExtensionPlazo))*($B229 &lt;= (plan!$K$4:$K$52+Indice_Plan_ExtensionPlazo)), "")), "")</f>
        <v/>
      </c>
      <c r="BH229" s="4"/>
    </row>
    <row r="230" spans="2:60" x14ac:dyDescent="0.3">
      <c r="B230" s="6"/>
      <c r="C230" s="10"/>
      <c r="D230" s="48" t="str">
        <f>IF(Tabla_Registro_Tareas2[[#This Row],[Actividad]]=Indice_Aux_Vacio,"",IFERROR(INDEX(plan!$D$4:$D$52,MATCH(Tabla_Registro_Tareas2[[#This Row],[Actividad]],plan!$C$4:$C$52,0)),""))</f>
        <v/>
      </c>
      <c r="E230" s="48" t="str">
        <f>IFERROR(INDEX(plan!$E$4:$E$52,MATCH(Tabla_Registro_Tareas2[[#This Row],[Actividad]],plan!$C$4:$C$52,0)),"")</f>
        <v/>
      </c>
      <c r="F230" s="49" t="str">
        <f>IF(Tabla_Registro_Tareas2[[#This Row],[Actividad]]=Indice_Aux_Vacio,"",Indice_PROBLAM_Estudiante2)</f>
        <v/>
      </c>
      <c r="G230" s="7"/>
      <c r="H230" s="8"/>
      <c r="I230" s="9"/>
      <c r="K230" s="12" t="str" cm="1">
        <f t="array" ref="K230">IF($B230&lt;&gt;"",TRANSPOSE(_xlfn._xlws.FILTER(plan!$C$4:$C$52, ($B230 &gt;= (plan!$J$4:$J$52-Indice_Plan_ExtensionPlazo))*($B230 &lt;= (plan!$K$4:$K$52+Indice_Plan_ExtensionPlazo)), "")), "")</f>
        <v/>
      </c>
      <c r="BH230" s="4"/>
    </row>
    <row r="231" spans="2:60" x14ac:dyDescent="0.3">
      <c r="B231" s="6"/>
      <c r="C231" s="10"/>
      <c r="D231" s="48" t="str">
        <f>IF(Tabla_Registro_Tareas2[[#This Row],[Actividad]]=Indice_Aux_Vacio,"",IFERROR(INDEX(plan!$D$4:$D$52,MATCH(Tabla_Registro_Tareas2[[#This Row],[Actividad]],plan!$C$4:$C$52,0)),""))</f>
        <v/>
      </c>
      <c r="E231" s="48" t="str">
        <f>IFERROR(INDEX(plan!$E$4:$E$52,MATCH(Tabla_Registro_Tareas2[[#This Row],[Actividad]],plan!$C$4:$C$52,0)),"")</f>
        <v/>
      </c>
      <c r="F231" s="49" t="str">
        <f>IF(Tabla_Registro_Tareas2[[#This Row],[Actividad]]=Indice_Aux_Vacio,"",Indice_PROBLAM_Estudiante2)</f>
        <v/>
      </c>
      <c r="G231" s="7"/>
      <c r="H231" s="8"/>
      <c r="I231" s="9"/>
      <c r="K231" s="12" t="str" cm="1">
        <f t="array" ref="K231">IF($B231&lt;&gt;"",TRANSPOSE(_xlfn._xlws.FILTER(plan!$C$4:$C$52, ($B231 &gt;= (plan!$J$4:$J$52-Indice_Plan_ExtensionPlazo))*($B231 &lt;= (plan!$K$4:$K$52+Indice_Plan_ExtensionPlazo)), "")), "")</f>
        <v/>
      </c>
      <c r="BH231" s="4"/>
    </row>
    <row r="232" spans="2:60" x14ac:dyDescent="0.3">
      <c r="B232" s="6"/>
      <c r="C232" s="10"/>
      <c r="D232" s="48" t="str">
        <f>IF(Tabla_Registro_Tareas2[[#This Row],[Actividad]]=Indice_Aux_Vacio,"",IFERROR(INDEX(plan!$D$4:$D$52,MATCH(Tabla_Registro_Tareas2[[#This Row],[Actividad]],plan!$C$4:$C$52,0)),""))</f>
        <v/>
      </c>
      <c r="E232" s="48" t="str">
        <f>IFERROR(INDEX(plan!$E$4:$E$52,MATCH(Tabla_Registro_Tareas2[[#This Row],[Actividad]],plan!$C$4:$C$52,0)),"")</f>
        <v/>
      </c>
      <c r="F232" s="49" t="str">
        <f>IF(Tabla_Registro_Tareas2[[#This Row],[Actividad]]=Indice_Aux_Vacio,"",Indice_PROBLAM_Estudiante2)</f>
        <v/>
      </c>
      <c r="G232" s="7"/>
      <c r="H232" s="8"/>
      <c r="I232" s="9"/>
      <c r="K232" s="12" t="str" cm="1">
        <f t="array" ref="K232">IF($B232&lt;&gt;"",TRANSPOSE(_xlfn._xlws.FILTER(plan!$C$4:$C$52, ($B232 &gt;= (plan!$J$4:$J$52-Indice_Plan_ExtensionPlazo))*($B232 &lt;= (plan!$K$4:$K$52+Indice_Plan_ExtensionPlazo)), "")), "")</f>
        <v/>
      </c>
      <c r="BH232" s="4"/>
    </row>
    <row r="233" spans="2:60" x14ac:dyDescent="0.3">
      <c r="B233" s="6"/>
      <c r="C233" s="10"/>
      <c r="D233" s="48" t="str">
        <f>IF(Tabla_Registro_Tareas2[[#This Row],[Actividad]]=Indice_Aux_Vacio,"",IFERROR(INDEX(plan!$D$4:$D$52,MATCH(Tabla_Registro_Tareas2[[#This Row],[Actividad]],plan!$C$4:$C$52,0)),""))</f>
        <v/>
      </c>
      <c r="E233" s="48" t="str">
        <f>IFERROR(INDEX(plan!$E$4:$E$52,MATCH(Tabla_Registro_Tareas2[[#This Row],[Actividad]],plan!$C$4:$C$52,0)),"")</f>
        <v/>
      </c>
      <c r="F233" s="49" t="str">
        <f>IF(Tabla_Registro_Tareas2[[#This Row],[Actividad]]=Indice_Aux_Vacio,"",Indice_PROBLAM_Estudiante2)</f>
        <v/>
      </c>
      <c r="G233" s="7"/>
      <c r="H233" s="8"/>
      <c r="I233" s="9"/>
      <c r="K233" s="12" t="str" cm="1">
        <f t="array" ref="K233">IF($B233&lt;&gt;"",TRANSPOSE(_xlfn._xlws.FILTER(plan!$C$4:$C$52, ($B233 &gt;= (plan!$J$4:$J$52-Indice_Plan_ExtensionPlazo))*($B233 &lt;= (plan!$K$4:$K$52+Indice_Plan_ExtensionPlazo)), "")), "")</f>
        <v/>
      </c>
      <c r="BH233" s="4"/>
    </row>
    <row r="234" spans="2:60" x14ac:dyDescent="0.3">
      <c r="B234" s="6"/>
      <c r="C234" s="10"/>
      <c r="D234" s="48" t="str">
        <f>IF(Tabla_Registro_Tareas2[[#This Row],[Actividad]]=Indice_Aux_Vacio,"",IFERROR(INDEX(plan!$D$4:$D$52,MATCH(Tabla_Registro_Tareas2[[#This Row],[Actividad]],plan!$C$4:$C$52,0)),""))</f>
        <v/>
      </c>
      <c r="E234" s="48" t="str">
        <f>IFERROR(INDEX(plan!$E$4:$E$52,MATCH(Tabla_Registro_Tareas2[[#This Row],[Actividad]],plan!$C$4:$C$52,0)),"")</f>
        <v/>
      </c>
      <c r="F234" s="49" t="str">
        <f>IF(Tabla_Registro_Tareas2[[#This Row],[Actividad]]=Indice_Aux_Vacio,"",Indice_PROBLAM_Estudiante2)</f>
        <v/>
      </c>
      <c r="G234" s="7"/>
      <c r="H234" s="8"/>
      <c r="I234" s="9"/>
      <c r="K234" s="12" t="str" cm="1">
        <f t="array" ref="K234">IF($B234&lt;&gt;"",TRANSPOSE(_xlfn._xlws.FILTER(plan!$C$4:$C$52, ($B234 &gt;= (plan!$J$4:$J$52-Indice_Plan_ExtensionPlazo))*($B234 &lt;= (plan!$K$4:$K$52+Indice_Plan_ExtensionPlazo)), "")), "")</f>
        <v/>
      </c>
      <c r="BH234" s="4"/>
    </row>
    <row r="235" spans="2:60" x14ac:dyDescent="0.3">
      <c r="B235" s="6"/>
      <c r="C235" s="10"/>
      <c r="D235" s="48" t="str">
        <f>IF(Tabla_Registro_Tareas2[[#This Row],[Actividad]]=Indice_Aux_Vacio,"",IFERROR(INDEX(plan!$D$4:$D$52,MATCH(Tabla_Registro_Tareas2[[#This Row],[Actividad]],plan!$C$4:$C$52,0)),""))</f>
        <v/>
      </c>
      <c r="E235" s="48" t="str">
        <f>IFERROR(INDEX(plan!$E$4:$E$52,MATCH(Tabla_Registro_Tareas2[[#This Row],[Actividad]],plan!$C$4:$C$52,0)),"")</f>
        <v/>
      </c>
      <c r="F235" s="49" t="str">
        <f>IF(Tabla_Registro_Tareas2[[#This Row],[Actividad]]=Indice_Aux_Vacio,"",Indice_PROBLAM_Estudiante2)</f>
        <v/>
      </c>
      <c r="G235" s="7"/>
      <c r="H235" s="8"/>
      <c r="I235" s="9"/>
      <c r="K235" s="12" t="str" cm="1">
        <f t="array" ref="K235">IF($B235&lt;&gt;"",TRANSPOSE(_xlfn._xlws.FILTER(plan!$C$4:$C$52, ($B235 &gt;= (plan!$J$4:$J$52-Indice_Plan_ExtensionPlazo))*($B235 &lt;= (plan!$K$4:$K$52+Indice_Plan_ExtensionPlazo)), "")), "")</f>
        <v/>
      </c>
      <c r="BH235" s="4"/>
    </row>
    <row r="236" spans="2:60" x14ac:dyDescent="0.3">
      <c r="B236" s="6"/>
      <c r="C236" s="10"/>
      <c r="D236" s="48" t="str">
        <f>IF(Tabla_Registro_Tareas2[[#This Row],[Actividad]]=Indice_Aux_Vacio,"",IFERROR(INDEX(plan!$D$4:$D$52,MATCH(Tabla_Registro_Tareas2[[#This Row],[Actividad]],plan!$C$4:$C$52,0)),""))</f>
        <v/>
      </c>
      <c r="E236" s="48" t="str">
        <f>IFERROR(INDEX(plan!$E$4:$E$52,MATCH(Tabla_Registro_Tareas2[[#This Row],[Actividad]],plan!$C$4:$C$52,0)),"")</f>
        <v/>
      </c>
      <c r="F236" s="49" t="str">
        <f>IF(Tabla_Registro_Tareas2[[#This Row],[Actividad]]=Indice_Aux_Vacio,"",Indice_PROBLAM_Estudiante2)</f>
        <v/>
      </c>
      <c r="G236" s="7"/>
      <c r="H236" s="8"/>
      <c r="I236" s="9"/>
      <c r="K236" s="12" t="str" cm="1">
        <f t="array" ref="K236">IF($B236&lt;&gt;"",TRANSPOSE(_xlfn._xlws.FILTER(plan!$C$4:$C$52, ($B236 &gt;= (plan!$J$4:$J$52-Indice_Plan_ExtensionPlazo))*($B236 &lt;= (plan!$K$4:$K$52+Indice_Plan_ExtensionPlazo)), "")), "")</f>
        <v/>
      </c>
      <c r="BH236" s="4"/>
    </row>
    <row r="237" spans="2:60" x14ac:dyDescent="0.3">
      <c r="B237" s="6"/>
      <c r="C237" s="10"/>
      <c r="D237" s="48" t="str">
        <f>IF(Tabla_Registro_Tareas2[[#This Row],[Actividad]]=Indice_Aux_Vacio,"",IFERROR(INDEX(plan!$D$4:$D$52,MATCH(Tabla_Registro_Tareas2[[#This Row],[Actividad]],plan!$C$4:$C$52,0)),""))</f>
        <v/>
      </c>
      <c r="E237" s="48" t="str">
        <f>IFERROR(INDEX(plan!$E$4:$E$52,MATCH(Tabla_Registro_Tareas2[[#This Row],[Actividad]],plan!$C$4:$C$52,0)),"")</f>
        <v/>
      </c>
      <c r="F237" s="49" t="str">
        <f>IF(Tabla_Registro_Tareas2[[#This Row],[Actividad]]=Indice_Aux_Vacio,"",Indice_PROBLAM_Estudiante2)</f>
        <v/>
      </c>
      <c r="G237" s="7"/>
      <c r="H237" s="8"/>
      <c r="I237" s="9"/>
      <c r="K237" s="12" t="str" cm="1">
        <f t="array" ref="K237">IF($B237&lt;&gt;"",TRANSPOSE(_xlfn._xlws.FILTER(plan!$C$4:$C$52, ($B237 &gt;= (plan!$J$4:$J$52-Indice_Plan_ExtensionPlazo))*($B237 &lt;= (plan!$K$4:$K$52+Indice_Plan_ExtensionPlazo)), "")), "")</f>
        <v/>
      </c>
      <c r="BH237" s="4"/>
    </row>
    <row r="238" spans="2:60" x14ac:dyDescent="0.3">
      <c r="B238" s="6"/>
      <c r="C238" s="10"/>
      <c r="D238" s="48" t="str">
        <f>IF(Tabla_Registro_Tareas2[[#This Row],[Actividad]]=Indice_Aux_Vacio,"",IFERROR(INDEX(plan!$D$4:$D$52,MATCH(Tabla_Registro_Tareas2[[#This Row],[Actividad]],plan!$C$4:$C$52,0)),""))</f>
        <v/>
      </c>
      <c r="E238" s="48" t="str">
        <f>IFERROR(INDEX(plan!$E$4:$E$52,MATCH(Tabla_Registro_Tareas2[[#This Row],[Actividad]],plan!$C$4:$C$52,0)),"")</f>
        <v/>
      </c>
      <c r="F238" s="49" t="str">
        <f>IF(Tabla_Registro_Tareas2[[#This Row],[Actividad]]=Indice_Aux_Vacio,"",Indice_PROBLAM_Estudiante2)</f>
        <v/>
      </c>
      <c r="G238" s="7"/>
      <c r="H238" s="8"/>
      <c r="I238" s="9"/>
      <c r="K238" s="12" t="str" cm="1">
        <f t="array" ref="K238">IF($B238&lt;&gt;"",TRANSPOSE(_xlfn._xlws.FILTER(plan!$C$4:$C$52, ($B238 &gt;= (plan!$J$4:$J$52-Indice_Plan_ExtensionPlazo))*($B238 &lt;= (plan!$K$4:$K$52+Indice_Plan_ExtensionPlazo)), "")), "")</f>
        <v/>
      </c>
      <c r="BH238" s="4"/>
    </row>
    <row r="239" spans="2:60" x14ac:dyDescent="0.3">
      <c r="B239" s="6"/>
      <c r="C239" s="10"/>
      <c r="D239" s="48" t="str">
        <f>IF(Tabla_Registro_Tareas2[[#This Row],[Actividad]]=Indice_Aux_Vacio,"",IFERROR(INDEX(plan!$D$4:$D$52,MATCH(Tabla_Registro_Tareas2[[#This Row],[Actividad]],plan!$C$4:$C$52,0)),""))</f>
        <v/>
      </c>
      <c r="E239" s="48" t="str">
        <f>IFERROR(INDEX(plan!$E$4:$E$52,MATCH(Tabla_Registro_Tareas2[[#This Row],[Actividad]],plan!$C$4:$C$52,0)),"")</f>
        <v/>
      </c>
      <c r="F239" s="49" t="str">
        <f>IF(Tabla_Registro_Tareas2[[#This Row],[Actividad]]=Indice_Aux_Vacio,"",Indice_PROBLAM_Estudiante2)</f>
        <v/>
      </c>
      <c r="G239" s="7"/>
      <c r="H239" s="8"/>
      <c r="I239" s="9"/>
      <c r="K239" s="12" t="str" cm="1">
        <f t="array" ref="K239">IF($B239&lt;&gt;"",TRANSPOSE(_xlfn._xlws.FILTER(plan!$C$4:$C$52, ($B239 &gt;= (plan!$J$4:$J$52-Indice_Plan_ExtensionPlazo))*($B239 &lt;= (plan!$K$4:$K$52+Indice_Plan_ExtensionPlazo)), "")), "")</f>
        <v/>
      </c>
      <c r="BH239" s="4"/>
    </row>
    <row r="240" spans="2:60" x14ac:dyDescent="0.3">
      <c r="B240" s="6"/>
      <c r="C240" s="10"/>
      <c r="D240" s="48" t="str">
        <f>IF(Tabla_Registro_Tareas2[[#This Row],[Actividad]]=Indice_Aux_Vacio,"",IFERROR(INDEX(plan!$D$4:$D$52,MATCH(Tabla_Registro_Tareas2[[#This Row],[Actividad]],plan!$C$4:$C$52,0)),""))</f>
        <v/>
      </c>
      <c r="E240" s="48" t="str">
        <f>IFERROR(INDEX(plan!$E$4:$E$52,MATCH(Tabla_Registro_Tareas2[[#This Row],[Actividad]],plan!$C$4:$C$52,0)),"")</f>
        <v/>
      </c>
      <c r="F240" s="49" t="str">
        <f>IF(Tabla_Registro_Tareas2[[#This Row],[Actividad]]=Indice_Aux_Vacio,"",Indice_PROBLAM_Estudiante2)</f>
        <v/>
      </c>
      <c r="G240" s="7"/>
      <c r="H240" s="8"/>
      <c r="I240" s="9"/>
      <c r="K240" s="12" t="str" cm="1">
        <f t="array" ref="K240">IF($B240&lt;&gt;"",TRANSPOSE(_xlfn._xlws.FILTER(plan!$C$4:$C$52, ($B240 &gt;= (plan!$J$4:$J$52-Indice_Plan_ExtensionPlazo))*($B240 &lt;= (plan!$K$4:$K$52+Indice_Plan_ExtensionPlazo)), "")), "")</f>
        <v/>
      </c>
      <c r="BH240" s="4"/>
    </row>
    <row r="241" spans="2:60" x14ac:dyDescent="0.3">
      <c r="B241" s="6"/>
      <c r="C241" s="10"/>
      <c r="D241" s="48" t="str">
        <f>IF(Tabla_Registro_Tareas2[[#This Row],[Actividad]]=Indice_Aux_Vacio,"",IFERROR(INDEX(plan!$D$4:$D$52,MATCH(Tabla_Registro_Tareas2[[#This Row],[Actividad]],plan!$C$4:$C$52,0)),""))</f>
        <v/>
      </c>
      <c r="E241" s="48" t="str">
        <f>IFERROR(INDEX(plan!$E$4:$E$52,MATCH(Tabla_Registro_Tareas2[[#This Row],[Actividad]],plan!$C$4:$C$52,0)),"")</f>
        <v/>
      </c>
      <c r="F241" s="49" t="str">
        <f>IF(Tabla_Registro_Tareas2[[#This Row],[Actividad]]=Indice_Aux_Vacio,"",Indice_PROBLAM_Estudiante2)</f>
        <v/>
      </c>
      <c r="G241" s="7"/>
      <c r="H241" s="8"/>
      <c r="I241" s="9"/>
      <c r="K241" s="12" t="str" cm="1">
        <f t="array" ref="K241">IF($B241&lt;&gt;"",TRANSPOSE(_xlfn._xlws.FILTER(plan!$C$4:$C$52, ($B241 &gt;= (plan!$J$4:$J$52-Indice_Plan_ExtensionPlazo))*($B241 &lt;= (plan!$K$4:$K$52+Indice_Plan_ExtensionPlazo)), "")), "")</f>
        <v/>
      </c>
      <c r="BH241" s="4"/>
    </row>
    <row r="242" spans="2:60" x14ac:dyDescent="0.3">
      <c r="B242" s="6"/>
      <c r="C242" s="10"/>
      <c r="D242" s="48" t="str">
        <f>IF(Tabla_Registro_Tareas2[[#This Row],[Actividad]]=Indice_Aux_Vacio,"",IFERROR(INDEX(plan!$D$4:$D$52,MATCH(Tabla_Registro_Tareas2[[#This Row],[Actividad]],plan!$C$4:$C$52,0)),""))</f>
        <v/>
      </c>
      <c r="E242" s="48" t="str">
        <f>IFERROR(INDEX(plan!$E$4:$E$52,MATCH(Tabla_Registro_Tareas2[[#This Row],[Actividad]],plan!$C$4:$C$52,0)),"")</f>
        <v/>
      </c>
      <c r="F242" s="49" t="str">
        <f>IF(Tabla_Registro_Tareas2[[#This Row],[Actividad]]=Indice_Aux_Vacio,"",Indice_PROBLAM_Estudiante2)</f>
        <v/>
      </c>
      <c r="G242" s="7"/>
      <c r="H242" s="8"/>
      <c r="I242" s="9"/>
      <c r="K242" s="12" t="str" cm="1">
        <f t="array" ref="K242">IF($B242&lt;&gt;"",TRANSPOSE(_xlfn._xlws.FILTER(plan!$C$4:$C$52, ($B242 &gt;= (plan!$J$4:$J$52-Indice_Plan_ExtensionPlazo))*($B242 &lt;= (plan!$K$4:$K$52+Indice_Plan_ExtensionPlazo)), "")), "")</f>
        <v/>
      </c>
      <c r="BH242" s="4"/>
    </row>
    <row r="243" spans="2:60" x14ac:dyDescent="0.3">
      <c r="B243" s="6"/>
      <c r="C243" s="10"/>
      <c r="D243" s="48" t="str">
        <f>IF(Tabla_Registro_Tareas2[[#This Row],[Actividad]]=Indice_Aux_Vacio,"",IFERROR(INDEX(plan!$D$4:$D$52,MATCH(Tabla_Registro_Tareas2[[#This Row],[Actividad]],plan!$C$4:$C$52,0)),""))</f>
        <v/>
      </c>
      <c r="E243" s="48" t="str">
        <f>IFERROR(INDEX(plan!$E$4:$E$52,MATCH(Tabla_Registro_Tareas2[[#This Row],[Actividad]],plan!$C$4:$C$52,0)),"")</f>
        <v/>
      </c>
      <c r="F243" s="49" t="str">
        <f>IF(Tabla_Registro_Tareas2[[#This Row],[Actividad]]=Indice_Aux_Vacio,"",Indice_PROBLAM_Estudiante2)</f>
        <v/>
      </c>
      <c r="G243" s="7"/>
      <c r="H243" s="8"/>
      <c r="I243" s="9"/>
      <c r="K243" s="12" t="str" cm="1">
        <f t="array" ref="K243">IF($B243&lt;&gt;"",TRANSPOSE(_xlfn._xlws.FILTER(plan!$C$4:$C$52, ($B243 &gt;= (plan!$J$4:$J$52-Indice_Plan_ExtensionPlazo))*($B243 &lt;= (plan!$K$4:$K$52+Indice_Plan_ExtensionPlazo)), "")), "")</f>
        <v/>
      </c>
      <c r="BH243" s="4"/>
    </row>
    <row r="244" spans="2:60" x14ac:dyDescent="0.3">
      <c r="B244" s="6"/>
      <c r="C244" s="10"/>
      <c r="D244" s="48" t="str">
        <f>IF(Tabla_Registro_Tareas2[[#This Row],[Actividad]]=Indice_Aux_Vacio,"",IFERROR(INDEX(plan!$D$4:$D$52,MATCH(Tabla_Registro_Tareas2[[#This Row],[Actividad]],plan!$C$4:$C$52,0)),""))</f>
        <v/>
      </c>
      <c r="E244" s="48" t="str">
        <f>IFERROR(INDEX(plan!$E$4:$E$52,MATCH(Tabla_Registro_Tareas2[[#This Row],[Actividad]],plan!$C$4:$C$52,0)),"")</f>
        <v/>
      </c>
      <c r="F244" s="49" t="str">
        <f>IF(Tabla_Registro_Tareas2[[#This Row],[Actividad]]=Indice_Aux_Vacio,"",Indice_PROBLAM_Estudiante2)</f>
        <v/>
      </c>
      <c r="G244" s="7"/>
      <c r="H244" s="8"/>
      <c r="I244" s="9"/>
      <c r="K244" s="12" t="str" cm="1">
        <f t="array" ref="K244">IF($B244&lt;&gt;"",TRANSPOSE(_xlfn._xlws.FILTER(plan!$C$4:$C$52, ($B244 &gt;= (plan!$J$4:$J$52-Indice_Plan_ExtensionPlazo))*($B244 &lt;= (plan!$K$4:$K$52+Indice_Plan_ExtensionPlazo)), "")), "")</f>
        <v/>
      </c>
      <c r="BH244" s="4"/>
    </row>
    <row r="245" spans="2:60" x14ac:dyDescent="0.3">
      <c r="B245" s="6"/>
      <c r="C245" s="10"/>
      <c r="D245" s="48" t="str">
        <f>IF(Tabla_Registro_Tareas2[[#This Row],[Actividad]]=Indice_Aux_Vacio,"",IFERROR(INDEX(plan!$D$4:$D$52,MATCH(Tabla_Registro_Tareas2[[#This Row],[Actividad]],plan!$C$4:$C$52,0)),""))</f>
        <v/>
      </c>
      <c r="E245" s="48" t="str">
        <f>IFERROR(INDEX(plan!$E$4:$E$52,MATCH(Tabla_Registro_Tareas2[[#This Row],[Actividad]],plan!$C$4:$C$52,0)),"")</f>
        <v/>
      </c>
      <c r="F245" s="49" t="str">
        <f>IF(Tabla_Registro_Tareas2[[#This Row],[Actividad]]=Indice_Aux_Vacio,"",Indice_PROBLAM_Estudiante2)</f>
        <v/>
      </c>
      <c r="G245" s="7"/>
      <c r="H245" s="8"/>
      <c r="I245" s="9"/>
      <c r="K245" s="12" t="str" cm="1">
        <f t="array" ref="K245">IF($B245&lt;&gt;"",TRANSPOSE(_xlfn._xlws.FILTER(plan!$C$4:$C$52, ($B245 &gt;= (plan!$J$4:$J$52-Indice_Plan_ExtensionPlazo))*($B245 &lt;= (plan!$K$4:$K$52+Indice_Plan_ExtensionPlazo)), "")), "")</f>
        <v/>
      </c>
      <c r="BH245" s="4"/>
    </row>
    <row r="246" spans="2:60" x14ac:dyDescent="0.3">
      <c r="B246" s="6"/>
      <c r="C246" s="10"/>
      <c r="D246" s="48" t="str">
        <f>IF(Tabla_Registro_Tareas2[[#This Row],[Actividad]]=Indice_Aux_Vacio,"",IFERROR(INDEX(plan!$D$4:$D$52,MATCH(Tabla_Registro_Tareas2[[#This Row],[Actividad]],plan!$C$4:$C$52,0)),""))</f>
        <v/>
      </c>
      <c r="E246" s="48" t="str">
        <f>IFERROR(INDEX(plan!$E$4:$E$52,MATCH(Tabla_Registro_Tareas2[[#This Row],[Actividad]],plan!$C$4:$C$52,0)),"")</f>
        <v/>
      </c>
      <c r="F246" s="49" t="str">
        <f>IF(Tabla_Registro_Tareas2[[#This Row],[Actividad]]=Indice_Aux_Vacio,"",Indice_PROBLAM_Estudiante2)</f>
        <v/>
      </c>
      <c r="G246" s="7"/>
      <c r="H246" s="8"/>
      <c r="I246" s="9"/>
      <c r="K246" s="12" t="str" cm="1">
        <f t="array" ref="K246">IF($B246&lt;&gt;"",TRANSPOSE(_xlfn._xlws.FILTER(plan!$C$4:$C$52, ($B246 &gt;= (plan!$J$4:$J$52-Indice_Plan_ExtensionPlazo))*($B246 &lt;= (plan!$K$4:$K$52+Indice_Plan_ExtensionPlazo)), "")), "")</f>
        <v/>
      </c>
      <c r="BH246" s="4"/>
    </row>
    <row r="247" spans="2:60" x14ac:dyDescent="0.3">
      <c r="B247" s="6"/>
      <c r="C247" s="10"/>
      <c r="D247" s="48" t="str">
        <f>IF(Tabla_Registro_Tareas2[[#This Row],[Actividad]]=Indice_Aux_Vacio,"",IFERROR(INDEX(plan!$D$4:$D$52,MATCH(Tabla_Registro_Tareas2[[#This Row],[Actividad]],plan!$C$4:$C$52,0)),""))</f>
        <v/>
      </c>
      <c r="E247" s="48" t="str">
        <f>IFERROR(INDEX(plan!$E$4:$E$52,MATCH(Tabla_Registro_Tareas2[[#This Row],[Actividad]],plan!$C$4:$C$52,0)),"")</f>
        <v/>
      </c>
      <c r="F247" s="49" t="str">
        <f>IF(Tabla_Registro_Tareas2[[#This Row],[Actividad]]=Indice_Aux_Vacio,"",Indice_PROBLAM_Estudiante2)</f>
        <v/>
      </c>
      <c r="G247" s="7"/>
      <c r="H247" s="8"/>
      <c r="I247" s="9"/>
      <c r="K247" s="12" t="str" cm="1">
        <f t="array" ref="K247">IF($B247&lt;&gt;"",TRANSPOSE(_xlfn._xlws.FILTER(plan!$C$4:$C$52, ($B247 &gt;= (plan!$J$4:$J$52-Indice_Plan_ExtensionPlazo))*($B247 &lt;= (plan!$K$4:$K$52+Indice_Plan_ExtensionPlazo)), "")), "")</f>
        <v/>
      </c>
      <c r="BH247" s="4"/>
    </row>
    <row r="248" spans="2:60" x14ac:dyDescent="0.3">
      <c r="B248" s="6"/>
      <c r="C248" s="10"/>
      <c r="D248" s="48" t="str">
        <f>IF(Tabla_Registro_Tareas2[[#This Row],[Actividad]]=Indice_Aux_Vacio,"",IFERROR(INDEX(plan!$D$4:$D$52,MATCH(Tabla_Registro_Tareas2[[#This Row],[Actividad]],plan!$C$4:$C$52,0)),""))</f>
        <v/>
      </c>
      <c r="E248" s="48" t="str">
        <f>IFERROR(INDEX(plan!$E$4:$E$52,MATCH(Tabla_Registro_Tareas2[[#This Row],[Actividad]],plan!$C$4:$C$52,0)),"")</f>
        <v/>
      </c>
      <c r="F248" s="49" t="str">
        <f>IF(Tabla_Registro_Tareas2[[#This Row],[Actividad]]=Indice_Aux_Vacio,"",Indice_PROBLAM_Estudiante2)</f>
        <v/>
      </c>
      <c r="G248" s="7"/>
      <c r="H248" s="8"/>
      <c r="I248" s="9"/>
      <c r="K248" s="12" t="str" cm="1">
        <f t="array" ref="K248">IF($B248&lt;&gt;"",TRANSPOSE(_xlfn._xlws.FILTER(plan!$C$4:$C$52, ($B248 &gt;= (plan!$J$4:$J$52-Indice_Plan_ExtensionPlazo))*($B248 &lt;= (plan!$K$4:$K$52+Indice_Plan_ExtensionPlazo)), "")), "")</f>
        <v/>
      </c>
      <c r="BH248" s="4"/>
    </row>
    <row r="249" spans="2:60" x14ac:dyDescent="0.3">
      <c r="B249" s="6"/>
      <c r="C249" s="10"/>
      <c r="D249" s="48" t="str">
        <f>IF(Tabla_Registro_Tareas2[[#This Row],[Actividad]]=Indice_Aux_Vacio,"",IFERROR(INDEX(plan!$D$4:$D$52,MATCH(Tabla_Registro_Tareas2[[#This Row],[Actividad]],plan!$C$4:$C$52,0)),""))</f>
        <v/>
      </c>
      <c r="E249" s="48" t="str">
        <f>IFERROR(INDEX(plan!$E$4:$E$52,MATCH(Tabla_Registro_Tareas2[[#This Row],[Actividad]],plan!$C$4:$C$52,0)),"")</f>
        <v/>
      </c>
      <c r="F249" s="49" t="str">
        <f>IF(Tabla_Registro_Tareas2[[#This Row],[Actividad]]=Indice_Aux_Vacio,"",Indice_PROBLAM_Estudiante2)</f>
        <v/>
      </c>
      <c r="G249" s="7"/>
      <c r="H249" s="8"/>
      <c r="I249" s="9"/>
      <c r="K249" s="12" t="str" cm="1">
        <f t="array" ref="K249">IF($B249&lt;&gt;"",TRANSPOSE(_xlfn._xlws.FILTER(plan!$C$4:$C$52, ($B249 &gt;= (plan!$J$4:$J$52-Indice_Plan_ExtensionPlazo))*($B249 &lt;= (plan!$K$4:$K$52+Indice_Plan_ExtensionPlazo)), "")), "")</f>
        <v/>
      </c>
      <c r="BH249" s="4"/>
    </row>
    <row r="250" spans="2:60" x14ac:dyDescent="0.3">
      <c r="B250" s="6"/>
      <c r="C250" s="10"/>
      <c r="D250" s="48" t="str">
        <f>IF(Tabla_Registro_Tareas2[[#This Row],[Actividad]]=Indice_Aux_Vacio,"",IFERROR(INDEX(plan!$D$4:$D$52,MATCH(Tabla_Registro_Tareas2[[#This Row],[Actividad]],plan!$C$4:$C$52,0)),""))</f>
        <v/>
      </c>
      <c r="E250" s="48" t="str">
        <f>IFERROR(INDEX(plan!$E$4:$E$52,MATCH(Tabla_Registro_Tareas2[[#This Row],[Actividad]],plan!$C$4:$C$52,0)),"")</f>
        <v/>
      </c>
      <c r="F250" s="49" t="str">
        <f>IF(Tabla_Registro_Tareas2[[#This Row],[Actividad]]=Indice_Aux_Vacio,"",Indice_PROBLAM_Estudiante2)</f>
        <v/>
      </c>
      <c r="G250" s="7"/>
      <c r="H250" s="8"/>
      <c r="I250" s="9"/>
      <c r="K250" s="12" t="str" cm="1">
        <f t="array" ref="K250">IF($B250&lt;&gt;"",TRANSPOSE(_xlfn._xlws.FILTER(plan!$C$4:$C$52, ($B250 &gt;= (plan!$J$4:$J$52-Indice_Plan_ExtensionPlazo))*($B250 &lt;= (plan!$K$4:$K$52+Indice_Plan_ExtensionPlazo)), "")), "")</f>
        <v/>
      </c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4"/>
    </row>
  </sheetData>
  <sheetProtection algorithmName="SHA-512" hashValue="bOaqPZJDPPL6/ZuEQSjBalR62NAmI4b2g8Z8bn/TiC4HJHmFzvCaRz300anX8DjCzPP5kiJ5wWD+e/gaV+WenA==" saltValue="7ElI5BZTjC9LE81s6AgjRQ==" spinCount="100000" sheet="1" selectLockedCells="1"/>
  <conditionalFormatting sqref="B3:C250">
    <cfRule type="containsBlanks" dxfId="17" priority="1">
      <formula>LEN(TRIM(B3))=0</formula>
    </cfRule>
  </conditionalFormatting>
  <conditionalFormatting sqref="F3 I3:I6 F4:G6 F7:I250">
    <cfRule type="containsBlanks" dxfId="16" priority="5">
      <formula>LEN(TRIM(F3))=0</formula>
    </cfRule>
  </conditionalFormatting>
  <conditionalFormatting sqref="G3:H3">
    <cfRule type="containsBlanks" dxfId="15" priority="2">
      <formula>LEN(TRIM(G3))=0</formula>
    </cfRule>
  </conditionalFormatting>
  <conditionalFormatting sqref="H4:H6">
    <cfRule type="containsBlanks" dxfId="14" priority="3">
      <formula>LEN(TRIM(H4))=0</formula>
    </cfRule>
  </conditionalFormatting>
  <dataValidations count="6">
    <dataValidation type="custom" operator="greaterThan" allowBlank="1" showInputMessage="1" showErrorMessage="1" error="La tarea no puede tener una duración inferior a 1 minuto." sqref="H4" xr:uid="{91323264-696B-4617-8A0C-A4BD1FDB498F}">
      <formula1>OR($C4="",AND(ISNUMBER($H4),$H4&lt;&gt;""))</formula1>
    </dataValidation>
    <dataValidation type="list" allowBlank="1" showInputMessage="1" showErrorMessage="1" sqref="C3:C250" xr:uid="{2B391128-87D1-4259-A4B4-BD679521439C}">
      <formula1>IF($B3&lt;&gt;"",_xlfn.ANCHORARRAY($K3),Indice_Aux_Vacio)</formula1>
    </dataValidation>
    <dataValidation allowBlank="1" showInputMessage="1" showErrorMessage="1" error="El valor indicado no se corresponde con ninguno de los tipos soportados en esta columna." sqref="D3:D250" xr:uid="{87A1F95B-E24A-4564-8097-839302DD9514}"/>
    <dataValidation type="date" allowBlank="1" showInputMessage="1" showErrorMessage="1" error="La fecha está fuera del periodo temporal planificado en este sprint." sqref="B3:B250" xr:uid="{0E5913D2-6329-4EB9-9E49-09C8EF82CDDE}">
      <formula1>Indice_Plan_FechaInicio</formula1>
      <formula2>Indice_Plan_FechaFin</formula2>
    </dataValidation>
    <dataValidation type="whole" operator="greaterThan" allowBlank="1" showInputMessage="1" showErrorMessage="1" error="La tarea no puede tener una duración inferior a 1 minuto." sqref="H5:H250" xr:uid="{1EC32A01-D6C0-438A-9758-20354DA48EEC}">
      <formula1>0</formula1>
    </dataValidation>
    <dataValidation type="custom" operator="greaterThan" showInputMessage="1" showErrorMessage="1" error="No puedes asignar tiempo a una actividad no definida o el tiempo asignado es inferior a 1 minuto." sqref="H3" xr:uid="{7DFFAF31-9EE3-4F6E-889A-1BC0DA599917}">
      <formula1>IF($C3="",ISBLANK(H3),ISNUMBER(H3))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B50BC-1B9E-4958-97D5-1A38159C87E0}">
  <dimension ref="B1:BH250"/>
  <sheetViews>
    <sheetView workbookViewId="0">
      <selection activeCell="B4" sqref="B4"/>
    </sheetView>
  </sheetViews>
  <sheetFormatPr baseColWidth="10" defaultColWidth="11.44140625" defaultRowHeight="15.05" x14ac:dyDescent="0.3"/>
  <cols>
    <col min="1" max="1" width="2.5546875" style="2" customWidth="1"/>
    <col min="2" max="2" width="11.44140625" style="2"/>
    <col min="3" max="3" width="33.88671875" style="2" customWidth="1"/>
    <col min="4" max="4" width="15.109375" style="2" hidden="1" customWidth="1"/>
    <col min="5" max="5" width="16.6640625" style="2" hidden="1" customWidth="1"/>
    <col min="6" max="6" width="24.6640625" style="2" customWidth="1"/>
    <col min="7" max="7" width="38.5546875" style="2" customWidth="1"/>
    <col min="8" max="8" width="16.5546875" style="2" customWidth="1"/>
    <col min="9" max="9" width="60.109375" style="2" customWidth="1"/>
    <col min="10" max="10" width="2.5546875" style="2" customWidth="1"/>
    <col min="11" max="11" width="19.5546875" style="2" hidden="1" customWidth="1"/>
    <col min="12" max="60" width="11.44140625" style="2" hidden="1" customWidth="1"/>
    <col min="61" max="16384" width="11.44140625" style="2"/>
  </cols>
  <sheetData>
    <row r="1" spans="2:60" x14ac:dyDescent="0.3"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</row>
    <row r="2" spans="2:60" x14ac:dyDescent="0.3">
      <c r="B2" s="5" t="s">
        <v>0</v>
      </c>
      <c r="C2" s="5" t="s">
        <v>11</v>
      </c>
      <c r="D2" s="5" t="s">
        <v>49</v>
      </c>
      <c r="E2" s="5" t="s">
        <v>50</v>
      </c>
      <c r="F2" s="5" t="s">
        <v>45</v>
      </c>
      <c r="G2" s="5" t="s">
        <v>14</v>
      </c>
      <c r="H2" s="5" t="s">
        <v>1</v>
      </c>
      <c r="I2" s="5" t="s">
        <v>52</v>
      </c>
      <c r="K2" s="12"/>
      <c r="BH2" s="4"/>
    </row>
    <row r="3" spans="2:60" hidden="1" x14ac:dyDescent="0.3">
      <c r="B3" s="6">
        <v>46062</v>
      </c>
      <c r="C3" s="10" t="s">
        <v>115</v>
      </c>
      <c r="D3" s="48" t="str">
        <f>IF(Tabla_Registro_Tareas3[[#This Row],[Actividad]]=Indice_Aux_Vacio,"",IFERROR(INDEX(plan!$D$4:$D$52,MATCH(Tabla_Registro_Tareas3[[#This Row],[Actividad]],plan!$C$4:$C$52,0)),""))</f>
        <v>Diseño físico</v>
      </c>
      <c r="E3" s="48" t="str">
        <f>IFERROR(INDEX(plan!$E$4:$E$52,MATCH(Tabla_Registro_Tareas3[[#This Row],[Actividad]],plan!$C$4:$C$52,0)),"")</f>
        <v>Ficticia #3</v>
      </c>
      <c r="F3" s="49" t="str">
        <f>IF(Tabla_Registro_Tareas3[[#This Row],[Actividad]]=Indice_Aux_Vacio,"",Indice_PROBLAM_Estudiante3)</f>
        <v>Nombre#3 Apellido#31 Apellido#32</v>
      </c>
      <c r="G3" s="7" t="s">
        <v>96</v>
      </c>
      <c r="H3" s="8">
        <v>0</v>
      </c>
      <c r="I3" s="9"/>
      <c r="K3" s="12" t="str" cm="1">
        <f t="array" ref="K3">IF($B3&lt;&gt;"",TRANSPOSE(_xlfn._xlws.FILTER(plan!$C$4:$C$52, ($B3 &gt;= (plan!$J$4:$J$52-Indice_Plan_ExtensionPlazo))*($B3 &lt;= (plan!$K$4:$K$52+Indice_Plan_ExtensionPlazo)), "")), "")</f>
        <v/>
      </c>
      <c r="BH3" s="4"/>
    </row>
    <row r="4" spans="2:60" x14ac:dyDescent="0.3">
      <c r="B4" s="6"/>
      <c r="C4" s="10"/>
      <c r="D4" s="48" t="str">
        <f>IF(Tabla_Registro_Tareas3[[#This Row],[Actividad]]=Indice_Aux_Vacio,"",IFERROR(INDEX(plan!$D$4:$D$52,MATCH(Tabla_Registro_Tareas3[[#This Row],[Actividad]],plan!$C$4:$C$52,0)),""))</f>
        <v/>
      </c>
      <c r="E4" s="48" t="str">
        <f>IFERROR(INDEX(plan!$E$4:$E$52,MATCH(Tabla_Registro_Tareas3[[#This Row],[Actividad]],plan!$C$4:$C$52,0)),"")</f>
        <v/>
      </c>
      <c r="F4" s="49" t="str">
        <f>IF(Tabla_Registro_Tareas3[[#This Row],[Actividad]]=Indice_Aux_Vacio,"",Indice_PROBLAM_Estudiante3)</f>
        <v/>
      </c>
      <c r="G4" s="7"/>
      <c r="H4" s="8"/>
      <c r="I4" s="9"/>
      <c r="K4" s="12" t="str" cm="1">
        <f t="array" ref="K4">IF($B4&lt;&gt;"",TRANSPOSE(_xlfn._xlws.FILTER(plan!$C$4:$C$52, ($B4 &gt;= (plan!$J$4:$J$52-Indice_Plan_ExtensionPlazo))*($B4 &lt;= (plan!$K$4:$K$52+Indice_Plan_ExtensionPlazo)), "")), "")</f>
        <v/>
      </c>
      <c r="BH4" s="4"/>
    </row>
    <row r="5" spans="2:60" x14ac:dyDescent="0.3">
      <c r="B5" s="6"/>
      <c r="C5" s="10"/>
      <c r="D5" s="48" t="str">
        <f>IF(Tabla_Registro_Tareas3[[#This Row],[Actividad]]=Indice_Aux_Vacio,"",IFERROR(INDEX(plan!$D$4:$D$52,MATCH(Tabla_Registro_Tareas3[[#This Row],[Actividad]],plan!$C$4:$C$52,0)),""))</f>
        <v/>
      </c>
      <c r="E5" s="48" t="str">
        <f>IFERROR(INDEX(plan!$E$4:$E$52,MATCH(Tabla_Registro_Tareas3[[#This Row],[Actividad]],plan!$C$4:$C$52,0)),"")</f>
        <v/>
      </c>
      <c r="F5" s="49" t="str">
        <f>IF(Tabla_Registro_Tareas3[[#This Row],[Actividad]]=Indice_Aux_Vacio,"",Indice_PROBLAM_Estudiante3)</f>
        <v/>
      </c>
      <c r="G5" s="7"/>
      <c r="H5" s="8"/>
      <c r="I5" s="9"/>
      <c r="K5" s="12" t="str" cm="1">
        <f t="array" ref="K5">IF($B5&lt;&gt;"",TRANSPOSE(_xlfn._xlws.FILTER(plan!$C$4:$C$52, ($B5 &gt;= (plan!$J$4:$J$52-Indice_Plan_ExtensionPlazo))*($B5 &lt;= (plan!$K$4:$K$52+Indice_Plan_ExtensionPlazo)), "")), "")</f>
        <v/>
      </c>
      <c r="BH5" s="4"/>
    </row>
    <row r="6" spans="2:60" x14ac:dyDescent="0.3">
      <c r="B6" s="6"/>
      <c r="C6" s="10"/>
      <c r="D6" s="48" t="str">
        <f>IF(Tabla_Registro_Tareas3[[#This Row],[Actividad]]=Indice_Aux_Vacio,"",IFERROR(INDEX(plan!$D$4:$D$52,MATCH(Tabla_Registro_Tareas3[[#This Row],[Actividad]],plan!$C$4:$C$52,0)),""))</f>
        <v/>
      </c>
      <c r="E6" s="48" t="str">
        <f>IFERROR(INDEX(plan!$E$4:$E$52,MATCH(Tabla_Registro_Tareas3[[#This Row],[Actividad]],plan!$C$4:$C$52,0)),"")</f>
        <v/>
      </c>
      <c r="F6" s="49" t="str">
        <f>IF(Tabla_Registro_Tareas3[[#This Row],[Actividad]]=Indice_Aux_Vacio,"",Indice_PROBLAM_Estudiante3)</f>
        <v/>
      </c>
      <c r="G6" s="7"/>
      <c r="H6" s="8"/>
      <c r="I6" s="9"/>
      <c r="K6" s="12" t="str" cm="1">
        <f t="array" ref="K6">IF($B6&lt;&gt;"",TRANSPOSE(_xlfn._xlws.FILTER(plan!$C$4:$C$52, ($B6 &gt;= (plan!$J$4:$J$52-Indice_Plan_ExtensionPlazo))*($B6 &lt;= (plan!$K$4:$K$52+Indice_Plan_ExtensionPlazo)), "")), "")</f>
        <v/>
      </c>
      <c r="BH6" s="4"/>
    </row>
    <row r="7" spans="2:60" x14ac:dyDescent="0.3">
      <c r="B7" s="6"/>
      <c r="C7" s="10"/>
      <c r="D7" s="48" t="str">
        <f>IF(Tabla_Registro_Tareas3[[#This Row],[Actividad]]=Indice_Aux_Vacio,"",IFERROR(INDEX(plan!$D$4:$D$52,MATCH(Tabla_Registro_Tareas3[[#This Row],[Actividad]],plan!$C$4:$C$52,0)),""))</f>
        <v/>
      </c>
      <c r="E7" s="48" t="str">
        <f>IFERROR(INDEX(plan!$E$4:$E$52,MATCH(Tabla_Registro_Tareas3[[#This Row],[Actividad]],plan!$C$4:$C$52,0)),"")</f>
        <v/>
      </c>
      <c r="F7" s="49" t="str">
        <f>IF(Tabla_Registro_Tareas3[[#This Row],[Actividad]]=Indice_Aux_Vacio,"",Indice_PROBLAM_Estudiante3)</f>
        <v/>
      </c>
      <c r="G7" s="7"/>
      <c r="H7" s="8"/>
      <c r="I7" s="9"/>
      <c r="K7" s="12" t="str" cm="1">
        <f t="array" ref="K7">IF($B7&lt;&gt;"",TRANSPOSE(_xlfn._xlws.FILTER(plan!$C$4:$C$52, ($B7 &gt;= (plan!$J$4:$J$52-Indice_Plan_ExtensionPlazo))*($B7 &lt;= (plan!$K$4:$K$52+Indice_Plan_ExtensionPlazo)), "")), "")</f>
        <v/>
      </c>
      <c r="BH7" s="4"/>
    </row>
    <row r="8" spans="2:60" x14ac:dyDescent="0.3">
      <c r="B8" s="6"/>
      <c r="C8" s="10"/>
      <c r="D8" s="48" t="str">
        <f>IF(Tabla_Registro_Tareas3[[#This Row],[Actividad]]=Indice_Aux_Vacio,"",IFERROR(INDEX(plan!$D$4:$D$52,MATCH(Tabla_Registro_Tareas3[[#This Row],[Actividad]],plan!$C$4:$C$52,0)),""))</f>
        <v/>
      </c>
      <c r="E8" s="48" t="str">
        <f>IFERROR(INDEX(plan!$E$4:$E$52,MATCH(Tabla_Registro_Tareas3[[#This Row],[Actividad]],plan!$C$4:$C$52,0)),"")</f>
        <v/>
      </c>
      <c r="F8" s="49" t="str">
        <f>IF(Tabla_Registro_Tareas3[[#This Row],[Actividad]]=Indice_Aux_Vacio,"",Indice_PROBLAM_Estudiante3)</f>
        <v/>
      </c>
      <c r="G8" s="7"/>
      <c r="H8" s="8"/>
      <c r="I8" s="9"/>
      <c r="K8" s="12" t="str" cm="1">
        <f t="array" ref="K8">IF($B8&lt;&gt;"",TRANSPOSE(_xlfn._xlws.FILTER(plan!$C$4:$C$52, ($B8 &gt;= (plan!$J$4:$J$52-Indice_Plan_ExtensionPlazo))*($B8 &lt;= (plan!$K$4:$K$52+Indice_Plan_ExtensionPlazo)), "")), "")</f>
        <v/>
      </c>
      <c r="BH8" s="4"/>
    </row>
    <row r="9" spans="2:60" x14ac:dyDescent="0.3">
      <c r="B9" s="6"/>
      <c r="C9" s="10"/>
      <c r="D9" s="48" t="str">
        <f>IF(Tabla_Registro_Tareas3[[#This Row],[Actividad]]=Indice_Aux_Vacio,"",IFERROR(INDEX(plan!$D$4:$D$52,MATCH(Tabla_Registro_Tareas3[[#This Row],[Actividad]],plan!$C$4:$C$52,0)),""))</f>
        <v/>
      </c>
      <c r="E9" s="48" t="str">
        <f>IFERROR(INDEX(plan!$E$4:$E$52,MATCH(Tabla_Registro_Tareas3[[#This Row],[Actividad]],plan!$C$4:$C$52,0)),"")</f>
        <v/>
      </c>
      <c r="F9" s="49" t="str">
        <f>IF(Tabla_Registro_Tareas3[[#This Row],[Actividad]]=Indice_Aux_Vacio,"",Indice_PROBLAM_Estudiante3)</f>
        <v/>
      </c>
      <c r="G9" s="7"/>
      <c r="H9" s="8"/>
      <c r="I9" s="9"/>
      <c r="K9" s="12" t="str" cm="1">
        <f t="array" ref="K9">IF($B9&lt;&gt;"",TRANSPOSE(_xlfn._xlws.FILTER(plan!$C$4:$C$52, ($B9 &gt;= (plan!$J$4:$J$52-Indice_Plan_ExtensionPlazo))*($B9 &lt;= (plan!$K$4:$K$52+Indice_Plan_ExtensionPlazo)), "")), "")</f>
        <v/>
      </c>
      <c r="BH9" s="4"/>
    </row>
    <row r="10" spans="2:60" x14ac:dyDescent="0.3">
      <c r="B10" s="6"/>
      <c r="C10" s="10"/>
      <c r="D10" s="48" t="str">
        <f>IF(Tabla_Registro_Tareas3[[#This Row],[Actividad]]=Indice_Aux_Vacio,"",IFERROR(INDEX(plan!$D$4:$D$52,MATCH(Tabla_Registro_Tareas3[[#This Row],[Actividad]],plan!$C$4:$C$52,0)),""))</f>
        <v/>
      </c>
      <c r="E10" s="48" t="str">
        <f>IFERROR(INDEX(plan!$E$4:$E$52,MATCH(Tabla_Registro_Tareas3[[#This Row],[Actividad]],plan!$C$4:$C$52,0)),"")</f>
        <v/>
      </c>
      <c r="F10" s="49" t="str">
        <f>IF(Tabla_Registro_Tareas3[[#This Row],[Actividad]]=Indice_Aux_Vacio,"",Indice_PROBLAM_Estudiante3)</f>
        <v/>
      </c>
      <c r="G10" s="7"/>
      <c r="H10" s="8"/>
      <c r="I10" s="9"/>
      <c r="K10" s="12" t="str" cm="1">
        <f t="array" ref="K10">IF($B10&lt;&gt;"",TRANSPOSE(_xlfn._xlws.FILTER(plan!$C$4:$C$52, ($B10 &gt;= (plan!$J$4:$J$52-Indice_Plan_ExtensionPlazo))*($B10 &lt;= (plan!$K$4:$K$52+Indice_Plan_ExtensionPlazo)), "")), "")</f>
        <v/>
      </c>
      <c r="BH10" s="4"/>
    </row>
    <row r="11" spans="2:60" x14ac:dyDescent="0.3">
      <c r="B11" s="6"/>
      <c r="C11" s="10"/>
      <c r="D11" s="48" t="str">
        <f>IF(Tabla_Registro_Tareas3[[#This Row],[Actividad]]=Indice_Aux_Vacio,"",IFERROR(INDEX(plan!$D$4:$D$52,MATCH(Tabla_Registro_Tareas3[[#This Row],[Actividad]],plan!$C$4:$C$52,0)),""))</f>
        <v/>
      </c>
      <c r="E11" s="48" t="str">
        <f>IFERROR(INDEX(plan!$E$4:$E$52,MATCH(Tabla_Registro_Tareas3[[#This Row],[Actividad]],plan!$C$4:$C$52,0)),"")</f>
        <v/>
      </c>
      <c r="F11" s="49" t="str">
        <f>IF(Tabla_Registro_Tareas3[[#This Row],[Actividad]]=Indice_Aux_Vacio,"",Indice_PROBLAM_Estudiante3)</f>
        <v/>
      </c>
      <c r="G11" s="7"/>
      <c r="H11" s="8"/>
      <c r="I11" s="9"/>
      <c r="K11" s="12" t="str" cm="1">
        <f t="array" ref="K11">IF($B11&lt;&gt;"",TRANSPOSE(_xlfn._xlws.FILTER(plan!$C$4:$C$52, ($B11 &gt;= (plan!$J$4:$J$52-Indice_Plan_ExtensionPlazo))*($B11 &lt;= (plan!$K$4:$K$52+Indice_Plan_ExtensionPlazo)), "")), "")</f>
        <v/>
      </c>
      <c r="BH11" s="4"/>
    </row>
    <row r="12" spans="2:60" x14ac:dyDescent="0.3">
      <c r="B12" s="6"/>
      <c r="C12" s="10"/>
      <c r="D12" s="48" t="str">
        <f>IF(Tabla_Registro_Tareas3[[#This Row],[Actividad]]=Indice_Aux_Vacio,"",IFERROR(INDEX(plan!$D$4:$D$52,MATCH(Tabla_Registro_Tareas3[[#This Row],[Actividad]],plan!$C$4:$C$52,0)),""))</f>
        <v/>
      </c>
      <c r="E12" s="48" t="str">
        <f>IFERROR(INDEX(plan!$E$4:$E$52,MATCH(Tabla_Registro_Tareas3[[#This Row],[Actividad]],plan!$C$4:$C$52,0)),"")</f>
        <v/>
      </c>
      <c r="F12" s="49" t="str">
        <f>IF(Tabla_Registro_Tareas3[[#This Row],[Actividad]]=Indice_Aux_Vacio,"",Indice_PROBLAM_Estudiante3)</f>
        <v/>
      </c>
      <c r="G12" s="7"/>
      <c r="H12" s="8"/>
      <c r="I12" s="9"/>
      <c r="K12" s="12" t="str" cm="1">
        <f t="array" ref="K12">IF($B12&lt;&gt;"",TRANSPOSE(_xlfn._xlws.FILTER(plan!$C$4:$C$52, ($B12 &gt;= (plan!$J$4:$J$52-Indice_Plan_ExtensionPlazo))*($B12 &lt;= (plan!$K$4:$K$52+Indice_Plan_ExtensionPlazo)), "")), "")</f>
        <v/>
      </c>
      <c r="BH12" s="4"/>
    </row>
    <row r="13" spans="2:60" x14ac:dyDescent="0.3">
      <c r="B13" s="6"/>
      <c r="C13" s="10"/>
      <c r="D13" s="48" t="str">
        <f>IF(Tabla_Registro_Tareas3[[#This Row],[Actividad]]=Indice_Aux_Vacio,"",IFERROR(INDEX(plan!$D$4:$D$52,MATCH(Tabla_Registro_Tareas3[[#This Row],[Actividad]],plan!$C$4:$C$52,0)),""))</f>
        <v/>
      </c>
      <c r="E13" s="48" t="str">
        <f>IFERROR(INDEX(plan!$E$4:$E$52,MATCH(Tabla_Registro_Tareas3[[#This Row],[Actividad]],plan!$C$4:$C$52,0)),"")</f>
        <v/>
      </c>
      <c r="F13" s="49" t="str">
        <f>IF(Tabla_Registro_Tareas3[[#This Row],[Actividad]]=Indice_Aux_Vacio,"",Indice_PROBLAM_Estudiante3)</f>
        <v/>
      </c>
      <c r="G13" s="7"/>
      <c r="H13" s="8"/>
      <c r="I13" s="9"/>
      <c r="K13" s="12" t="str" cm="1">
        <f t="array" ref="K13">IF($B13&lt;&gt;"",TRANSPOSE(_xlfn._xlws.FILTER(plan!$C$4:$C$52, ($B13 &gt;= (plan!$J$4:$J$52-Indice_Plan_ExtensionPlazo))*($B13 &lt;= (plan!$K$4:$K$52+Indice_Plan_ExtensionPlazo)), "")), "")</f>
        <v/>
      </c>
      <c r="BH13" s="4"/>
    </row>
    <row r="14" spans="2:60" x14ac:dyDescent="0.3">
      <c r="B14" s="6"/>
      <c r="C14" s="10"/>
      <c r="D14" s="48" t="str">
        <f>IF(Tabla_Registro_Tareas3[[#This Row],[Actividad]]=Indice_Aux_Vacio,"",IFERROR(INDEX(plan!$D$4:$D$52,MATCH(Tabla_Registro_Tareas3[[#This Row],[Actividad]],plan!$C$4:$C$52,0)),""))</f>
        <v/>
      </c>
      <c r="E14" s="48" t="str">
        <f>IFERROR(INDEX(plan!$E$4:$E$52,MATCH(Tabla_Registro_Tareas3[[#This Row],[Actividad]],plan!$C$4:$C$52,0)),"")</f>
        <v/>
      </c>
      <c r="F14" s="49" t="str">
        <f>IF(Tabla_Registro_Tareas3[[#This Row],[Actividad]]=Indice_Aux_Vacio,"",Indice_PROBLAM_Estudiante3)</f>
        <v/>
      </c>
      <c r="G14" s="7"/>
      <c r="H14" s="8"/>
      <c r="I14" s="9"/>
      <c r="K14" s="12" t="str" cm="1">
        <f t="array" ref="K14">IF($B14&lt;&gt;"",TRANSPOSE(_xlfn._xlws.FILTER(plan!$C$4:$C$52, ($B14 &gt;= (plan!$J$4:$J$52-Indice_Plan_ExtensionPlazo))*($B14 &lt;= (plan!$K$4:$K$52+Indice_Plan_ExtensionPlazo)), "")), "")</f>
        <v/>
      </c>
      <c r="BH14" s="4"/>
    </row>
    <row r="15" spans="2:60" x14ac:dyDescent="0.3">
      <c r="B15" s="6"/>
      <c r="C15" s="10"/>
      <c r="D15" s="48" t="str">
        <f>IF(Tabla_Registro_Tareas3[[#This Row],[Actividad]]=Indice_Aux_Vacio,"",IFERROR(INDEX(plan!$D$4:$D$52,MATCH(Tabla_Registro_Tareas3[[#This Row],[Actividad]],plan!$C$4:$C$52,0)),""))</f>
        <v/>
      </c>
      <c r="E15" s="48" t="str">
        <f>IFERROR(INDEX(plan!$E$4:$E$52,MATCH(Tabla_Registro_Tareas3[[#This Row],[Actividad]],plan!$C$4:$C$52,0)),"")</f>
        <v/>
      </c>
      <c r="F15" s="49" t="str">
        <f>IF(Tabla_Registro_Tareas3[[#This Row],[Actividad]]=Indice_Aux_Vacio,"",Indice_PROBLAM_Estudiante3)</f>
        <v/>
      </c>
      <c r="G15" s="7"/>
      <c r="H15" s="8"/>
      <c r="I15" s="9"/>
      <c r="K15" s="12" t="str" cm="1">
        <f t="array" ref="K15">IF($B15&lt;&gt;"",TRANSPOSE(_xlfn._xlws.FILTER(plan!$C$4:$C$52, ($B15 &gt;= (plan!$J$4:$J$52-Indice_Plan_ExtensionPlazo))*($B15 &lt;= (plan!$K$4:$K$52+Indice_Plan_ExtensionPlazo)), "")), "")</f>
        <v/>
      </c>
      <c r="BH15" s="4"/>
    </row>
    <row r="16" spans="2:60" x14ac:dyDescent="0.3">
      <c r="B16" s="6"/>
      <c r="C16" s="10"/>
      <c r="D16" s="48" t="str">
        <f>IF(Tabla_Registro_Tareas3[[#This Row],[Actividad]]=Indice_Aux_Vacio,"",IFERROR(INDEX(plan!$D$4:$D$52,MATCH(Tabla_Registro_Tareas3[[#This Row],[Actividad]],plan!$C$4:$C$52,0)),""))</f>
        <v/>
      </c>
      <c r="E16" s="48" t="str">
        <f>IFERROR(INDEX(plan!$E$4:$E$52,MATCH(Tabla_Registro_Tareas3[[#This Row],[Actividad]],plan!$C$4:$C$52,0)),"")</f>
        <v/>
      </c>
      <c r="F16" s="49" t="str">
        <f>IF(Tabla_Registro_Tareas3[[#This Row],[Actividad]]=Indice_Aux_Vacio,"",Indice_PROBLAM_Estudiante3)</f>
        <v/>
      </c>
      <c r="G16" s="7"/>
      <c r="H16" s="8"/>
      <c r="I16" s="9"/>
      <c r="K16" s="12" t="str" cm="1">
        <f t="array" ref="K16">IF($B16&lt;&gt;"",TRANSPOSE(_xlfn._xlws.FILTER(plan!$C$4:$C$52, ($B16 &gt;= (plan!$J$4:$J$52-Indice_Plan_ExtensionPlazo))*($B16 &lt;= (plan!$K$4:$K$52+Indice_Plan_ExtensionPlazo)), "")), "")</f>
        <v/>
      </c>
      <c r="BH16" s="4"/>
    </row>
    <row r="17" spans="2:60" x14ac:dyDescent="0.3">
      <c r="B17" s="6"/>
      <c r="C17" s="10"/>
      <c r="D17" s="48" t="str">
        <f>IF(Tabla_Registro_Tareas3[[#This Row],[Actividad]]=Indice_Aux_Vacio,"",IFERROR(INDEX(plan!$D$4:$D$52,MATCH(Tabla_Registro_Tareas3[[#This Row],[Actividad]],plan!$C$4:$C$52,0)),""))</f>
        <v/>
      </c>
      <c r="E17" s="48" t="str">
        <f>IFERROR(INDEX(plan!$E$4:$E$52,MATCH(Tabla_Registro_Tareas3[[#This Row],[Actividad]],plan!$C$4:$C$52,0)),"")</f>
        <v/>
      </c>
      <c r="F17" s="49" t="str">
        <f>IF(Tabla_Registro_Tareas3[[#This Row],[Actividad]]=Indice_Aux_Vacio,"",Indice_PROBLAM_Estudiante3)</f>
        <v/>
      </c>
      <c r="G17" s="7"/>
      <c r="H17" s="8"/>
      <c r="I17" s="9"/>
      <c r="K17" s="12" t="str" cm="1">
        <f t="array" ref="K17">IF($B17&lt;&gt;"",TRANSPOSE(_xlfn._xlws.FILTER(plan!$C$4:$C$52, ($B17 &gt;= (plan!$J$4:$J$52-Indice_Plan_ExtensionPlazo))*($B17 &lt;= (plan!$K$4:$K$52+Indice_Plan_ExtensionPlazo)), "")), "")</f>
        <v/>
      </c>
      <c r="BH17" s="4"/>
    </row>
    <row r="18" spans="2:60" x14ac:dyDescent="0.3">
      <c r="B18" s="6"/>
      <c r="C18" s="10"/>
      <c r="D18" s="48" t="str">
        <f>IF(Tabla_Registro_Tareas3[[#This Row],[Actividad]]=Indice_Aux_Vacio,"",IFERROR(INDEX(plan!$D$4:$D$52,MATCH(Tabla_Registro_Tareas3[[#This Row],[Actividad]],plan!$C$4:$C$52,0)),""))</f>
        <v/>
      </c>
      <c r="E18" s="48" t="str">
        <f>IFERROR(INDEX(plan!$E$4:$E$52,MATCH(Tabla_Registro_Tareas3[[#This Row],[Actividad]],plan!$C$4:$C$52,0)),"")</f>
        <v/>
      </c>
      <c r="F18" s="49" t="str">
        <f>IF(Tabla_Registro_Tareas3[[#This Row],[Actividad]]=Indice_Aux_Vacio,"",Indice_PROBLAM_Estudiante3)</f>
        <v/>
      </c>
      <c r="G18" s="7"/>
      <c r="H18" s="8"/>
      <c r="I18" s="9"/>
      <c r="K18" s="12" t="str" cm="1">
        <f t="array" ref="K18">IF($B18&lt;&gt;"",TRANSPOSE(_xlfn._xlws.FILTER(plan!$C$4:$C$52, ($B18 &gt;= (plan!$J$4:$J$52-Indice_Plan_ExtensionPlazo))*($B18 &lt;= (plan!$K$4:$K$52+Indice_Plan_ExtensionPlazo)), "")), "")</f>
        <v/>
      </c>
      <c r="BH18" s="4"/>
    </row>
    <row r="19" spans="2:60" x14ac:dyDescent="0.3">
      <c r="B19" s="6"/>
      <c r="C19" s="10"/>
      <c r="D19" s="48" t="str">
        <f>IF(Tabla_Registro_Tareas3[[#This Row],[Actividad]]=Indice_Aux_Vacio,"",IFERROR(INDEX(plan!$D$4:$D$52,MATCH(Tabla_Registro_Tareas3[[#This Row],[Actividad]],plan!$C$4:$C$52,0)),""))</f>
        <v/>
      </c>
      <c r="E19" s="48" t="str">
        <f>IFERROR(INDEX(plan!$E$4:$E$52,MATCH(Tabla_Registro_Tareas3[[#This Row],[Actividad]],plan!$C$4:$C$52,0)),"")</f>
        <v/>
      </c>
      <c r="F19" s="49" t="str">
        <f>IF(Tabla_Registro_Tareas3[[#This Row],[Actividad]]=Indice_Aux_Vacio,"",Indice_PROBLAM_Estudiante3)</f>
        <v/>
      </c>
      <c r="G19" s="7"/>
      <c r="H19" s="8"/>
      <c r="I19" s="9"/>
      <c r="K19" s="12" t="str" cm="1">
        <f t="array" ref="K19">IF($B19&lt;&gt;"",TRANSPOSE(_xlfn._xlws.FILTER(plan!$C$4:$C$52, ($B19 &gt;= (plan!$J$4:$J$52-Indice_Plan_ExtensionPlazo))*($B19 &lt;= (plan!$K$4:$K$52+Indice_Plan_ExtensionPlazo)), "")), "")</f>
        <v/>
      </c>
      <c r="BH19" s="4"/>
    </row>
    <row r="20" spans="2:60" x14ac:dyDescent="0.3">
      <c r="B20" s="6"/>
      <c r="C20" s="10"/>
      <c r="D20" s="48" t="str">
        <f>IF(Tabla_Registro_Tareas3[[#This Row],[Actividad]]=Indice_Aux_Vacio,"",IFERROR(INDEX(plan!$D$4:$D$52,MATCH(Tabla_Registro_Tareas3[[#This Row],[Actividad]],plan!$C$4:$C$52,0)),""))</f>
        <v/>
      </c>
      <c r="E20" s="48" t="str">
        <f>IFERROR(INDEX(plan!$E$4:$E$52,MATCH(Tabla_Registro_Tareas3[[#This Row],[Actividad]],plan!$C$4:$C$52,0)),"")</f>
        <v/>
      </c>
      <c r="F20" s="49" t="str">
        <f>IF(Tabla_Registro_Tareas3[[#This Row],[Actividad]]=Indice_Aux_Vacio,"",Indice_PROBLAM_Estudiante3)</f>
        <v/>
      </c>
      <c r="G20" s="7"/>
      <c r="H20" s="8"/>
      <c r="I20" s="9"/>
      <c r="K20" s="12" t="str" cm="1">
        <f t="array" ref="K20">IF($B20&lt;&gt;"",TRANSPOSE(_xlfn._xlws.FILTER(plan!$C$4:$C$52, ($B20 &gt;= (plan!$J$4:$J$52-Indice_Plan_ExtensionPlazo))*($B20 &lt;= (plan!$K$4:$K$52+Indice_Plan_ExtensionPlazo)), "")), "")</f>
        <v/>
      </c>
      <c r="BH20" s="4"/>
    </row>
    <row r="21" spans="2:60" x14ac:dyDescent="0.3">
      <c r="B21" s="6"/>
      <c r="C21" s="10"/>
      <c r="D21" s="48" t="str">
        <f>IF(Tabla_Registro_Tareas3[[#This Row],[Actividad]]=Indice_Aux_Vacio,"",IFERROR(INDEX(plan!$D$4:$D$52,MATCH(Tabla_Registro_Tareas3[[#This Row],[Actividad]],plan!$C$4:$C$52,0)),""))</f>
        <v/>
      </c>
      <c r="E21" s="48" t="str">
        <f>IFERROR(INDEX(plan!$E$4:$E$52,MATCH(Tabla_Registro_Tareas3[[#This Row],[Actividad]],plan!$C$4:$C$52,0)),"")</f>
        <v/>
      </c>
      <c r="F21" s="49" t="str">
        <f>IF(Tabla_Registro_Tareas3[[#This Row],[Actividad]]=Indice_Aux_Vacio,"",Indice_PROBLAM_Estudiante3)</f>
        <v/>
      </c>
      <c r="G21" s="7"/>
      <c r="H21" s="8"/>
      <c r="I21" s="9"/>
      <c r="K21" s="12" t="str" cm="1">
        <f t="array" ref="K21">IF($B21&lt;&gt;"",TRANSPOSE(_xlfn._xlws.FILTER(plan!$C$4:$C$52, ($B21 &gt;= (plan!$J$4:$J$52-Indice_Plan_ExtensionPlazo))*($B21 &lt;= (plan!$K$4:$K$52+Indice_Plan_ExtensionPlazo)), "")), "")</f>
        <v/>
      </c>
      <c r="BH21" s="4"/>
    </row>
    <row r="22" spans="2:60" x14ac:dyDescent="0.3">
      <c r="B22" s="6"/>
      <c r="C22" s="10"/>
      <c r="D22" s="48" t="str">
        <f>IF(Tabla_Registro_Tareas3[[#This Row],[Actividad]]=Indice_Aux_Vacio,"",IFERROR(INDEX(plan!$D$4:$D$52,MATCH(Tabla_Registro_Tareas3[[#This Row],[Actividad]],plan!$C$4:$C$52,0)),""))</f>
        <v/>
      </c>
      <c r="E22" s="48" t="str">
        <f>IFERROR(INDEX(plan!$E$4:$E$52,MATCH(Tabla_Registro_Tareas3[[#This Row],[Actividad]],plan!$C$4:$C$52,0)),"")</f>
        <v/>
      </c>
      <c r="F22" s="49" t="str">
        <f>IF(Tabla_Registro_Tareas3[[#This Row],[Actividad]]=Indice_Aux_Vacio,"",Indice_PROBLAM_Estudiante3)</f>
        <v/>
      </c>
      <c r="G22" s="7"/>
      <c r="H22" s="8"/>
      <c r="I22" s="9"/>
      <c r="K22" s="12" t="str" cm="1">
        <f t="array" ref="K22">IF($B22&lt;&gt;"",TRANSPOSE(_xlfn._xlws.FILTER(plan!$C$4:$C$52, ($B22 &gt;= (plan!$J$4:$J$52-Indice_Plan_ExtensionPlazo))*($B22 &lt;= (plan!$K$4:$K$52+Indice_Plan_ExtensionPlazo)), "")), "")</f>
        <v/>
      </c>
      <c r="BH22" s="4"/>
    </row>
    <row r="23" spans="2:60" x14ac:dyDescent="0.3">
      <c r="B23" s="6"/>
      <c r="C23" s="10"/>
      <c r="D23" s="48" t="str">
        <f>IF(Tabla_Registro_Tareas3[[#This Row],[Actividad]]=Indice_Aux_Vacio,"",IFERROR(INDEX(plan!$D$4:$D$52,MATCH(Tabla_Registro_Tareas3[[#This Row],[Actividad]],plan!$C$4:$C$52,0)),""))</f>
        <v/>
      </c>
      <c r="E23" s="48" t="str">
        <f>IFERROR(INDEX(plan!$E$4:$E$52,MATCH(Tabla_Registro_Tareas3[[#This Row],[Actividad]],plan!$C$4:$C$52,0)),"")</f>
        <v/>
      </c>
      <c r="F23" s="49" t="str">
        <f>IF(Tabla_Registro_Tareas3[[#This Row],[Actividad]]=Indice_Aux_Vacio,"",Indice_PROBLAM_Estudiante3)</f>
        <v/>
      </c>
      <c r="G23" s="7"/>
      <c r="H23" s="8"/>
      <c r="I23" s="9"/>
      <c r="K23" s="12" t="str" cm="1">
        <f t="array" ref="K23">IF($B23&lt;&gt;"",TRANSPOSE(_xlfn._xlws.FILTER(plan!$C$4:$C$52, ($B23 &gt;= (plan!$J$4:$J$52-Indice_Plan_ExtensionPlazo))*($B23 &lt;= (plan!$K$4:$K$52+Indice_Plan_ExtensionPlazo)), "")), "")</f>
        <v/>
      </c>
      <c r="BH23" s="4"/>
    </row>
    <row r="24" spans="2:60" x14ac:dyDescent="0.3">
      <c r="B24" s="6"/>
      <c r="C24" s="10"/>
      <c r="D24" s="48" t="str">
        <f>IF(Tabla_Registro_Tareas3[[#This Row],[Actividad]]=Indice_Aux_Vacio,"",IFERROR(INDEX(plan!$D$4:$D$52,MATCH(Tabla_Registro_Tareas3[[#This Row],[Actividad]],plan!$C$4:$C$52,0)),""))</f>
        <v/>
      </c>
      <c r="E24" s="48" t="str">
        <f>IFERROR(INDEX(plan!$E$4:$E$52,MATCH(Tabla_Registro_Tareas3[[#This Row],[Actividad]],plan!$C$4:$C$52,0)),"")</f>
        <v/>
      </c>
      <c r="F24" s="49" t="str">
        <f>IF(Tabla_Registro_Tareas3[[#This Row],[Actividad]]=Indice_Aux_Vacio,"",Indice_PROBLAM_Estudiante3)</f>
        <v/>
      </c>
      <c r="G24" s="7"/>
      <c r="H24" s="8"/>
      <c r="I24" s="9"/>
      <c r="K24" s="12" t="str" cm="1">
        <f t="array" ref="K24">IF($B24&lt;&gt;"",TRANSPOSE(_xlfn._xlws.FILTER(plan!$C$4:$C$52, ($B24 &gt;= (plan!$J$4:$J$52-Indice_Plan_ExtensionPlazo))*($B24 &lt;= (plan!$K$4:$K$52+Indice_Plan_ExtensionPlazo)), "")), "")</f>
        <v/>
      </c>
      <c r="BH24" s="4"/>
    </row>
    <row r="25" spans="2:60" x14ac:dyDescent="0.3">
      <c r="B25" s="6"/>
      <c r="C25" s="10"/>
      <c r="D25" s="48" t="str">
        <f>IF(Tabla_Registro_Tareas3[[#This Row],[Actividad]]=Indice_Aux_Vacio,"",IFERROR(INDEX(plan!$D$4:$D$52,MATCH(Tabla_Registro_Tareas3[[#This Row],[Actividad]],plan!$C$4:$C$52,0)),""))</f>
        <v/>
      </c>
      <c r="E25" s="48" t="str">
        <f>IFERROR(INDEX(plan!$E$4:$E$52,MATCH(Tabla_Registro_Tareas3[[#This Row],[Actividad]],plan!$C$4:$C$52,0)),"")</f>
        <v/>
      </c>
      <c r="F25" s="49" t="str">
        <f>IF(Tabla_Registro_Tareas3[[#This Row],[Actividad]]=Indice_Aux_Vacio,"",Indice_PROBLAM_Estudiante3)</f>
        <v/>
      </c>
      <c r="G25" s="7"/>
      <c r="H25" s="8"/>
      <c r="I25" s="9"/>
      <c r="K25" s="12" t="str" cm="1">
        <f t="array" ref="K25">IF($B25&lt;&gt;"",TRANSPOSE(_xlfn._xlws.FILTER(plan!$C$4:$C$52, ($B25 &gt;= (plan!$J$4:$J$52-Indice_Plan_ExtensionPlazo))*($B25 &lt;= (plan!$K$4:$K$52+Indice_Plan_ExtensionPlazo)), "")), "")</f>
        <v/>
      </c>
      <c r="BH25" s="4"/>
    </row>
    <row r="26" spans="2:60" x14ac:dyDescent="0.3">
      <c r="B26" s="6"/>
      <c r="C26" s="10"/>
      <c r="D26" s="48" t="str">
        <f>IF(Tabla_Registro_Tareas3[[#This Row],[Actividad]]=Indice_Aux_Vacio,"",IFERROR(INDEX(plan!$D$4:$D$52,MATCH(Tabla_Registro_Tareas3[[#This Row],[Actividad]],plan!$C$4:$C$52,0)),""))</f>
        <v/>
      </c>
      <c r="E26" s="48" t="str">
        <f>IFERROR(INDEX(plan!$E$4:$E$52,MATCH(Tabla_Registro_Tareas3[[#This Row],[Actividad]],plan!$C$4:$C$52,0)),"")</f>
        <v/>
      </c>
      <c r="F26" s="49" t="str">
        <f>IF(Tabla_Registro_Tareas3[[#This Row],[Actividad]]=Indice_Aux_Vacio,"",Indice_PROBLAM_Estudiante3)</f>
        <v/>
      </c>
      <c r="G26" s="7"/>
      <c r="H26" s="8"/>
      <c r="I26" s="9"/>
      <c r="K26" s="12" t="str" cm="1">
        <f t="array" ref="K26">IF($B26&lt;&gt;"",TRANSPOSE(_xlfn._xlws.FILTER(plan!$C$4:$C$52, ($B26 &gt;= (plan!$J$4:$J$52-Indice_Plan_ExtensionPlazo))*($B26 &lt;= (plan!$K$4:$K$52+Indice_Plan_ExtensionPlazo)), "")), "")</f>
        <v/>
      </c>
      <c r="BH26" s="4"/>
    </row>
    <row r="27" spans="2:60" x14ac:dyDescent="0.3">
      <c r="B27" s="6"/>
      <c r="C27" s="10"/>
      <c r="D27" s="48" t="str">
        <f>IF(Tabla_Registro_Tareas3[[#This Row],[Actividad]]=Indice_Aux_Vacio,"",IFERROR(INDEX(plan!$D$4:$D$52,MATCH(Tabla_Registro_Tareas3[[#This Row],[Actividad]],plan!$C$4:$C$52,0)),""))</f>
        <v/>
      </c>
      <c r="E27" s="48" t="str">
        <f>IFERROR(INDEX(plan!$E$4:$E$52,MATCH(Tabla_Registro_Tareas3[[#This Row],[Actividad]],plan!$C$4:$C$52,0)),"")</f>
        <v/>
      </c>
      <c r="F27" s="49" t="str">
        <f>IF(Tabla_Registro_Tareas3[[#This Row],[Actividad]]=Indice_Aux_Vacio,"",Indice_PROBLAM_Estudiante3)</f>
        <v/>
      </c>
      <c r="G27" s="7"/>
      <c r="H27" s="8"/>
      <c r="I27" s="9"/>
      <c r="K27" s="12" t="str" cm="1">
        <f t="array" ref="K27">IF($B27&lt;&gt;"",TRANSPOSE(_xlfn._xlws.FILTER(plan!$C$4:$C$52, ($B27 &gt;= (plan!$J$4:$J$52-Indice_Plan_ExtensionPlazo))*($B27 &lt;= (plan!$K$4:$K$52+Indice_Plan_ExtensionPlazo)), "")), "")</f>
        <v/>
      </c>
      <c r="BH27" s="4"/>
    </row>
    <row r="28" spans="2:60" x14ac:dyDescent="0.3">
      <c r="B28" s="6"/>
      <c r="C28" s="10"/>
      <c r="D28" s="48" t="str">
        <f>IF(Tabla_Registro_Tareas3[[#This Row],[Actividad]]=Indice_Aux_Vacio,"",IFERROR(INDEX(plan!$D$4:$D$52,MATCH(Tabla_Registro_Tareas3[[#This Row],[Actividad]],plan!$C$4:$C$52,0)),""))</f>
        <v/>
      </c>
      <c r="E28" s="48" t="str">
        <f>IFERROR(INDEX(plan!$E$4:$E$52,MATCH(Tabla_Registro_Tareas3[[#This Row],[Actividad]],plan!$C$4:$C$52,0)),"")</f>
        <v/>
      </c>
      <c r="F28" s="49" t="str">
        <f>IF(Tabla_Registro_Tareas3[[#This Row],[Actividad]]=Indice_Aux_Vacio,"",Indice_PROBLAM_Estudiante3)</f>
        <v/>
      </c>
      <c r="G28" s="7"/>
      <c r="H28" s="8"/>
      <c r="I28" s="9"/>
      <c r="K28" s="12" t="str" cm="1">
        <f t="array" ref="K28">IF($B28&lt;&gt;"",TRANSPOSE(_xlfn._xlws.FILTER(plan!$C$4:$C$52, ($B28 &gt;= (plan!$J$4:$J$52-Indice_Plan_ExtensionPlazo))*($B28 &lt;= (plan!$K$4:$K$52+Indice_Plan_ExtensionPlazo)), "")), "")</f>
        <v/>
      </c>
      <c r="BH28" s="4"/>
    </row>
    <row r="29" spans="2:60" x14ac:dyDescent="0.3">
      <c r="B29" s="6"/>
      <c r="C29" s="10"/>
      <c r="D29" s="48" t="str">
        <f>IF(Tabla_Registro_Tareas3[[#This Row],[Actividad]]=Indice_Aux_Vacio,"",IFERROR(INDEX(plan!$D$4:$D$52,MATCH(Tabla_Registro_Tareas3[[#This Row],[Actividad]],plan!$C$4:$C$52,0)),""))</f>
        <v/>
      </c>
      <c r="E29" s="48" t="str">
        <f>IFERROR(INDEX(plan!$E$4:$E$52,MATCH(Tabla_Registro_Tareas3[[#This Row],[Actividad]],plan!$C$4:$C$52,0)),"")</f>
        <v/>
      </c>
      <c r="F29" s="49" t="str">
        <f>IF(Tabla_Registro_Tareas3[[#This Row],[Actividad]]=Indice_Aux_Vacio,"",Indice_PROBLAM_Estudiante3)</f>
        <v/>
      </c>
      <c r="G29" s="7"/>
      <c r="H29" s="8"/>
      <c r="I29" s="9"/>
      <c r="K29" s="12" t="str" cm="1">
        <f t="array" ref="K29">IF($B29&lt;&gt;"",TRANSPOSE(_xlfn._xlws.FILTER(plan!$C$4:$C$52, ($B29 &gt;= (plan!$J$4:$J$52-Indice_Plan_ExtensionPlazo))*($B29 &lt;= (plan!$K$4:$K$52+Indice_Plan_ExtensionPlazo)), "")), "")</f>
        <v/>
      </c>
      <c r="BH29" s="4"/>
    </row>
    <row r="30" spans="2:60" x14ac:dyDescent="0.3">
      <c r="B30" s="6"/>
      <c r="C30" s="10"/>
      <c r="D30" s="48" t="str">
        <f>IF(Tabla_Registro_Tareas3[[#This Row],[Actividad]]=Indice_Aux_Vacio,"",IFERROR(INDEX(plan!$D$4:$D$52,MATCH(Tabla_Registro_Tareas3[[#This Row],[Actividad]],plan!$C$4:$C$52,0)),""))</f>
        <v/>
      </c>
      <c r="E30" s="48" t="str">
        <f>IFERROR(INDEX(plan!$E$4:$E$52,MATCH(Tabla_Registro_Tareas3[[#This Row],[Actividad]],plan!$C$4:$C$52,0)),"")</f>
        <v/>
      </c>
      <c r="F30" s="49" t="str">
        <f>IF(Tabla_Registro_Tareas3[[#This Row],[Actividad]]=Indice_Aux_Vacio,"",Indice_PROBLAM_Estudiante3)</f>
        <v/>
      </c>
      <c r="G30" s="7"/>
      <c r="H30" s="8"/>
      <c r="I30" s="9"/>
      <c r="K30" s="12" t="str" cm="1">
        <f t="array" ref="K30">IF($B30&lt;&gt;"",TRANSPOSE(_xlfn._xlws.FILTER(plan!$C$4:$C$52, ($B30 &gt;= (plan!$J$4:$J$52-Indice_Plan_ExtensionPlazo))*($B30 &lt;= (plan!$K$4:$K$52+Indice_Plan_ExtensionPlazo)), "")), "")</f>
        <v/>
      </c>
      <c r="BH30" s="4"/>
    </row>
    <row r="31" spans="2:60" x14ac:dyDescent="0.3">
      <c r="B31" s="6"/>
      <c r="C31" s="10"/>
      <c r="D31" s="48" t="str">
        <f>IF(Tabla_Registro_Tareas3[[#This Row],[Actividad]]=Indice_Aux_Vacio,"",IFERROR(INDEX(plan!$D$4:$D$52,MATCH(Tabla_Registro_Tareas3[[#This Row],[Actividad]],plan!$C$4:$C$52,0)),""))</f>
        <v/>
      </c>
      <c r="E31" s="48" t="str">
        <f>IFERROR(INDEX(plan!$E$4:$E$52,MATCH(Tabla_Registro_Tareas3[[#This Row],[Actividad]],plan!$C$4:$C$52,0)),"")</f>
        <v/>
      </c>
      <c r="F31" s="49" t="str">
        <f>IF(Tabla_Registro_Tareas3[[#This Row],[Actividad]]=Indice_Aux_Vacio,"",Indice_PROBLAM_Estudiante3)</f>
        <v/>
      </c>
      <c r="G31" s="7"/>
      <c r="H31" s="8"/>
      <c r="I31" s="9"/>
      <c r="K31" s="12" t="str" cm="1">
        <f t="array" ref="K31">IF($B31&lt;&gt;"",TRANSPOSE(_xlfn._xlws.FILTER(plan!$C$4:$C$52, ($B31 &gt;= (plan!$J$4:$J$52-Indice_Plan_ExtensionPlazo))*($B31 &lt;= (plan!$K$4:$K$52+Indice_Plan_ExtensionPlazo)), "")), "")</f>
        <v/>
      </c>
      <c r="BH31" s="4"/>
    </row>
    <row r="32" spans="2:60" x14ac:dyDescent="0.3">
      <c r="B32" s="6"/>
      <c r="C32" s="10"/>
      <c r="D32" s="48" t="str">
        <f>IF(Tabla_Registro_Tareas3[[#This Row],[Actividad]]=Indice_Aux_Vacio,"",IFERROR(INDEX(plan!$D$4:$D$52,MATCH(Tabla_Registro_Tareas3[[#This Row],[Actividad]],plan!$C$4:$C$52,0)),""))</f>
        <v/>
      </c>
      <c r="E32" s="48" t="str">
        <f>IFERROR(INDEX(plan!$E$4:$E$52,MATCH(Tabla_Registro_Tareas3[[#This Row],[Actividad]],plan!$C$4:$C$52,0)),"")</f>
        <v/>
      </c>
      <c r="F32" s="49" t="str">
        <f>IF(Tabla_Registro_Tareas3[[#This Row],[Actividad]]=Indice_Aux_Vacio,"",Indice_PROBLAM_Estudiante3)</f>
        <v/>
      </c>
      <c r="G32" s="7"/>
      <c r="H32" s="8"/>
      <c r="I32" s="9"/>
      <c r="K32" s="12" t="str" cm="1">
        <f t="array" ref="K32">IF($B32&lt;&gt;"",TRANSPOSE(_xlfn._xlws.FILTER(plan!$C$4:$C$52, ($B32 &gt;= (plan!$J$4:$J$52-Indice_Plan_ExtensionPlazo))*($B32 &lt;= (plan!$K$4:$K$52+Indice_Plan_ExtensionPlazo)), "")), "")</f>
        <v/>
      </c>
      <c r="BH32" s="4"/>
    </row>
    <row r="33" spans="2:60" x14ac:dyDescent="0.3">
      <c r="B33" s="6"/>
      <c r="C33" s="10"/>
      <c r="D33" s="48" t="str">
        <f>IF(Tabla_Registro_Tareas3[[#This Row],[Actividad]]=Indice_Aux_Vacio,"",IFERROR(INDEX(plan!$D$4:$D$52,MATCH(Tabla_Registro_Tareas3[[#This Row],[Actividad]],plan!$C$4:$C$52,0)),""))</f>
        <v/>
      </c>
      <c r="E33" s="48" t="str">
        <f>IFERROR(INDEX(plan!$E$4:$E$52,MATCH(Tabla_Registro_Tareas3[[#This Row],[Actividad]],plan!$C$4:$C$52,0)),"")</f>
        <v/>
      </c>
      <c r="F33" s="49" t="str">
        <f>IF(Tabla_Registro_Tareas3[[#This Row],[Actividad]]=Indice_Aux_Vacio,"",Indice_PROBLAM_Estudiante3)</f>
        <v/>
      </c>
      <c r="G33" s="7"/>
      <c r="H33" s="8"/>
      <c r="I33" s="9"/>
      <c r="K33" s="12" t="str" cm="1">
        <f t="array" ref="K33">IF($B33&lt;&gt;"",TRANSPOSE(_xlfn._xlws.FILTER(plan!$C$4:$C$52, ($B33 &gt;= (plan!$J$4:$J$52-Indice_Plan_ExtensionPlazo))*($B33 &lt;= (plan!$K$4:$K$52+Indice_Plan_ExtensionPlazo)), "")), "")</f>
        <v/>
      </c>
      <c r="BH33" s="4"/>
    </row>
    <row r="34" spans="2:60" x14ac:dyDescent="0.3">
      <c r="B34" s="6"/>
      <c r="C34" s="10"/>
      <c r="D34" s="48" t="str">
        <f>IF(Tabla_Registro_Tareas3[[#This Row],[Actividad]]=Indice_Aux_Vacio,"",IFERROR(INDEX(plan!$D$4:$D$52,MATCH(Tabla_Registro_Tareas3[[#This Row],[Actividad]],plan!$C$4:$C$52,0)),""))</f>
        <v/>
      </c>
      <c r="E34" s="48" t="str">
        <f>IFERROR(INDEX(plan!$E$4:$E$52,MATCH(Tabla_Registro_Tareas3[[#This Row],[Actividad]],plan!$C$4:$C$52,0)),"")</f>
        <v/>
      </c>
      <c r="F34" s="49" t="str">
        <f>IF(Tabla_Registro_Tareas3[[#This Row],[Actividad]]=Indice_Aux_Vacio,"",Indice_PROBLAM_Estudiante3)</f>
        <v/>
      </c>
      <c r="G34" s="7"/>
      <c r="H34" s="8"/>
      <c r="I34" s="9"/>
      <c r="K34" s="12" t="str" cm="1">
        <f t="array" ref="K34">IF($B34&lt;&gt;"",TRANSPOSE(_xlfn._xlws.FILTER(plan!$C$4:$C$52, ($B34 &gt;= (plan!$J$4:$J$52-Indice_Plan_ExtensionPlazo))*($B34 &lt;= (plan!$K$4:$K$52+Indice_Plan_ExtensionPlazo)), "")), "")</f>
        <v/>
      </c>
      <c r="BH34" s="4"/>
    </row>
    <row r="35" spans="2:60" x14ac:dyDescent="0.3">
      <c r="B35" s="6"/>
      <c r="C35" s="10"/>
      <c r="D35" s="48" t="str">
        <f>IF(Tabla_Registro_Tareas3[[#This Row],[Actividad]]=Indice_Aux_Vacio,"",IFERROR(INDEX(plan!$D$4:$D$52,MATCH(Tabla_Registro_Tareas3[[#This Row],[Actividad]],plan!$C$4:$C$52,0)),""))</f>
        <v/>
      </c>
      <c r="E35" s="48" t="str">
        <f>IFERROR(INDEX(plan!$E$4:$E$52,MATCH(Tabla_Registro_Tareas3[[#This Row],[Actividad]],plan!$C$4:$C$52,0)),"")</f>
        <v/>
      </c>
      <c r="F35" s="49" t="str">
        <f>IF(Tabla_Registro_Tareas3[[#This Row],[Actividad]]=Indice_Aux_Vacio,"",Indice_PROBLAM_Estudiante3)</f>
        <v/>
      </c>
      <c r="G35" s="7"/>
      <c r="H35" s="8"/>
      <c r="I35" s="9"/>
      <c r="K35" s="12" t="str" cm="1">
        <f t="array" ref="K35">IF($B35&lt;&gt;"",TRANSPOSE(_xlfn._xlws.FILTER(plan!$C$4:$C$52, ($B35 &gt;= (plan!$J$4:$J$52-Indice_Plan_ExtensionPlazo))*($B35 &lt;= (plan!$K$4:$K$52+Indice_Plan_ExtensionPlazo)), "")), "")</f>
        <v/>
      </c>
      <c r="BH35" s="4"/>
    </row>
    <row r="36" spans="2:60" x14ac:dyDescent="0.3">
      <c r="B36" s="6"/>
      <c r="C36" s="10"/>
      <c r="D36" s="48" t="str">
        <f>IF(Tabla_Registro_Tareas3[[#This Row],[Actividad]]=Indice_Aux_Vacio,"",IFERROR(INDEX(plan!$D$4:$D$52,MATCH(Tabla_Registro_Tareas3[[#This Row],[Actividad]],plan!$C$4:$C$52,0)),""))</f>
        <v/>
      </c>
      <c r="E36" s="48" t="str">
        <f>IFERROR(INDEX(plan!$E$4:$E$52,MATCH(Tabla_Registro_Tareas3[[#This Row],[Actividad]],plan!$C$4:$C$52,0)),"")</f>
        <v/>
      </c>
      <c r="F36" s="49" t="str">
        <f>IF(Tabla_Registro_Tareas3[[#This Row],[Actividad]]=Indice_Aux_Vacio,"",Indice_PROBLAM_Estudiante3)</f>
        <v/>
      </c>
      <c r="G36" s="7"/>
      <c r="H36" s="8"/>
      <c r="I36" s="9"/>
      <c r="K36" s="12" t="str" cm="1">
        <f t="array" ref="K36">IF($B36&lt;&gt;"",TRANSPOSE(_xlfn._xlws.FILTER(plan!$C$4:$C$52, ($B36 &gt;= (plan!$J$4:$J$52-Indice_Plan_ExtensionPlazo))*($B36 &lt;= (plan!$K$4:$K$52+Indice_Plan_ExtensionPlazo)), "")), "")</f>
        <v/>
      </c>
      <c r="BH36" s="4"/>
    </row>
    <row r="37" spans="2:60" x14ac:dyDescent="0.3">
      <c r="B37" s="6"/>
      <c r="C37" s="10"/>
      <c r="D37" s="48" t="str">
        <f>IF(Tabla_Registro_Tareas3[[#This Row],[Actividad]]=Indice_Aux_Vacio,"",IFERROR(INDEX(plan!$D$4:$D$52,MATCH(Tabla_Registro_Tareas3[[#This Row],[Actividad]],plan!$C$4:$C$52,0)),""))</f>
        <v/>
      </c>
      <c r="E37" s="48" t="str">
        <f>IFERROR(INDEX(plan!$E$4:$E$52,MATCH(Tabla_Registro_Tareas3[[#This Row],[Actividad]],plan!$C$4:$C$52,0)),"")</f>
        <v/>
      </c>
      <c r="F37" s="49" t="str">
        <f>IF(Tabla_Registro_Tareas3[[#This Row],[Actividad]]=Indice_Aux_Vacio,"",Indice_PROBLAM_Estudiante3)</f>
        <v/>
      </c>
      <c r="G37" s="7"/>
      <c r="H37" s="8"/>
      <c r="I37" s="9"/>
      <c r="K37" s="12" t="str" cm="1">
        <f t="array" ref="K37">IF($B37&lt;&gt;"",TRANSPOSE(_xlfn._xlws.FILTER(plan!$C$4:$C$52, ($B37 &gt;= (plan!$J$4:$J$52-Indice_Plan_ExtensionPlazo))*($B37 &lt;= (plan!$K$4:$K$52+Indice_Plan_ExtensionPlazo)), "")), "")</f>
        <v/>
      </c>
      <c r="BH37" s="4"/>
    </row>
    <row r="38" spans="2:60" x14ac:dyDescent="0.3">
      <c r="B38" s="6"/>
      <c r="C38" s="10"/>
      <c r="D38" s="48" t="str">
        <f>IF(Tabla_Registro_Tareas3[[#This Row],[Actividad]]=Indice_Aux_Vacio,"",IFERROR(INDEX(plan!$D$4:$D$52,MATCH(Tabla_Registro_Tareas3[[#This Row],[Actividad]],plan!$C$4:$C$52,0)),""))</f>
        <v/>
      </c>
      <c r="E38" s="48" t="str">
        <f>IFERROR(INDEX(plan!$E$4:$E$52,MATCH(Tabla_Registro_Tareas3[[#This Row],[Actividad]],plan!$C$4:$C$52,0)),"")</f>
        <v/>
      </c>
      <c r="F38" s="49" t="str">
        <f>IF(Tabla_Registro_Tareas3[[#This Row],[Actividad]]=Indice_Aux_Vacio,"",Indice_PROBLAM_Estudiante3)</f>
        <v/>
      </c>
      <c r="G38" s="7"/>
      <c r="H38" s="8"/>
      <c r="I38" s="9"/>
      <c r="K38" s="12" t="str" cm="1">
        <f t="array" ref="K38">IF($B38&lt;&gt;"",TRANSPOSE(_xlfn._xlws.FILTER(plan!$C$4:$C$52, ($B38 &gt;= (plan!$J$4:$J$52-Indice_Plan_ExtensionPlazo))*($B38 &lt;= (plan!$K$4:$K$52+Indice_Plan_ExtensionPlazo)), "")), "")</f>
        <v/>
      </c>
      <c r="BH38" s="4"/>
    </row>
    <row r="39" spans="2:60" x14ac:dyDescent="0.3">
      <c r="B39" s="6"/>
      <c r="C39" s="10"/>
      <c r="D39" s="48" t="str">
        <f>IF(Tabla_Registro_Tareas3[[#This Row],[Actividad]]=Indice_Aux_Vacio,"",IFERROR(INDEX(plan!$D$4:$D$52,MATCH(Tabla_Registro_Tareas3[[#This Row],[Actividad]],plan!$C$4:$C$52,0)),""))</f>
        <v/>
      </c>
      <c r="E39" s="48" t="str">
        <f>IFERROR(INDEX(plan!$E$4:$E$52,MATCH(Tabla_Registro_Tareas3[[#This Row],[Actividad]],plan!$C$4:$C$52,0)),"")</f>
        <v/>
      </c>
      <c r="F39" s="49" t="str">
        <f>IF(Tabla_Registro_Tareas3[[#This Row],[Actividad]]=Indice_Aux_Vacio,"",Indice_PROBLAM_Estudiante3)</f>
        <v/>
      </c>
      <c r="G39" s="7"/>
      <c r="H39" s="8"/>
      <c r="I39" s="9"/>
      <c r="K39" s="12" t="str" cm="1">
        <f t="array" ref="K39">IF($B39&lt;&gt;"",TRANSPOSE(_xlfn._xlws.FILTER(plan!$C$4:$C$52, ($B39 &gt;= (plan!$J$4:$J$52-Indice_Plan_ExtensionPlazo))*($B39 &lt;= (plan!$K$4:$K$52+Indice_Plan_ExtensionPlazo)), "")), "")</f>
        <v/>
      </c>
      <c r="BH39" s="4"/>
    </row>
    <row r="40" spans="2:60" x14ac:dyDescent="0.3">
      <c r="B40" s="6"/>
      <c r="C40" s="10"/>
      <c r="D40" s="48" t="str">
        <f>IF(Tabla_Registro_Tareas3[[#This Row],[Actividad]]=Indice_Aux_Vacio,"",IFERROR(INDEX(plan!$D$4:$D$52,MATCH(Tabla_Registro_Tareas3[[#This Row],[Actividad]],plan!$C$4:$C$52,0)),""))</f>
        <v/>
      </c>
      <c r="E40" s="48" t="str">
        <f>IFERROR(INDEX(plan!$E$4:$E$52,MATCH(Tabla_Registro_Tareas3[[#This Row],[Actividad]],plan!$C$4:$C$52,0)),"")</f>
        <v/>
      </c>
      <c r="F40" s="49" t="str">
        <f>IF(Tabla_Registro_Tareas3[[#This Row],[Actividad]]=Indice_Aux_Vacio,"",Indice_PROBLAM_Estudiante3)</f>
        <v/>
      </c>
      <c r="G40" s="7"/>
      <c r="H40" s="8"/>
      <c r="I40" s="9"/>
      <c r="K40" s="12" t="str" cm="1">
        <f t="array" ref="K40">IF($B40&lt;&gt;"",TRANSPOSE(_xlfn._xlws.FILTER(plan!$C$4:$C$52, ($B40 &gt;= (plan!$J$4:$J$52-Indice_Plan_ExtensionPlazo))*($B40 &lt;= (plan!$K$4:$K$52+Indice_Plan_ExtensionPlazo)), "")), "")</f>
        <v/>
      </c>
      <c r="BH40" s="4"/>
    </row>
    <row r="41" spans="2:60" x14ac:dyDescent="0.3">
      <c r="B41" s="6"/>
      <c r="C41" s="10"/>
      <c r="D41" s="48" t="str">
        <f>IF(Tabla_Registro_Tareas3[[#This Row],[Actividad]]=Indice_Aux_Vacio,"",IFERROR(INDEX(plan!$D$4:$D$52,MATCH(Tabla_Registro_Tareas3[[#This Row],[Actividad]],plan!$C$4:$C$52,0)),""))</f>
        <v/>
      </c>
      <c r="E41" s="48" t="str">
        <f>IFERROR(INDEX(plan!$E$4:$E$52,MATCH(Tabla_Registro_Tareas3[[#This Row],[Actividad]],plan!$C$4:$C$52,0)),"")</f>
        <v/>
      </c>
      <c r="F41" s="49" t="str">
        <f>IF(Tabla_Registro_Tareas3[[#This Row],[Actividad]]=Indice_Aux_Vacio,"",Indice_PROBLAM_Estudiante3)</f>
        <v/>
      </c>
      <c r="G41" s="7"/>
      <c r="H41" s="8"/>
      <c r="I41" s="9"/>
      <c r="K41" s="12" t="str" cm="1">
        <f t="array" ref="K41">IF($B41&lt;&gt;"",TRANSPOSE(_xlfn._xlws.FILTER(plan!$C$4:$C$52, ($B41 &gt;= (plan!$J$4:$J$52-Indice_Plan_ExtensionPlazo))*($B41 &lt;= (plan!$K$4:$K$52+Indice_Plan_ExtensionPlazo)), "")), "")</f>
        <v/>
      </c>
      <c r="BH41" s="4"/>
    </row>
    <row r="42" spans="2:60" x14ac:dyDescent="0.3">
      <c r="B42" s="6"/>
      <c r="C42" s="10"/>
      <c r="D42" s="48" t="str">
        <f>IF(Tabla_Registro_Tareas3[[#This Row],[Actividad]]=Indice_Aux_Vacio,"",IFERROR(INDEX(plan!$D$4:$D$52,MATCH(Tabla_Registro_Tareas3[[#This Row],[Actividad]],plan!$C$4:$C$52,0)),""))</f>
        <v/>
      </c>
      <c r="E42" s="48" t="str">
        <f>IFERROR(INDEX(plan!$E$4:$E$52,MATCH(Tabla_Registro_Tareas3[[#This Row],[Actividad]],plan!$C$4:$C$52,0)),"")</f>
        <v/>
      </c>
      <c r="F42" s="49" t="str">
        <f>IF(Tabla_Registro_Tareas3[[#This Row],[Actividad]]=Indice_Aux_Vacio,"",Indice_PROBLAM_Estudiante3)</f>
        <v/>
      </c>
      <c r="G42" s="7"/>
      <c r="H42" s="8"/>
      <c r="I42" s="9"/>
      <c r="K42" s="12" t="str" cm="1">
        <f t="array" ref="K42">IF($B42&lt;&gt;"",TRANSPOSE(_xlfn._xlws.FILTER(plan!$C$4:$C$52, ($B42 &gt;= (plan!$J$4:$J$52-Indice_Plan_ExtensionPlazo))*($B42 &lt;= (plan!$K$4:$K$52+Indice_Plan_ExtensionPlazo)), "")), "")</f>
        <v/>
      </c>
      <c r="BH42" s="4"/>
    </row>
    <row r="43" spans="2:60" x14ac:dyDescent="0.3">
      <c r="B43" s="6"/>
      <c r="C43" s="10"/>
      <c r="D43" s="48" t="str">
        <f>IF(Tabla_Registro_Tareas3[[#This Row],[Actividad]]=Indice_Aux_Vacio,"",IFERROR(INDEX(plan!$D$4:$D$52,MATCH(Tabla_Registro_Tareas3[[#This Row],[Actividad]],plan!$C$4:$C$52,0)),""))</f>
        <v/>
      </c>
      <c r="E43" s="48" t="str">
        <f>IFERROR(INDEX(plan!$E$4:$E$52,MATCH(Tabla_Registro_Tareas3[[#This Row],[Actividad]],plan!$C$4:$C$52,0)),"")</f>
        <v/>
      </c>
      <c r="F43" s="49" t="str">
        <f>IF(Tabla_Registro_Tareas3[[#This Row],[Actividad]]=Indice_Aux_Vacio,"",Indice_PROBLAM_Estudiante3)</f>
        <v/>
      </c>
      <c r="G43" s="7"/>
      <c r="H43" s="8"/>
      <c r="I43" s="9"/>
      <c r="K43" s="12" t="str" cm="1">
        <f t="array" ref="K43">IF($B43&lt;&gt;"",TRANSPOSE(_xlfn._xlws.FILTER(plan!$C$4:$C$52, ($B43 &gt;= (plan!$J$4:$J$52-Indice_Plan_ExtensionPlazo))*($B43 &lt;= (plan!$K$4:$K$52+Indice_Plan_ExtensionPlazo)), "")), "")</f>
        <v/>
      </c>
      <c r="BH43" s="4"/>
    </row>
    <row r="44" spans="2:60" x14ac:dyDescent="0.3">
      <c r="B44" s="6"/>
      <c r="C44" s="10"/>
      <c r="D44" s="48" t="str">
        <f>IF(Tabla_Registro_Tareas3[[#This Row],[Actividad]]=Indice_Aux_Vacio,"",IFERROR(INDEX(plan!$D$4:$D$52,MATCH(Tabla_Registro_Tareas3[[#This Row],[Actividad]],plan!$C$4:$C$52,0)),""))</f>
        <v/>
      </c>
      <c r="E44" s="48" t="str">
        <f>IFERROR(INDEX(plan!$E$4:$E$52,MATCH(Tabla_Registro_Tareas3[[#This Row],[Actividad]],plan!$C$4:$C$52,0)),"")</f>
        <v/>
      </c>
      <c r="F44" s="49" t="str">
        <f>IF(Tabla_Registro_Tareas3[[#This Row],[Actividad]]=Indice_Aux_Vacio,"",Indice_PROBLAM_Estudiante3)</f>
        <v/>
      </c>
      <c r="G44" s="7"/>
      <c r="H44" s="8"/>
      <c r="I44" s="9"/>
      <c r="K44" s="12" t="str" cm="1">
        <f t="array" ref="K44">IF($B44&lt;&gt;"",TRANSPOSE(_xlfn._xlws.FILTER(plan!$C$4:$C$52, ($B44 &gt;= (plan!$J$4:$J$52-Indice_Plan_ExtensionPlazo))*($B44 &lt;= (plan!$K$4:$K$52+Indice_Plan_ExtensionPlazo)), "")), "")</f>
        <v/>
      </c>
      <c r="BH44" s="4"/>
    </row>
    <row r="45" spans="2:60" x14ac:dyDescent="0.3">
      <c r="B45" s="6"/>
      <c r="C45" s="10"/>
      <c r="D45" s="48" t="str">
        <f>IF(Tabla_Registro_Tareas3[[#This Row],[Actividad]]=Indice_Aux_Vacio,"",IFERROR(INDEX(plan!$D$4:$D$52,MATCH(Tabla_Registro_Tareas3[[#This Row],[Actividad]],plan!$C$4:$C$52,0)),""))</f>
        <v/>
      </c>
      <c r="E45" s="48" t="str">
        <f>IFERROR(INDEX(plan!$E$4:$E$52,MATCH(Tabla_Registro_Tareas3[[#This Row],[Actividad]],plan!$C$4:$C$52,0)),"")</f>
        <v/>
      </c>
      <c r="F45" s="49" t="str">
        <f>IF(Tabla_Registro_Tareas3[[#This Row],[Actividad]]=Indice_Aux_Vacio,"",Indice_PROBLAM_Estudiante3)</f>
        <v/>
      </c>
      <c r="G45" s="7"/>
      <c r="H45" s="8"/>
      <c r="I45" s="9"/>
      <c r="K45" s="12" t="str" cm="1">
        <f t="array" ref="K45">IF($B45&lt;&gt;"",TRANSPOSE(_xlfn._xlws.FILTER(plan!$C$4:$C$52, ($B45 &gt;= (plan!$J$4:$J$52-Indice_Plan_ExtensionPlazo))*($B45 &lt;= (plan!$K$4:$K$52+Indice_Plan_ExtensionPlazo)), "")), "")</f>
        <v/>
      </c>
      <c r="BH45" s="4"/>
    </row>
    <row r="46" spans="2:60" x14ac:dyDescent="0.3">
      <c r="B46" s="6"/>
      <c r="C46" s="10"/>
      <c r="D46" s="48" t="str">
        <f>IF(Tabla_Registro_Tareas3[[#This Row],[Actividad]]=Indice_Aux_Vacio,"",IFERROR(INDEX(plan!$D$4:$D$52,MATCH(Tabla_Registro_Tareas3[[#This Row],[Actividad]],plan!$C$4:$C$52,0)),""))</f>
        <v/>
      </c>
      <c r="E46" s="48" t="str">
        <f>IFERROR(INDEX(plan!$E$4:$E$52,MATCH(Tabla_Registro_Tareas3[[#This Row],[Actividad]],plan!$C$4:$C$52,0)),"")</f>
        <v/>
      </c>
      <c r="F46" s="49" t="str">
        <f>IF(Tabla_Registro_Tareas3[[#This Row],[Actividad]]=Indice_Aux_Vacio,"",Indice_PROBLAM_Estudiante3)</f>
        <v/>
      </c>
      <c r="G46" s="7"/>
      <c r="H46" s="8"/>
      <c r="I46" s="9"/>
      <c r="K46" s="12" t="str" cm="1">
        <f t="array" ref="K46">IF($B46&lt;&gt;"",TRANSPOSE(_xlfn._xlws.FILTER(plan!$C$4:$C$52, ($B46 &gt;= (plan!$J$4:$J$52-Indice_Plan_ExtensionPlazo))*($B46 &lt;= (plan!$K$4:$K$52+Indice_Plan_ExtensionPlazo)), "")), "")</f>
        <v/>
      </c>
      <c r="BH46" s="4"/>
    </row>
    <row r="47" spans="2:60" x14ac:dyDescent="0.3">
      <c r="B47" s="6"/>
      <c r="C47" s="10"/>
      <c r="D47" s="48" t="str">
        <f>IF(Tabla_Registro_Tareas3[[#This Row],[Actividad]]=Indice_Aux_Vacio,"",IFERROR(INDEX(plan!$D$4:$D$52,MATCH(Tabla_Registro_Tareas3[[#This Row],[Actividad]],plan!$C$4:$C$52,0)),""))</f>
        <v/>
      </c>
      <c r="E47" s="48" t="str">
        <f>IFERROR(INDEX(plan!$E$4:$E$52,MATCH(Tabla_Registro_Tareas3[[#This Row],[Actividad]],plan!$C$4:$C$52,0)),"")</f>
        <v/>
      </c>
      <c r="F47" s="49" t="str">
        <f>IF(Tabla_Registro_Tareas3[[#This Row],[Actividad]]=Indice_Aux_Vacio,"",Indice_PROBLAM_Estudiante3)</f>
        <v/>
      </c>
      <c r="G47" s="7"/>
      <c r="H47" s="8"/>
      <c r="I47" s="9"/>
      <c r="K47" s="12" t="str" cm="1">
        <f t="array" ref="K47">IF($B47&lt;&gt;"",TRANSPOSE(_xlfn._xlws.FILTER(plan!$C$4:$C$52, ($B47 &gt;= (plan!$J$4:$J$52-Indice_Plan_ExtensionPlazo))*($B47 &lt;= (plan!$K$4:$K$52+Indice_Plan_ExtensionPlazo)), "")), "")</f>
        <v/>
      </c>
      <c r="BH47" s="4"/>
    </row>
    <row r="48" spans="2:60" x14ac:dyDescent="0.3">
      <c r="B48" s="6"/>
      <c r="C48" s="10"/>
      <c r="D48" s="48" t="str">
        <f>IF(Tabla_Registro_Tareas3[[#This Row],[Actividad]]=Indice_Aux_Vacio,"",IFERROR(INDEX(plan!$D$4:$D$52,MATCH(Tabla_Registro_Tareas3[[#This Row],[Actividad]],plan!$C$4:$C$52,0)),""))</f>
        <v/>
      </c>
      <c r="E48" s="48" t="str">
        <f>IFERROR(INDEX(plan!$E$4:$E$52,MATCH(Tabla_Registro_Tareas3[[#This Row],[Actividad]],plan!$C$4:$C$52,0)),"")</f>
        <v/>
      </c>
      <c r="F48" s="49" t="str">
        <f>IF(Tabla_Registro_Tareas3[[#This Row],[Actividad]]=Indice_Aux_Vacio,"",Indice_PROBLAM_Estudiante3)</f>
        <v/>
      </c>
      <c r="G48" s="7"/>
      <c r="H48" s="8"/>
      <c r="I48" s="9"/>
      <c r="K48" s="12" t="str" cm="1">
        <f t="array" ref="K48">IF($B48&lt;&gt;"",TRANSPOSE(_xlfn._xlws.FILTER(plan!$C$4:$C$52, ($B48 &gt;= (plan!$J$4:$J$52-Indice_Plan_ExtensionPlazo))*($B48 &lt;= (plan!$K$4:$K$52+Indice_Plan_ExtensionPlazo)), "")), "")</f>
        <v/>
      </c>
      <c r="BH48" s="4"/>
    </row>
    <row r="49" spans="2:60" x14ac:dyDescent="0.3">
      <c r="B49" s="6"/>
      <c r="C49" s="10"/>
      <c r="D49" s="48" t="str">
        <f>IF(Tabla_Registro_Tareas3[[#This Row],[Actividad]]=Indice_Aux_Vacio,"",IFERROR(INDEX(plan!$D$4:$D$52,MATCH(Tabla_Registro_Tareas3[[#This Row],[Actividad]],plan!$C$4:$C$52,0)),""))</f>
        <v/>
      </c>
      <c r="E49" s="48" t="str">
        <f>IFERROR(INDEX(plan!$E$4:$E$52,MATCH(Tabla_Registro_Tareas3[[#This Row],[Actividad]],plan!$C$4:$C$52,0)),"")</f>
        <v/>
      </c>
      <c r="F49" s="49" t="str">
        <f>IF(Tabla_Registro_Tareas3[[#This Row],[Actividad]]=Indice_Aux_Vacio,"",Indice_PROBLAM_Estudiante3)</f>
        <v/>
      </c>
      <c r="G49" s="7"/>
      <c r="H49" s="8"/>
      <c r="I49" s="9"/>
      <c r="K49" s="12" t="str" cm="1">
        <f t="array" ref="K49">IF($B49&lt;&gt;"",TRANSPOSE(_xlfn._xlws.FILTER(plan!$C$4:$C$52, ($B49 &gt;= (plan!$J$4:$J$52-Indice_Plan_ExtensionPlazo))*($B49 &lt;= (plan!$K$4:$K$52+Indice_Plan_ExtensionPlazo)), "")), "")</f>
        <v/>
      </c>
      <c r="BH49" s="4"/>
    </row>
    <row r="50" spans="2:60" x14ac:dyDescent="0.3">
      <c r="B50" s="6"/>
      <c r="C50" s="10"/>
      <c r="D50" s="48" t="str">
        <f>IF(Tabla_Registro_Tareas3[[#This Row],[Actividad]]=Indice_Aux_Vacio,"",IFERROR(INDEX(plan!$D$4:$D$52,MATCH(Tabla_Registro_Tareas3[[#This Row],[Actividad]],plan!$C$4:$C$52,0)),""))</f>
        <v/>
      </c>
      <c r="E50" s="48" t="str">
        <f>IFERROR(INDEX(plan!$E$4:$E$52,MATCH(Tabla_Registro_Tareas3[[#This Row],[Actividad]],plan!$C$4:$C$52,0)),"")</f>
        <v/>
      </c>
      <c r="F50" s="49" t="str">
        <f>IF(Tabla_Registro_Tareas3[[#This Row],[Actividad]]=Indice_Aux_Vacio,"",Indice_PROBLAM_Estudiante3)</f>
        <v/>
      </c>
      <c r="G50" s="7"/>
      <c r="H50" s="8"/>
      <c r="I50" s="9"/>
      <c r="K50" s="12" t="str" cm="1">
        <f t="array" ref="K50">IF($B50&lt;&gt;"",TRANSPOSE(_xlfn._xlws.FILTER(plan!$C$4:$C$52, ($B50 &gt;= (plan!$J$4:$J$52-Indice_Plan_ExtensionPlazo))*($B50 &lt;= (plan!$K$4:$K$52+Indice_Plan_ExtensionPlazo)), "")), "")</f>
        <v/>
      </c>
      <c r="BH50" s="4"/>
    </row>
    <row r="51" spans="2:60" x14ac:dyDescent="0.3">
      <c r="B51" s="6"/>
      <c r="C51" s="10"/>
      <c r="D51" s="48" t="str">
        <f>IF(Tabla_Registro_Tareas3[[#This Row],[Actividad]]=Indice_Aux_Vacio,"",IFERROR(INDEX(plan!$D$4:$D$52,MATCH(Tabla_Registro_Tareas3[[#This Row],[Actividad]],plan!$C$4:$C$52,0)),""))</f>
        <v/>
      </c>
      <c r="E51" s="48" t="str">
        <f>IFERROR(INDEX(plan!$E$4:$E$52,MATCH(Tabla_Registro_Tareas3[[#This Row],[Actividad]],plan!$C$4:$C$52,0)),"")</f>
        <v/>
      </c>
      <c r="F51" s="49" t="str">
        <f>IF(Tabla_Registro_Tareas3[[#This Row],[Actividad]]=Indice_Aux_Vacio,"",Indice_PROBLAM_Estudiante3)</f>
        <v/>
      </c>
      <c r="G51" s="7"/>
      <c r="H51" s="8"/>
      <c r="I51" s="9"/>
      <c r="K51" s="12" t="str" cm="1">
        <f t="array" ref="K51">IF($B51&lt;&gt;"",TRANSPOSE(_xlfn._xlws.FILTER(plan!$C$4:$C$52, ($B51 &gt;= (plan!$J$4:$J$52-Indice_Plan_ExtensionPlazo))*($B51 &lt;= (plan!$K$4:$K$52+Indice_Plan_ExtensionPlazo)), "")), "")</f>
        <v/>
      </c>
      <c r="BH51" s="4"/>
    </row>
    <row r="52" spans="2:60" x14ac:dyDescent="0.3">
      <c r="B52" s="6"/>
      <c r="C52" s="10"/>
      <c r="D52" s="48" t="str">
        <f>IF(Tabla_Registro_Tareas3[[#This Row],[Actividad]]=Indice_Aux_Vacio,"",IFERROR(INDEX(plan!$D$4:$D$52,MATCH(Tabla_Registro_Tareas3[[#This Row],[Actividad]],plan!$C$4:$C$52,0)),""))</f>
        <v/>
      </c>
      <c r="E52" s="48" t="str">
        <f>IFERROR(INDEX(plan!$E$4:$E$52,MATCH(Tabla_Registro_Tareas3[[#This Row],[Actividad]],plan!$C$4:$C$52,0)),"")</f>
        <v/>
      </c>
      <c r="F52" s="49" t="str">
        <f>IF(Tabla_Registro_Tareas3[[#This Row],[Actividad]]=Indice_Aux_Vacio,"",Indice_PROBLAM_Estudiante3)</f>
        <v/>
      </c>
      <c r="G52" s="7"/>
      <c r="H52" s="8"/>
      <c r="I52" s="9"/>
      <c r="K52" s="12" t="str" cm="1">
        <f t="array" ref="K52">IF($B52&lt;&gt;"",TRANSPOSE(_xlfn._xlws.FILTER(plan!$C$4:$C$52, ($B52 &gt;= (plan!$J$4:$J$52-Indice_Plan_ExtensionPlazo))*($B52 &lt;= (plan!$K$4:$K$52+Indice_Plan_ExtensionPlazo)), "")), "")</f>
        <v/>
      </c>
      <c r="BH52" s="4"/>
    </row>
    <row r="53" spans="2:60" x14ac:dyDescent="0.3">
      <c r="B53" s="6"/>
      <c r="C53" s="10"/>
      <c r="D53" s="48" t="str">
        <f>IF(Tabla_Registro_Tareas3[[#This Row],[Actividad]]=Indice_Aux_Vacio,"",IFERROR(INDEX(plan!$D$4:$D$52,MATCH(Tabla_Registro_Tareas3[[#This Row],[Actividad]],plan!$C$4:$C$52,0)),""))</f>
        <v/>
      </c>
      <c r="E53" s="48" t="str">
        <f>IFERROR(INDEX(plan!$E$4:$E$52,MATCH(Tabla_Registro_Tareas3[[#This Row],[Actividad]],plan!$C$4:$C$52,0)),"")</f>
        <v/>
      </c>
      <c r="F53" s="49" t="str">
        <f>IF(Tabla_Registro_Tareas3[[#This Row],[Actividad]]=Indice_Aux_Vacio,"",Indice_PROBLAM_Estudiante3)</f>
        <v/>
      </c>
      <c r="G53" s="7"/>
      <c r="H53" s="8"/>
      <c r="I53" s="9"/>
      <c r="K53" s="12" t="str" cm="1">
        <f t="array" ref="K53">IF($B53&lt;&gt;"",TRANSPOSE(_xlfn._xlws.FILTER(plan!$C$4:$C$52, ($B53 &gt;= (plan!$J$4:$J$52-Indice_Plan_ExtensionPlazo))*($B53 &lt;= (plan!$K$4:$K$52+Indice_Plan_ExtensionPlazo)), "")), "")</f>
        <v/>
      </c>
      <c r="BH53" s="4"/>
    </row>
    <row r="54" spans="2:60" x14ac:dyDescent="0.3">
      <c r="B54" s="6"/>
      <c r="C54" s="10"/>
      <c r="D54" s="48" t="str">
        <f>IF(Tabla_Registro_Tareas3[[#This Row],[Actividad]]=Indice_Aux_Vacio,"",IFERROR(INDEX(plan!$D$4:$D$52,MATCH(Tabla_Registro_Tareas3[[#This Row],[Actividad]],plan!$C$4:$C$52,0)),""))</f>
        <v/>
      </c>
      <c r="E54" s="48" t="str">
        <f>IFERROR(INDEX(plan!$E$4:$E$52,MATCH(Tabla_Registro_Tareas3[[#This Row],[Actividad]],plan!$C$4:$C$52,0)),"")</f>
        <v/>
      </c>
      <c r="F54" s="49" t="str">
        <f>IF(Tabla_Registro_Tareas3[[#This Row],[Actividad]]=Indice_Aux_Vacio,"",Indice_PROBLAM_Estudiante3)</f>
        <v/>
      </c>
      <c r="G54" s="7"/>
      <c r="H54" s="8"/>
      <c r="I54" s="9"/>
      <c r="K54" s="12" t="str" cm="1">
        <f t="array" ref="K54">IF($B54&lt;&gt;"",TRANSPOSE(_xlfn._xlws.FILTER(plan!$C$4:$C$52, ($B54 &gt;= (plan!$J$4:$J$52-Indice_Plan_ExtensionPlazo))*($B54 &lt;= (plan!$K$4:$K$52+Indice_Plan_ExtensionPlazo)), "")), "")</f>
        <v/>
      </c>
      <c r="BH54" s="4"/>
    </row>
    <row r="55" spans="2:60" x14ac:dyDescent="0.3">
      <c r="B55" s="6"/>
      <c r="C55" s="10"/>
      <c r="D55" s="48" t="str">
        <f>IF(Tabla_Registro_Tareas3[[#This Row],[Actividad]]=Indice_Aux_Vacio,"",IFERROR(INDEX(plan!$D$4:$D$52,MATCH(Tabla_Registro_Tareas3[[#This Row],[Actividad]],plan!$C$4:$C$52,0)),""))</f>
        <v/>
      </c>
      <c r="E55" s="48" t="str">
        <f>IFERROR(INDEX(plan!$E$4:$E$52,MATCH(Tabla_Registro_Tareas3[[#This Row],[Actividad]],plan!$C$4:$C$52,0)),"")</f>
        <v/>
      </c>
      <c r="F55" s="49" t="str">
        <f>IF(Tabla_Registro_Tareas3[[#This Row],[Actividad]]=Indice_Aux_Vacio,"",Indice_PROBLAM_Estudiante3)</f>
        <v/>
      </c>
      <c r="G55" s="7"/>
      <c r="H55" s="8"/>
      <c r="I55" s="9"/>
      <c r="K55" s="12" t="str" cm="1">
        <f t="array" ref="K55">IF($B55&lt;&gt;"",TRANSPOSE(_xlfn._xlws.FILTER(plan!$C$4:$C$52, ($B55 &gt;= (plan!$J$4:$J$52-Indice_Plan_ExtensionPlazo))*($B55 &lt;= (plan!$K$4:$K$52+Indice_Plan_ExtensionPlazo)), "")), "")</f>
        <v/>
      </c>
      <c r="BH55" s="4"/>
    </row>
    <row r="56" spans="2:60" x14ac:dyDescent="0.3">
      <c r="B56" s="6"/>
      <c r="C56" s="10"/>
      <c r="D56" s="48" t="str">
        <f>IF(Tabla_Registro_Tareas3[[#This Row],[Actividad]]=Indice_Aux_Vacio,"",IFERROR(INDEX(plan!$D$4:$D$52,MATCH(Tabla_Registro_Tareas3[[#This Row],[Actividad]],plan!$C$4:$C$52,0)),""))</f>
        <v/>
      </c>
      <c r="E56" s="48" t="str">
        <f>IFERROR(INDEX(plan!$E$4:$E$52,MATCH(Tabla_Registro_Tareas3[[#This Row],[Actividad]],plan!$C$4:$C$52,0)),"")</f>
        <v/>
      </c>
      <c r="F56" s="49" t="str">
        <f>IF(Tabla_Registro_Tareas3[[#This Row],[Actividad]]=Indice_Aux_Vacio,"",Indice_PROBLAM_Estudiante3)</f>
        <v/>
      </c>
      <c r="G56" s="7"/>
      <c r="H56" s="8"/>
      <c r="I56" s="9"/>
      <c r="K56" s="12" t="str" cm="1">
        <f t="array" ref="K56">IF($B56&lt;&gt;"",TRANSPOSE(_xlfn._xlws.FILTER(plan!$C$4:$C$52, ($B56 &gt;= (plan!$J$4:$J$52-Indice_Plan_ExtensionPlazo))*($B56 &lt;= (plan!$K$4:$K$52+Indice_Plan_ExtensionPlazo)), "")), "")</f>
        <v/>
      </c>
      <c r="BH56" s="4"/>
    </row>
    <row r="57" spans="2:60" x14ac:dyDescent="0.3">
      <c r="B57" s="6"/>
      <c r="C57" s="10"/>
      <c r="D57" s="48" t="str">
        <f>IF(Tabla_Registro_Tareas3[[#This Row],[Actividad]]=Indice_Aux_Vacio,"",IFERROR(INDEX(plan!$D$4:$D$52,MATCH(Tabla_Registro_Tareas3[[#This Row],[Actividad]],plan!$C$4:$C$52,0)),""))</f>
        <v/>
      </c>
      <c r="E57" s="48" t="str">
        <f>IFERROR(INDEX(plan!$E$4:$E$52,MATCH(Tabla_Registro_Tareas3[[#This Row],[Actividad]],plan!$C$4:$C$52,0)),"")</f>
        <v/>
      </c>
      <c r="F57" s="49" t="str">
        <f>IF(Tabla_Registro_Tareas3[[#This Row],[Actividad]]=Indice_Aux_Vacio,"",Indice_PROBLAM_Estudiante3)</f>
        <v/>
      </c>
      <c r="G57" s="7"/>
      <c r="H57" s="8"/>
      <c r="I57" s="9"/>
      <c r="K57" s="12" t="str" cm="1">
        <f t="array" ref="K57">IF($B57&lt;&gt;"",TRANSPOSE(_xlfn._xlws.FILTER(plan!$C$4:$C$52, ($B57 &gt;= (plan!$J$4:$J$52-Indice_Plan_ExtensionPlazo))*($B57 &lt;= (plan!$K$4:$K$52+Indice_Plan_ExtensionPlazo)), "")), "")</f>
        <v/>
      </c>
      <c r="BH57" s="4"/>
    </row>
    <row r="58" spans="2:60" x14ac:dyDescent="0.3">
      <c r="B58" s="6"/>
      <c r="C58" s="10"/>
      <c r="D58" s="48" t="str">
        <f>IF(Tabla_Registro_Tareas3[[#This Row],[Actividad]]=Indice_Aux_Vacio,"",IFERROR(INDEX(plan!$D$4:$D$52,MATCH(Tabla_Registro_Tareas3[[#This Row],[Actividad]],plan!$C$4:$C$52,0)),""))</f>
        <v/>
      </c>
      <c r="E58" s="48" t="str">
        <f>IFERROR(INDEX(plan!$E$4:$E$52,MATCH(Tabla_Registro_Tareas3[[#This Row],[Actividad]],plan!$C$4:$C$52,0)),"")</f>
        <v/>
      </c>
      <c r="F58" s="49" t="str">
        <f>IF(Tabla_Registro_Tareas3[[#This Row],[Actividad]]=Indice_Aux_Vacio,"",Indice_PROBLAM_Estudiante3)</f>
        <v/>
      </c>
      <c r="G58" s="7"/>
      <c r="H58" s="8"/>
      <c r="I58" s="9"/>
      <c r="K58" s="12" t="str" cm="1">
        <f t="array" ref="K58">IF($B58&lt;&gt;"",TRANSPOSE(_xlfn._xlws.FILTER(plan!$C$4:$C$52, ($B58 &gt;= (plan!$J$4:$J$52-Indice_Plan_ExtensionPlazo))*($B58 &lt;= (plan!$K$4:$K$52+Indice_Plan_ExtensionPlazo)), "")), "")</f>
        <v/>
      </c>
      <c r="BH58" s="4"/>
    </row>
    <row r="59" spans="2:60" x14ac:dyDescent="0.3">
      <c r="B59" s="6"/>
      <c r="C59" s="10"/>
      <c r="D59" s="48" t="str">
        <f>IF(Tabla_Registro_Tareas3[[#This Row],[Actividad]]=Indice_Aux_Vacio,"",IFERROR(INDEX(plan!$D$4:$D$52,MATCH(Tabla_Registro_Tareas3[[#This Row],[Actividad]],plan!$C$4:$C$52,0)),""))</f>
        <v/>
      </c>
      <c r="E59" s="48" t="str">
        <f>IFERROR(INDEX(plan!$E$4:$E$52,MATCH(Tabla_Registro_Tareas3[[#This Row],[Actividad]],plan!$C$4:$C$52,0)),"")</f>
        <v/>
      </c>
      <c r="F59" s="49" t="str">
        <f>IF(Tabla_Registro_Tareas3[[#This Row],[Actividad]]=Indice_Aux_Vacio,"",Indice_PROBLAM_Estudiante3)</f>
        <v/>
      </c>
      <c r="G59" s="7"/>
      <c r="H59" s="8"/>
      <c r="I59" s="9"/>
      <c r="K59" s="12" t="str" cm="1">
        <f t="array" ref="K59">IF($B59&lt;&gt;"",TRANSPOSE(_xlfn._xlws.FILTER(plan!$C$4:$C$52, ($B59 &gt;= (plan!$J$4:$J$52-Indice_Plan_ExtensionPlazo))*($B59 &lt;= (plan!$K$4:$K$52+Indice_Plan_ExtensionPlazo)), "")), "")</f>
        <v/>
      </c>
      <c r="BH59" s="4"/>
    </row>
    <row r="60" spans="2:60" x14ac:dyDescent="0.3">
      <c r="B60" s="6"/>
      <c r="C60" s="10"/>
      <c r="D60" s="48" t="str">
        <f>IF(Tabla_Registro_Tareas3[[#This Row],[Actividad]]=Indice_Aux_Vacio,"",IFERROR(INDEX(plan!$D$4:$D$52,MATCH(Tabla_Registro_Tareas3[[#This Row],[Actividad]],plan!$C$4:$C$52,0)),""))</f>
        <v/>
      </c>
      <c r="E60" s="48" t="str">
        <f>IFERROR(INDEX(plan!$E$4:$E$52,MATCH(Tabla_Registro_Tareas3[[#This Row],[Actividad]],plan!$C$4:$C$52,0)),"")</f>
        <v/>
      </c>
      <c r="F60" s="49" t="str">
        <f>IF(Tabla_Registro_Tareas3[[#This Row],[Actividad]]=Indice_Aux_Vacio,"",Indice_PROBLAM_Estudiante3)</f>
        <v/>
      </c>
      <c r="G60" s="7"/>
      <c r="H60" s="8"/>
      <c r="I60" s="9"/>
      <c r="K60" s="12" t="str" cm="1">
        <f t="array" ref="K60">IF($B60&lt;&gt;"",TRANSPOSE(_xlfn._xlws.FILTER(plan!$C$4:$C$52, ($B60 &gt;= (plan!$J$4:$J$52-Indice_Plan_ExtensionPlazo))*($B60 &lt;= (plan!$K$4:$K$52+Indice_Plan_ExtensionPlazo)), "")), "")</f>
        <v/>
      </c>
      <c r="BH60" s="4"/>
    </row>
    <row r="61" spans="2:60" x14ac:dyDescent="0.3">
      <c r="B61" s="6"/>
      <c r="C61" s="10"/>
      <c r="D61" s="48" t="str">
        <f>IF(Tabla_Registro_Tareas3[[#This Row],[Actividad]]=Indice_Aux_Vacio,"",IFERROR(INDEX(plan!$D$4:$D$52,MATCH(Tabla_Registro_Tareas3[[#This Row],[Actividad]],plan!$C$4:$C$52,0)),""))</f>
        <v/>
      </c>
      <c r="E61" s="48" t="str">
        <f>IFERROR(INDEX(plan!$E$4:$E$52,MATCH(Tabla_Registro_Tareas3[[#This Row],[Actividad]],plan!$C$4:$C$52,0)),"")</f>
        <v/>
      </c>
      <c r="F61" s="49" t="str">
        <f>IF(Tabla_Registro_Tareas3[[#This Row],[Actividad]]=Indice_Aux_Vacio,"",Indice_PROBLAM_Estudiante3)</f>
        <v/>
      </c>
      <c r="G61" s="7"/>
      <c r="H61" s="8"/>
      <c r="I61" s="9"/>
      <c r="K61" s="12" t="str" cm="1">
        <f t="array" ref="K61">IF($B61&lt;&gt;"",TRANSPOSE(_xlfn._xlws.FILTER(plan!$C$4:$C$52, ($B61 &gt;= (plan!$J$4:$J$52-Indice_Plan_ExtensionPlazo))*($B61 &lt;= (plan!$K$4:$K$52+Indice_Plan_ExtensionPlazo)), "")), "")</f>
        <v/>
      </c>
      <c r="BH61" s="4"/>
    </row>
    <row r="62" spans="2:60" x14ac:dyDescent="0.3">
      <c r="B62" s="6"/>
      <c r="C62" s="10"/>
      <c r="D62" s="48" t="str">
        <f>IF(Tabla_Registro_Tareas3[[#This Row],[Actividad]]=Indice_Aux_Vacio,"",IFERROR(INDEX(plan!$D$4:$D$52,MATCH(Tabla_Registro_Tareas3[[#This Row],[Actividad]],plan!$C$4:$C$52,0)),""))</f>
        <v/>
      </c>
      <c r="E62" s="48" t="str">
        <f>IFERROR(INDEX(plan!$E$4:$E$52,MATCH(Tabla_Registro_Tareas3[[#This Row],[Actividad]],plan!$C$4:$C$52,0)),"")</f>
        <v/>
      </c>
      <c r="F62" s="49" t="str">
        <f>IF(Tabla_Registro_Tareas3[[#This Row],[Actividad]]=Indice_Aux_Vacio,"",Indice_PROBLAM_Estudiante3)</f>
        <v/>
      </c>
      <c r="G62" s="7"/>
      <c r="H62" s="8"/>
      <c r="I62" s="9"/>
      <c r="K62" s="12" t="str" cm="1">
        <f t="array" ref="K62">IF($B62&lt;&gt;"",TRANSPOSE(_xlfn._xlws.FILTER(plan!$C$4:$C$52, ($B62 &gt;= (plan!$J$4:$J$52-Indice_Plan_ExtensionPlazo))*($B62 &lt;= (plan!$K$4:$K$52+Indice_Plan_ExtensionPlazo)), "")), "")</f>
        <v/>
      </c>
      <c r="BH62" s="4"/>
    </row>
    <row r="63" spans="2:60" x14ac:dyDescent="0.3">
      <c r="B63" s="6"/>
      <c r="C63" s="10"/>
      <c r="D63" s="48" t="str">
        <f>IF(Tabla_Registro_Tareas3[[#This Row],[Actividad]]=Indice_Aux_Vacio,"",IFERROR(INDEX(plan!$D$4:$D$52,MATCH(Tabla_Registro_Tareas3[[#This Row],[Actividad]],plan!$C$4:$C$52,0)),""))</f>
        <v/>
      </c>
      <c r="E63" s="48" t="str">
        <f>IFERROR(INDEX(plan!$E$4:$E$52,MATCH(Tabla_Registro_Tareas3[[#This Row],[Actividad]],plan!$C$4:$C$52,0)),"")</f>
        <v/>
      </c>
      <c r="F63" s="49" t="str">
        <f>IF(Tabla_Registro_Tareas3[[#This Row],[Actividad]]=Indice_Aux_Vacio,"",Indice_PROBLAM_Estudiante3)</f>
        <v/>
      </c>
      <c r="G63" s="7"/>
      <c r="H63" s="8"/>
      <c r="I63" s="9"/>
      <c r="K63" s="12" t="str" cm="1">
        <f t="array" ref="K63">IF($B63&lt;&gt;"",TRANSPOSE(_xlfn._xlws.FILTER(plan!$C$4:$C$52, ($B63 &gt;= (plan!$J$4:$J$52-Indice_Plan_ExtensionPlazo))*($B63 &lt;= (plan!$K$4:$K$52+Indice_Plan_ExtensionPlazo)), "")), "")</f>
        <v/>
      </c>
      <c r="BH63" s="4"/>
    </row>
    <row r="64" spans="2:60" x14ac:dyDescent="0.3">
      <c r="B64" s="6"/>
      <c r="C64" s="10"/>
      <c r="D64" s="48" t="str">
        <f>IF(Tabla_Registro_Tareas3[[#This Row],[Actividad]]=Indice_Aux_Vacio,"",IFERROR(INDEX(plan!$D$4:$D$52,MATCH(Tabla_Registro_Tareas3[[#This Row],[Actividad]],plan!$C$4:$C$52,0)),""))</f>
        <v/>
      </c>
      <c r="E64" s="48" t="str">
        <f>IFERROR(INDEX(plan!$E$4:$E$52,MATCH(Tabla_Registro_Tareas3[[#This Row],[Actividad]],plan!$C$4:$C$52,0)),"")</f>
        <v/>
      </c>
      <c r="F64" s="49" t="str">
        <f>IF(Tabla_Registro_Tareas3[[#This Row],[Actividad]]=Indice_Aux_Vacio,"",Indice_PROBLAM_Estudiante3)</f>
        <v/>
      </c>
      <c r="G64" s="7"/>
      <c r="H64" s="8"/>
      <c r="I64" s="9"/>
      <c r="K64" s="12" t="str" cm="1">
        <f t="array" ref="K64">IF($B64&lt;&gt;"",TRANSPOSE(_xlfn._xlws.FILTER(plan!$C$4:$C$52, ($B64 &gt;= (plan!$J$4:$J$52-Indice_Plan_ExtensionPlazo))*($B64 &lt;= (plan!$K$4:$K$52+Indice_Plan_ExtensionPlazo)), "")), "")</f>
        <v/>
      </c>
      <c r="BH64" s="4"/>
    </row>
    <row r="65" spans="2:60" x14ac:dyDescent="0.3">
      <c r="B65" s="6"/>
      <c r="C65" s="10"/>
      <c r="D65" s="48" t="str">
        <f>IF(Tabla_Registro_Tareas3[[#This Row],[Actividad]]=Indice_Aux_Vacio,"",IFERROR(INDEX(plan!$D$4:$D$52,MATCH(Tabla_Registro_Tareas3[[#This Row],[Actividad]],plan!$C$4:$C$52,0)),""))</f>
        <v/>
      </c>
      <c r="E65" s="48" t="str">
        <f>IFERROR(INDEX(plan!$E$4:$E$52,MATCH(Tabla_Registro_Tareas3[[#This Row],[Actividad]],plan!$C$4:$C$52,0)),"")</f>
        <v/>
      </c>
      <c r="F65" s="49" t="str">
        <f>IF(Tabla_Registro_Tareas3[[#This Row],[Actividad]]=Indice_Aux_Vacio,"",Indice_PROBLAM_Estudiante3)</f>
        <v/>
      </c>
      <c r="G65" s="7"/>
      <c r="H65" s="8"/>
      <c r="I65" s="9"/>
      <c r="K65" s="12" t="str" cm="1">
        <f t="array" ref="K65">IF($B65&lt;&gt;"",TRANSPOSE(_xlfn._xlws.FILTER(plan!$C$4:$C$52, ($B65 &gt;= (plan!$J$4:$J$52-Indice_Plan_ExtensionPlazo))*($B65 &lt;= (plan!$K$4:$K$52+Indice_Plan_ExtensionPlazo)), "")), "")</f>
        <v/>
      </c>
      <c r="BH65" s="4"/>
    </row>
    <row r="66" spans="2:60" x14ac:dyDescent="0.3">
      <c r="B66" s="6"/>
      <c r="C66" s="10"/>
      <c r="D66" s="48" t="str">
        <f>IF(Tabla_Registro_Tareas3[[#This Row],[Actividad]]=Indice_Aux_Vacio,"",IFERROR(INDEX(plan!$D$4:$D$52,MATCH(Tabla_Registro_Tareas3[[#This Row],[Actividad]],plan!$C$4:$C$52,0)),""))</f>
        <v/>
      </c>
      <c r="E66" s="48" t="str">
        <f>IFERROR(INDEX(plan!$E$4:$E$52,MATCH(Tabla_Registro_Tareas3[[#This Row],[Actividad]],plan!$C$4:$C$52,0)),"")</f>
        <v/>
      </c>
      <c r="F66" s="49" t="str">
        <f>IF(Tabla_Registro_Tareas3[[#This Row],[Actividad]]=Indice_Aux_Vacio,"",Indice_PROBLAM_Estudiante3)</f>
        <v/>
      </c>
      <c r="G66" s="7"/>
      <c r="H66" s="8"/>
      <c r="I66" s="9"/>
      <c r="K66" s="12" t="str" cm="1">
        <f t="array" ref="K66">IF($B66&lt;&gt;"",TRANSPOSE(_xlfn._xlws.FILTER(plan!$C$4:$C$52, ($B66 &gt;= (plan!$J$4:$J$52-Indice_Plan_ExtensionPlazo))*($B66 &lt;= (plan!$K$4:$K$52+Indice_Plan_ExtensionPlazo)), "")), "")</f>
        <v/>
      </c>
      <c r="BH66" s="4"/>
    </row>
    <row r="67" spans="2:60" x14ac:dyDescent="0.3">
      <c r="B67" s="6"/>
      <c r="C67" s="10"/>
      <c r="D67" s="48" t="str">
        <f>IF(Tabla_Registro_Tareas3[[#This Row],[Actividad]]=Indice_Aux_Vacio,"",IFERROR(INDEX(plan!$D$4:$D$52,MATCH(Tabla_Registro_Tareas3[[#This Row],[Actividad]],plan!$C$4:$C$52,0)),""))</f>
        <v/>
      </c>
      <c r="E67" s="48" t="str">
        <f>IFERROR(INDEX(plan!$E$4:$E$52,MATCH(Tabla_Registro_Tareas3[[#This Row],[Actividad]],plan!$C$4:$C$52,0)),"")</f>
        <v/>
      </c>
      <c r="F67" s="49" t="str">
        <f>IF(Tabla_Registro_Tareas3[[#This Row],[Actividad]]=Indice_Aux_Vacio,"",Indice_PROBLAM_Estudiante3)</f>
        <v/>
      </c>
      <c r="G67" s="7"/>
      <c r="H67" s="8"/>
      <c r="I67" s="9"/>
      <c r="K67" s="12" t="str" cm="1">
        <f t="array" ref="K67">IF($B67&lt;&gt;"",TRANSPOSE(_xlfn._xlws.FILTER(plan!$C$4:$C$52, ($B67 &gt;= (plan!$J$4:$J$52-Indice_Plan_ExtensionPlazo))*($B67 &lt;= (plan!$K$4:$K$52+Indice_Plan_ExtensionPlazo)), "")), "")</f>
        <v/>
      </c>
      <c r="BH67" s="4"/>
    </row>
    <row r="68" spans="2:60" x14ac:dyDescent="0.3">
      <c r="B68" s="6"/>
      <c r="C68" s="10"/>
      <c r="D68" s="48" t="str">
        <f>IF(Tabla_Registro_Tareas3[[#This Row],[Actividad]]=Indice_Aux_Vacio,"",IFERROR(INDEX(plan!$D$4:$D$52,MATCH(Tabla_Registro_Tareas3[[#This Row],[Actividad]],plan!$C$4:$C$52,0)),""))</f>
        <v/>
      </c>
      <c r="E68" s="48" t="str">
        <f>IFERROR(INDEX(plan!$E$4:$E$52,MATCH(Tabla_Registro_Tareas3[[#This Row],[Actividad]],plan!$C$4:$C$52,0)),"")</f>
        <v/>
      </c>
      <c r="F68" s="49" t="str">
        <f>IF(Tabla_Registro_Tareas3[[#This Row],[Actividad]]=Indice_Aux_Vacio,"",Indice_PROBLAM_Estudiante3)</f>
        <v/>
      </c>
      <c r="G68" s="7"/>
      <c r="H68" s="8"/>
      <c r="I68" s="9"/>
      <c r="K68" s="12" t="str" cm="1">
        <f t="array" ref="K68">IF($B68&lt;&gt;"",TRANSPOSE(_xlfn._xlws.FILTER(plan!$C$4:$C$52, ($B68 &gt;= (plan!$J$4:$J$52-Indice_Plan_ExtensionPlazo))*($B68 &lt;= (plan!$K$4:$K$52+Indice_Plan_ExtensionPlazo)), "")), "")</f>
        <v/>
      </c>
      <c r="BH68" s="4"/>
    </row>
    <row r="69" spans="2:60" x14ac:dyDescent="0.3">
      <c r="B69" s="6"/>
      <c r="C69" s="10"/>
      <c r="D69" s="48" t="str">
        <f>IF(Tabla_Registro_Tareas3[[#This Row],[Actividad]]=Indice_Aux_Vacio,"",IFERROR(INDEX(plan!$D$4:$D$52,MATCH(Tabla_Registro_Tareas3[[#This Row],[Actividad]],plan!$C$4:$C$52,0)),""))</f>
        <v/>
      </c>
      <c r="E69" s="48" t="str">
        <f>IFERROR(INDEX(plan!$E$4:$E$52,MATCH(Tabla_Registro_Tareas3[[#This Row],[Actividad]],plan!$C$4:$C$52,0)),"")</f>
        <v/>
      </c>
      <c r="F69" s="49" t="str">
        <f>IF(Tabla_Registro_Tareas3[[#This Row],[Actividad]]=Indice_Aux_Vacio,"",Indice_PROBLAM_Estudiante3)</f>
        <v/>
      </c>
      <c r="G69" s="7"/>
      <c r="H69" s="8"/>
      <c r="I69" s="9"/>
      <c r="K69" s="12" t="str" cm="1">
        <f t="array" ref="K69">IF($B69&lt;&gt;"",TRANSPOSE(_xlfn._xlws.FILTER(plan!$C$4:$C$52, ($B69 &gt;= (plan!$J$4:$J$52-Indice_Plan_ExtensionPlazo))*($B69 &lt;= (plan!$K$4:$K$52+Indice_Plan_ExtensionPlazo)), "")), "")</f>
        <v/>
      </c>
      <c r="BH69" s="4"/>
    </row>
    <row r="70" spans="2:60" x14ac:dyDescent="0.3">
      <c r="B70" s="6"/>
      <c r="C70" s="10"/>
      <c r="D70" s="48" t="str">
        <f>IF(Tabla_Registro_Tareas3[[#This Row],[Actividad]]=Indice_Aux_Vacio,"",IFERROR(INDEX(plan!$D$4:$D$52,MATCH(Tabla_Registro_Tareas3[[#This Row],[Actividad]],plan!$C$4:$C$52,0)),""))</f>
        <v/>
      </c>
      <c r="E70" s="48" t="str">
        <f>IFERROR(INDEX(plan!$E$4:$E$52,MATCH(Tabla_Registro_Tareas3[[#This Row],[Actividad]],plan!$C$4:$C$52,0)),"")</f>
        <v/>
      </c>
      <c r="F70" s="49" t="str">
        <f>IF(Tabla_Registro_Tareas3[[#This Row],[Actividad]]=Indice_Aux_Vacio,"",Indice_PROBLAM_Estudiante3)</f>
        <v/>
      </c>
      <c r="G70" s="7"/>
      <c r="H70" s="8"/>
      <c r="I70" s="9"/>
      <c r="K70" s="12" t="str" cm="1">
        <f t="array" ref="K70">IF($B70&lt;&gt;"",TRANSPOSE(_xlfn._xlws.FILTER(plan!$C$4:$C$52, ($B70 &gt;= (plan!$J$4:$J$52-Indice_Plan_ExtensionPlazo))*($B70 &lt;= (plan!$K$4:$K$52+Indice_Plan_ExtensionPlazo)), "")), "")</f>
        <v/>
      </c>
      <c r="BH70" s="4"/>
    </row>
    <row r="71" spans="2:60" x14ac:dyDescent="0.3">
      <c r="B71" s="6"/>
      <c r="C71" s="10"/>
      <c r="D71" s="48" t="str">
        <f>IF(Tabla_Registro_Tareas3[[#This Row],[Actividad]]=Indice_Aux_Vacio,"",IFERROR(INDEX(plan!$D$4:$D$52,MATCH(Tabla_Registro_Tareas3[[#This Row],[Actividad]],plan!$C$4:$C$52,0)),""))</f>
        <v/>
      </c>
      <c r="E71" s="48" t="str">
        <f>IFERROR(INDEX(plan!$E$4:$E$52,MATCH(Tabla_Registro_Tareas3[[#This Row],[Actividad]],plan!$C$4:$C$52,0)),"")</f>
        <v/>
      </c>
      <c r="F71" s="49" t="str">
        <f>IF(Tabla_Registro_Tareas3[[#This Row],[Actividad]]=Indice_Aux_Vacio,"",Indice_PROBLAM_Estudiante3)</f>
        <v/>
      </c>
      <c r="G71" s="7"/>
      <c r="H71" s="8"/>
      <c r="I71" s="9"/>
      <c r="K71" s="12" t="str" cm="1">
        <f t="array" ref="K71">IF($B71&lt;&gt;"",TRANSPOSE(_xlfn._xlws.FILTER(plan!$C$4:$C$52, ($B71 &gt;= (plan!$J$4:$J$52-Indice_Plan_ExtensionPlazo))*($B71 &lt;= (plan!$K$4:$K$52+Indice_Plan_ExtensionPlazo)), "")), "")</f>
        <v/>
      </c>
      <c r="BH71" s="4"/>
    </row>
    <row r="72" spans="2:60" x14ac:dyDescent="0.3">
      <c r="B72" s="6"/>
      <c r="C72" s="10"/>
      <c r="D72" s="48" t="str">
        <f>IF(Tabla_Registro_Tareas3[[#This Row],[Actividad]]=Indice_Aux_Vacio,"",IFERROR(INDEX(plan!$D$4:$D$52,MATCH(Tabla_Registro_Tareas3[[#This Row],[Actividad]],plan!$C$4:$C$52,0)),""))</f>
        <v/>
      </c>
      <c r="E72" s="48" t="str">
        <f>IFERROR(INDEX(plan!$E$4:$E$52,MATCH(Tabla_Registro_Tareas3[[#This Row],[Actividad]],plan!$C$4:$C$52,0)),"")</f>
        <v/>
      </c>
      <c r="F72" s="49" t="str">
        <f>IF(Tabla_Registro_Tareas3[[#This Row],[Actividad]]=Indice_Aux_Vacio,"",Indice_PROBLAM_Estudiante3)</f>
        <v/>
      </c>
      <c r="G72" s="7"/>
      <c r="H72" s="8"/>
      <c r="I72" s="9"/>
      <c r="K72" s="12" t="str" cm="1">
        <f t="array" ref="K72">IF($B72&lt;&gt;"",TRANSPOSE(_xlfn._xlws.FILTER(plan!$C$4:$C$52, ($B72 &gt;= (plan!$J$4:$J$52-Indice_Plan_ExtensionPlazo))*($B72 &lt;= (plan!$K$4:$K$52+Indice_Plan_ExtensionPlazo)), "")), "")</f>
        <v/>
      </c>
      <c r="BH72" s="4"/>
    </row>
    <row r="73" spans="2:60" x14ac:dyDescent="0.3">
      <c r="B73" s="6"/>
      <c r="C73" s="10"/>
      <c r="D73" s="48" t="str">
        <f>IF(Tabla_Registro_Tareas3[[#This Row],[Actividad]]=Indice_Aux_Vacio,"",IFERROR(INDEX(plan!$D$4:$D$52,MATCH(Tabla_Registro_Tareas3[[#This Row],[Actividad]],plan!$C$4:$C$52,0)),""))</f>
        <v/>
      </c>
      <c r="E73" s="48" t="str">
        <f>IFERROR(INDEX(plan!$E$4:$E$52,MATCH(Tabla_Registro_Tareas3[[#This Row],[Actividad]],plan!$C$4:$C$52,0)),"")</f>
        <v/>
      </c>
      <c r="F73" s="49" t="str">
        <f>IF(Tabla_Registro_Tareas3[[#This Row],[Actividad]]=Indice_Aux_Vacio,"",Indice_PROBLAM_Estudiante3)</f>
        <v/>
      </c>
      <c r="G73" s="7"/>
      <c r="H73" s="8"/>
      <c r="I73" s="9"/>
      <c r="K73" s="12" t="str" cm="1">
        <f t="array" ref="K73">IF($B73&lt;&gt;"",TRANSPOSE(_xlfn._xlws.FILTER(plan!$C$4:$C$52, ($B73 &gt;= (plan!$J$4:$J$52-Indice_Plan_ExtensionPlazo))*($B73 &lt;= (plan!$K$4:$K$52+Indice_Plan_ExtensionPlazo)), "")), "")</f>
        <v/>
      </c>
      <c r="BH73" s="4"/>
    </row>
    <row r="74" spans="2:60" x14ac:dyDescent="0.3">
      <c r="B74" s="6"/>
      <c r="C74" s="10"/>
      <c r="D74" s="48" t="str">
        <f>IF(Tabla_Registro_Tareas3[[#This Row],[Actividad]]=Indice_Aux_Vacio,"",IFERROR(INDEX(plan!$D$4:$D$52,MATCH(Tabla_Registro_Tareas3[[#This Row],[Actividad]],plan!$C$4:$C$52,0)),""))</f>
        <v/>
      </c>
      <c r="E74" s="48" t="str">
        <f>IFERROR(INDEX(plan!$E$4:$E$52,MATCH(Tabla_Registro_Tareas3[[#This Row],[Actividad]],plan!$C$4:$C$52,0)),"")</f>
        <v/>
      </c>
      <c r="F74" s="49" t="str">
        <f>IF(Tabla_Registro_Tareas3[[#This Row],[Actividad]]=Indice_Aux_Vacio,"",Indice_PROBLAM_Estudiante3)</f>
        <v/>
      </c>
      <c r="G74" s="7"/>
      <c r="H74" s="8"/>
      <c r="I74" s="9"/>
      <c r="K74" s="12" t="str" cm="1">
        <f t="array" ref="K74">IF($B74&lt;&gt;"",TRANSPOSE(_xlfn._xlws.FILTER(plan!$C$4:$C$52, ($B74 &gt;= (plan!$J$4:$J$52-Indice_Plan_ExtensionPlazo))*($B74 &lt;= (plan!$K$4:$K$52+Indice_Plan_ExtensionPlazo)), "")), "")</f>
        <v/>
      </c>
      <c r="BH74" s="4"/>
    </row>
    <row r="75" spans="2:60" x14ac:dyDescent="0.3">
      <c r="B75" s="6"/>
      <c r="C75" s="10"/>
      <c r="D75" s="48" t="str">
        <f>IF(Tabla_Registro_Tareas3[[#This Row],[Actividad]]=Indice_Aux_Vacio,"",IFERROR(INDEX(plan!$D$4:$D$52,MATCH(Tabla_Registro_Tareas3[[#This Row],[Actividad]],plan!$C$4:$C$52,0)),""))</f>
        <v/>
      </c>
      <c r="E75" s="48" t="str">
        <f>IFERROR(INDEX(plan!$E$4:$E$52,MATCH(Tabla_Registro_Tareas3[[#This Row],[Actividad]],plan!$C$4:$C$52,0)),"")</f>
        <v/>
      </c>
      <c r="F75" s="49" t="str">
        <f>IF(Tabla_Registro_Tareas3[[#This Row],[Actividad]]=Indice_Aux_Vacio,"",Indice_PROBLAM_Estudiante3)</f>
        <v/>
      </c>
      <c r="G75" s="7"/>
      <c r="H75" s="8"/>
      <c r="I75" s="9"/>
      <c r="K75" s="12" t="str" cm="1">
        <f t="array" ref="K75">IF($B75&lt;&gt;"",TRANSPOSE(_xlfn._xlws.FILTER(plan!$C$4:$C$52, ($B75 &gt;= (plan!$J$4:$J$52-Indice_Plan_ExtensionPlazo))*($B75 &lt;= (plan!$K$4:$K$52+Indice_Plan_ExtensionPlazo)), "")), "")</f>
        <v/>
      </c>
      <c r="BH75" s="4"/>
    </row>
    <row r="76" spans="2:60" x14ac:dyDescent="0.3">
      <c r="B76" s="6"/>
      <c r="C76" s="10"/>
      <c r="D76" s="48" t="str">
        <f>IF(Tabla_Registro_Tareas3[[#This Row],[Actividad]]=Indice_Aux_Vacio,"",IFERROR(INDEX(plan!$D$4:$D$52,MATCH(Tabla_Registro_Tareas3[[#This Row],[Actividad]],plan!$C$4:$C$52,0)),""))</f>
        <v/>
      </c>
      <c r="E76" s="48" t="str">
        <f>IFERROR(INDEX(plan!$E$4:$E$52,MATCH(Tabla_Registro_Tareas3[[#This Row],[Actividad]],plan!$C$4:$C$52,0)),"")</f>
        <v/>
      </c>
      <c r="F76" s="49" t="str">
        <f>IF(Tabla_Registro_Tareas3[[#This Row],[Actividad]]=Indice_Aux_Vacio,"",Indice_PROBLAM_Estudiante3)</f>
        <v/>
      </c>
      <c r="G76" s="7"/>
      <c r="H76" s="8"/>
      <c r="I76" s="9"/>
      <c r="K76" s="12" t="str" cm="1">
        <f t="array" ref="K76">IF($B76&lt;&gt;"",TRANSPOSE(_xlfn._xlws.FILTER(plan!$C$4:$C$52, ($B76 &gt;= (plan!$J$4:$J$52-Indice_Plan_ExtensionPlazo))*($B76 &lt;= (plan!$K$4:$K$52+Indice_Plan_ExtensionPlazo)), "")), "")</f>
        <v/>
      </c>
      <c r="BH76" s="4"/>
    </row>
    <row r="77" spans="2:60" x14ac:dyDescent="0.3">
      <c r="B77" s="6"/>
      <c r="C77" s="10"/>
      <c r="D77" s="48" t="str">
        <f>IF(Tabla_Registro_Tareas3[[#This Row],[Actividad]]=Indice_Aux_Vacio,"",IFERROR(INDEX(plan!$D$4:$D$52,MATCH(Tabla_Registro_Tareas3[[#This Row],[Actividad]],plan!$C$4:$C$52,0)),""))</f>
        <v/>
      </c>
      <c r="E77" s="48" t="str">
        <f>IFERROR(INDEX(plan!$E$4:$E$52,MATCH(Tabla_Registro_Tareas3[[#This Row],[Actividad]],plan!$C$4:$C$52,0)),"")</f>
        <v/>
      </c>
      <c r="F77" s="49" t="str">
        <f>IF(Tabla_Registro_Tareas3[[#This Row],[Actividad]]=Indice_Aux_Vacio,"",Indice_PROBLAM_Estudiante3)</f>
        <v/>
      </c>
      <c r="G77" s="7"/>
      <c r="H77" s="8"/>
      <c r="I77" s="9"/>
      <c r="K77" s="12" t="str" cm="1">
        <f t="array" ref="K77">IF($B77&lt;&gt;"",TRANSPOSE(_xlfn._xlws.FILTER(plan!$C$4:$C$52, ($B77 &gt;= (plan!$J$4:$J$52-Indice_Plan_ExtensionPlazo))*($B77 &lt;= (plan!$K$4:$K$52+Indice_Plan_ExtensionPlazo)), "")), "")</f>
        <v/>
      </c>
      <c r="BH77" s="4"/>
    </row>
    <row r="78" spans="2:60" x14ac:dyDescent="0.3">
      <c r="B78" s="6"/>
      <c r="C78" s="10"/>
      <c r="D78" s="48" t="str">
        <f>IF(Tabla_Registro_Tareas3[[#This Row],[Actividad]]=Indice_Aux_Vacio,"",IFERROR(INDEX(plan!$D$4:$D$52,MATCH(Tabla_Registro_Tareas3[[#This Row],[Actividad]],plan!$C$4:$C$52,0)),""))</f>
        <v/>
      </c>
      <c r="E78" s="48" t="str">
        <f>IFERROR(INDEX(plan!$E$4:$E$52,MATCH(Tabla_Registro_Tareas3[[#This Row],[Actividad]],plan!$C$4:$C$52,0)),"")</f>
        <v/>
      </c>
      <c r="F78" s="49" t="str">
        <f>IF(Tabla_Registro_Tareas3[[#This Row],[Actividad]]=Indice_Aux_Vacio,"",Indice_PROBLAM_Estudiante3)</f>
        <v/>
      </c>
      <c r="G78" s="7"/>
      <c r="H78" s="8"/>
      <c r="I78" s="9"/>
      <c r="K78" s="12" t="str" cm="1">
        <f t="array" ref="K78">IF($B78&lt;&gt;"",TRANSPOSE(_xlfn._xlws.FILTER(plan!$C$4:$C$52, ($B78 &gt;= (plan!$J$4:$J$52-Indice_Plan_ExtensionPlazo))*($B78 &lt;= (plan!$K$4:$K$52+Indice_Plan_ExtensionPlazo)), "")), "")</f>
        <v/>
      </c>
      <c r="BH78" s="4"/>
    </row>
    <row r="79" spans="2:60" x14ac:dyDescent="0.3">
      <c r="B79" s="6"/>
      <c r="C79" s="10"/>
      <c r="D79" s="48" t="str">
        <f>IF(Tabla_Registro_Tareas3[[#This Row],[Actividad]]=Indice_Aux_Vacio,"",IFERROR(INDEX(plan!$D$4:$D$52,MATCH(Tabla_Registro_Tareas3[[#This Row],[Actividad]],plan!$C$4:$C$52,0)),""))</f>
        <v/>
      </c>
      <c r="E79" s="48" t="str">
        <f>IFERROR(INDEX(plan!$E$4:$E$52,MATCH(Tabla_Registro_Tareas3[[#This Row],[Actividad]],plan!$C$4:$C$52,0)),"")</f>
        <v/>
      </c>
      <c r="F79" s="49" t="str">
        <f>IF(Tabla_Registro_Tareas3[[#This Row],[Actividad]]=Indice_Aux_Vacio,"",Indice_PROBLAM_Estudiante3)</f>
        <v/>
      </c>
      <c r="G79" s="7"/>
      <c r="H79" s="8"/>
      <c r="I79" s="9"/>
      <c r="K79" s="12" t="str" cm="1">
        <f t="array" ref="K79">IF($B79&lt;&gt;"",TRANSPOSE(_xlfn._xlws.FILTER(plan!$C$4:$C$52, ($B79 &gt;= (plan!$J$4:$J$52-Indice_Plan_ExtensionPlazo))*($B79 &lt;= (plan!$K$4:$K$52+Indice_Plan_ExtensionPlazo)), "")), "")</f>
        <v/>
      </c>
      <c r="BH79" s="4"/>
    </row>
    <row r="80" spans="2:60" x14ac:dyDescent="0.3">
      <c r="B80" s="6"/>
      <c r="C80" s="10"/>
      <c r="D80" s="48" t="str">
        <f>IF(Tabla_Registro_Tareas3[[#This Row],[Actividad]]=Indice_Aux_Vacio,"",IFERROR(INDEX(plan!$D$4:$D$52,MATCH(Tabla_Registro_Tareas3[[#This Row],[Actividad]],plan!$C$4:$C$52,0)),""))</f>
        <v/>
      </c>
      <c r="E80" s="48" t="str">
        <f>IFERROR(INDEX(plan!$E$4:$E$52,MATCH(Tabla_Registro_Tareas3[[#This Row],[Actividad]],plan!$C$4:$C$52,0)),"")</f>
        <v/>
      </c>
      <c r="F80" s="49" t="str">
        <f>IF(Tabla_Registro_Tareas3[[#This Row],[Actividad]]=Indice_Aux_Vacio,"",Indice_PROBLAM_Estudiante3)</f>
        <v/>
      </c>
      <c r="G80" s="7"/>
      <c r="H80" s="8"/>
      <c r="I80" s="9"/>
      <c r="K80" s="12" t="str" cm="1">
        <f t="array" ref="K80">IF($B80&lt;&gt;"",TRANSPOSE(_xlfn._xlws.FILTER(plan!$C$4:$C$52, ($B80 &gt;= (plan!$J$4:$J$52-Indice_Plan_ExtensionPlazo))*($B80 &lt;= (plan!$K$4:$K$52+Indice_Plan_ExtensionPlazo)), "")), "")</f>
        <v/>
      </c>
      <c r="BH80" s="4"/>
    </row>
    <row r="81" spans="2:60" x14ac:dyDescent="0.3">
      <c r="B81" s="6"/>
      <c r="C81" s="10"/>
      <c r="D81" s="48" t="str">
        <f>IF(Tabla_Registro_Tareas3[[#This Row],[Actividad]]=Indice_Aux_Vacio,"",IFERROR(INDEX(plan!$D$4:$D$52,MATCH(Tabla_Registro_Tareas3[[#This Row],[Actividad]],plan!$C$4:$C$52,0)),""))</f>
        <v/>
      </c>
      <c r="E81" s="48" t="str">
        <f>IFERROR(INDEX(plan!$E$4:$E$52,MATCH(Tabla_Registro_Tareas3[[#This Row],[Actividad]],plan!$C$4:$C$52,0)),"")</f>
        <v/>
      </c>
      <c r="F81" s="49" t="str">
        <f>IF(Tabla_Registro_Tareas3[[#This Row],[Actividad]]=Indice_Aux_Vacio,"",Indice_PROBLAM_Estudiante3)</f>
        <v/>
      </c>
      <c r="G81" s="7"/>
      <c r="H81" s="8"/>
      <c r="I81" s="9"/>
      <c r="K81" s="12" t="str" cm="1">
        <f t="array" ref="K81">IF($B81&lt;&gt;"",TRANSPOSE(_xlfn._xlws.FILTER(plan!$C$4:$C$52, ($B81 &gt;= (plan!$J$4:$J$52-Indice_Plan_ExtensionPlazo))*($B81 &lt;= (plan!$K$4:$K$52+Indice_Plan_ExtensionPlazo)), "")), "")</f>
        <v/>
      </c>
      <c r="BH81" s="4"/>
    </row>
    <row r="82" spans="2:60" x14ac:dyDescent="0.3">
      <c r="B82" s="6"/>
      <c r="C82" s="10"/>
      <c r="D82" s="48" t="str">
        <f>IF(Tabla_Registro_Tareas3[[#This Row],[Actividad]]=Indice_Aux_Vacio,"",IFERROR(INDEX(plan!$D$4:$D$52,MATCH(Tabla_Registro_Tareas3[[#This Row],[Actividad]],plan!$C$4:$C$52,0)),""))</f>
        <v/>
      </c>
      <c r="E82" s="48" t="str">
        <f>IFERROR(INDEX(plan!$E$4:$E$52,MATCH(Tabla_Registro_Tareas3[[#This Row],[Actividad]],plan!$C$4:$C$52,0)),"")</f>
        <v/>
      </c>
      <c r="F82" s="49" t="str">
        <f>IF(Tabla_Registro_Tareas3[[#This Row],[Actividad]]=Indice_Aux_Vacio,"",Indice_PROBLAM_Estudiante3)</f>
        <v/>
      </c>
      <c r="G82" s="7"/>
      <c r="H82" s="8"/>
      <c r="I82" s="9"/>
      <c r="K82" s="12" t="str" cm="1">
        <f t="array" ref="K82">IF($B82&lt;&gt;"",TRANSPOSE(_xlfn._xlws.FILTER(plan!$C$4:$C$52, ($B82 &gt;= (plan!$J$4:$J$52-Indice_Plan_ExtensionPlazo))*($B82 &lt;= (plan!$K$4:$K$52+Indice_Plan_ExtensionPlazo)), "")), "")</f>
        <v/>
      </c>
      <c r="BH82" s="4"/>
    </row>
    <row r="83" spans="2:60" x14ac:dyDescent="0.3">
      <c r="B83" s="6"/>
      <c r="C83" s="10"/>
      <c r="D83" s="48" t="str">
        <f>IF(Tabla_Registro_Tareas3[[#This Row],[Actividad]]=Indice_Aux_Vacio,"",IFERROR(INDEX(plan!$D$4:$D$52,MATCH(Tabla_Registro_Tareas3[[#This Row],[Actividad]],plan!$C$4:$C$52,0)),""))</f>
        <v/>
      </c>
      <c r="E83" s="48" t="str">
        <f>IFERROR(INDEX(plan!$E$4:$E$52,MATCH(Tabla_Registro_Tareas3[[#This Row],[Actividad]],plan!$C$4:$C$52,0)),"")</f>
        <v/>
      </c>
      <c r="F83" s="49" t="str">
        <f>IF(Tabla_Registro_Tareas3[[#This Row],[Actividad]]=Indice_Aux_Vacio,"",Indice_PROBLAM_Estudiante3)</f>
        <v/>
      </c>
      <c r="G83" s="7"/>
      <c r="H83" s="8"/>
      <c r="I83" s="9"/>
      <c r="K83" s="12" t="str" cm="1">
        <f t="array" ref="K83">IF($B83&lt;&gt;"",TRANSPOSE(_xlfn._xlws.FILTER(plan!$C$4:$C$52, ($B83 &gt;= (plan!$J$4:$J$52-Indice_Plan_ExtensionPlazo))*($B83 &lt;= (plan!$K$4:$K$52+Indice_Plan_ExtensionPlazo)), "")), "")</f>
        <v/>
      </c>
      <c r="BH83" s="4"/>
    </row>
    <row r="84" spans="2:60" x14ac:dyDescent="0.3">
      <c r="B84" s="6"/>
      <c r="C84" s="10"/>
      <c r="D84" s="48" t="str">
        <f>IF(Tabla_Registro_Tareas3[[#This Row],[Actividad]]=Indice_Aux_Vacio,"",IFERROR(INDEX(plan!$D$4:$D$52,MATCH(Tabla_Registro_Tareas3[[#This Row],[Actividad]],plan!$C$4:$C$52,0)),""))</f>
        <v/>
      </c>
      <c r="E84" s="48" t="str">
        <f>IFERROR(INDEX(plan!$E$4:$E$52,MATCH(Tabla_Registro_Tareas3[[#This Row],[Actividad]],plan!$C$4:$C$52,0)),"")</f>
        <v/>
      </c>
      <c r="F84" s="49" t="str">
        <f>IF(Tabla_Registro_Tareas3[[#This Row],[Actividad]]=Indice_Aux_Vacio,"",Indice_PROBLAM_Estudiante3)</f>
        <v/>
      </c>
      <c r="G84" s="7"/>
      <c r="H84" s="8"/>
      <c r="I84" s="9"/>
      <c r="K84" s="12" t="str" cm="1">
        <f t="array" ref="K84">IF($B84&lt;&gt;"",TRANSPOSE(_xlfn._xlws.FILTER(plan!$C$4:$C$52, ($B84 &gt;= (plan!$J$4:$J$52-Indice_Plan_ExtensionPlazo))*($B84 &lt;= (plan!$K$4:$K$52+Indice_Plan_ExtensionPlazo)), "")), "")</f>
        <v/>
      </c>
      <c r="BH84" s="4"/>
    </row>
    <row r="85" spans="2:60" x14ac:dyDescent="0.3">
      <c r="B85" s="6"/>
      <c r="C85" s="10"/>
      <c r="D85" s="48" t="str">
        <f>IF(Tabla_Registro_Tareas3[[#This Row],[Actividad]]=Indice_Aux_Vacio,"",IFERROR(INDEX(plan!$D$4:$D$52,MATCH(Tabla_Registro_Tareas3[[#This Row],[Actividad]],plan!$C$4:$C$52,0)),""))</f>
        <v/>
      </c>
      <c r="E85" s="48" t="str">
        <f>IFERROR(INDEX(plan!$E$4:$E$52,MATCH(Tabla_Registro_Tareas3[[#This Row],[Actividad]],plan!$C$4:$C$52,0)),"")</f>
        <v/>
      </c>
      <c r="F85" s="49" t="str">
        <f>IF(Tabla_Registro_Tareas3[[#This Row],[Actividad]]=Indice_Aux_Vacio,"",Indice_PROBLAM_Estudiante3)</f>
        <v/>
      </c>
      <c r="G85" s="7"/>
      <c r="H85" s="8"/>
      <c r="I85" s="9"/>
      <c r="K85" s="12" t="str" cm="1">
        <f t="array" ref="K85">IF($B85&lt;&gt;"",TRANSPOSE(_xlfn._xlws.FILTER(plan!$C$4:$C$52, ($B85 &gt;= (plan!$J$4:$J$52-Indice_Plan_ExtensionPlazo))*($B85 &lt;= (plan!$K$4:$K$52+Indice_Plan_ExtensionPlazo)), "")), "")</f>
        <v/>
      </c>
      <c r="BH85" s="4"/>
    </row>
    <row r="86" spans="2:60" x14ac:dyDescent="0.3">
      <c r="B86" s="6"/>
      <c r="C86" s="10"/>
      <c r="D86" s="48" t="str">
        <f>IF(Tabla_Registro_Tareas3[[#This Row],[Actividad]]=Indice_Aux_Vacio,"",IFERROR(INDEX(plan!$D$4:$D$52,MATCH(Tabla_Registro_Tareas3[[#This Row],[Actividad]],plan!$C$4:$C$52,0)),""))</f>
        <v/>
      </c>
      <c r="E86" s="48" t="str">
        <f>IFERROR(INDEX(plan!$E$4:$E$52,MATCH(Tabla_Registro_Tareas3[[#This Row],[Actividad]],plan!$C$4:$C$52,0)),"")</f>
        <v/>
      </c>
      <c r="F86" s="49" t="str">
        <f>IF(Tabla_Registro_Tareas3[[#This Row],[Actividad]]=Indice_Aux_Vacio,"",Indice_PROBLAM_Estudiante3)</f>
        <v/>
      </c>
      <c r="G86" s="7"/>
      <c r="H86" s="8"/>
      <c r="I86" s="9"/>
      <c r="K86" s="12" t="str" cm="1">
        <f t="array" ref="K86">IF($B86&lt;&gt;"",TRANSPOSE(_xlfn._xlws.FILTER(plan!$C$4:$C$52, ($B86 &gt;= (plan!$J$4:$J$52-Indice_Plan_ExtensionPlazo))*($B86 &lt;= (plan!$K$4:$K$52+Indice_Plan_ExtensionPlazo)), "")), "")</f>
        <v/>
      </c>
      <c r="BH86" s="4"/>
    </row>
    <row r="87" spans="2:60" x14ac:dyDescent="0.3">
      <c r="B87" s="6"/>
      <c r="C87" s="10"/>
      <c r="D87" s="48" t="str">
        <f>IF(Tabla_Registro_Tareas3[[#This Row],[Actividad]]=Indice_Aux_Vacio,"",IFERROR(INDEX(plan!$D$4:$D$52,MATCH(Tabla_Registro_Tareas3[[#This Row],[Actividad]],plan!$C$4:$C$52,0)),""))</f>
        <v/>
      </c>
      <c r="E87" s="48" t="str">
        <f>IFERROR(INDEX(plan!$E$4:$E$52,MATCH(Tabla_Registro_Tareas3[[#This Row],[Actividad]],plan!$C$4:$C$52,0)),"")</f>
        <v/>
      </c>
      <c r="F87" s="49" t="str">
        <f>IF(Tabla_Registro_Tareas3[[#This Row],[Actividad]]=Indice_Aux_Vacio,"",Indice_PROBLAM_Estudiante3)</f>
        <v/>
      </c>
      <c r="G87" s="7"/>
      <c r="H87" s="8"/>
      <c r="I87" s="9"/>
      <c r="K87" s="12" t="str" cm="1">
        <f t="array" ref="K87">IF($B87&lt;&gt;"",TRANSPOSE(_xlfn._xlws.FILTER(plan!$C$4:$C$52, ($B87 &gt;= (plan!$J$4:$J$52-Indice_Plan_ExtensionPlazo))*($B87 &lt;= (plan!$K$4:$K$52+Indice_Plan_ExtensionPlazo)), "")), "")</f>
        <v/>
      </c>
      <c r="BH87" s="4"/>
    </row>
    <row r="88" spans="2:60" x14ac:dyDescent="0.3">
      <c r="B88" s="6"/>
      <c r="C88" s="10"/>
      <c r="D88" s="48" t="str">
        <f>IF(Tabla_Registro_Tareas3[[#This Row],[Actividad]]=Indice_Aux_Vacio,"",IFERROR(INDEX(plan!$D$4:$D$52,MATCH(Tabla_Registro_Tareas3[[#This Row],[Actividad]],plan!$C$4:$C$52,0)),""))</f>
        <v/>
      </c>
      <c r="E88" s="48" t="str">
        <f>IFERROR(INDEX(plan!$E$4:$E$52,MATCH(Tabla_Registro_Tareas3[[#This Row],[Actividad]],plan!$C$4:$C$52,0)),"")</f>
        <v/>
      </c>
      <c r="F88" s="49" t="str">
        <f>IF(Tabla_Registro_Tareas3[[#This Row],[Actividad]]=Indice_Aux_Vacio,"",Indice_PROBLAM_Estudiante3)</f>
        <v/>
      </c>
      <c r="G88" s="7"/>
      <c r="H88" s="8"/>
      <c r="I88" s="9"/>
      <c r="K88" s="12" t="str" cm="1">
        <f t="array" ref="K88">IF($B88&lt;&gt;"",TRANSPOSE(_xlfn._xlws.FILTER(plan!$C$4:$C$52, ($B88 &gt;= (plan!$J$4:$J$52-Indice_Plan_ExtensionPlazo))*($B88 &lt;= (plan!$K$4:$K$52+Indice_Plan_ExtensionPlazo)), "")), "")</f>
        <v/>
      </c>
      <c r="BH88" s="4"/>
    </row>
    <row r="89" spans="2:60" x14ac:dyDescent="0.3">
      <c r="B89" s="6"/>
      <c r="C89" s="10"/>
      <c r="D89" s="48" t="str">
        <f>IF(Tabla_Registro_Tareas3[[#This Row],[Actividad]]=Indice_Aux_Vacio,"",IFERROR(INDEX(plan!$D$4:$D$52,MATCH(Tabla_Registro_Tareas3[[#This Row],[Actividad]],plan!$C$4:$C$52,0)),""))</f>
        <v/>
      </c>
      <c r="E89" s="48" t="str">
        <f>IFERROR(INDEX(plan!$E$4:$E$52,MATCH(Tabla_Registro_Tareas3[[#This Row],[Actividad]],plan!$C$4:$C$52,0)),"")</f>
        <v/>
      </c>
      <c r="F89" s="49" t="str">
        <f>IF(Tabla_Registro_Tareas3[[#This Row],[Actividad]]=Indice_Aux_Vacio,"",Indice_PROBLAM_Estudiante3)</f>
        <v/>
      </c>
      <c r="G89" s="7"/>
      <c r="H89" s="8"/>
      <c r="I89" s="9"/>
      <c r="K89" s="12" t="str" cm="1">
        <f t="array" ref="K89">IF($B89&lt;&gt;"",TRANSPOSE(_xlfn._xlws.FILTER(plan!$C$4:$C$52, ($B89 &gt;= (plan!$J$4:$J$52-Indice_Plan_ExtensionPlazo))*($B89 &lt;= (plan!$K$4:$K$52+Indice_Plan_ExtensionPlazo)), "")), "")</f>
        <v/>
      </c>
      <c r="BH89" s="4"/>
    </row>
    <row r="90" spans="2:60" x14ac:dyDescent="0.3">
      <c r="B90" s="6"/>
      <c r="C90" s="10"/>
      <c r="D90" s="48" t="str">
        <f>IF(Tabla_Registro_Tareas3[[#This Row],[Actividad]]=Indice_Aux_Vacio,"",IFERROR(INDEX(plan!$D$4:$D$52,MATCH(Tabla_Registro_Tareas3[[#This Row],[Actividad]],plan!$C$4:$C$52,0)),""))</f>
        <v/>
      </c>
      <c r="E90" s="48" t="str">
        <f>IFERROR(INDEX(plan!$E$4:$E$52,MATCH(Tabla_Registro_Tareas3[[#This Row],[Actividad]],plan!$C$4:$C$52,0)),"")</f>
        <v/>
      </c>
      <c r="F90" s="49" t="str">
        <f>IF(Tabla_Registro_Tareas3[[#This Row],[Actividad]]=Indice_Aux_Vacio,"",Indice_PROBLAM_Estudiante3)</f>
        <v/>
      </c>
      <c r="G90" s="7"/>
      <c r="H90" s="8"/>
      <c r="I90" s="9"/>
      <c r="K90" s="12" t="str" cm="1">
        <f t="array" ref="K90">IF($B90&lt;&gt;"",TRANSPOSE(_xlfn._xlws.FILTER(plan!$C$4:$C$52, ($B90 &gt;= (plan!$J$4:$J$52-Indice_Plan_ExtensionPlazo))*($B90 &lt;= (plan!$K$4:$K$52+Indice_Plan_ExtensionPlazo)), "")), "")</f>
        <v/>
      </c>
      <c r="BH90" s="4"/>
    </row>
    <row r="91" spans="2:60" x14ac:dyDescent="0.3">
      <c r="B91" s="6"/>
      <c r="C91" s="10"/>
      <c r="D91" s="48" t="str">
        <f>IF(Tabla_Registro_Tareas3[[#This Row],[Actividad]]=Indice_Aux_Vacio,"",IFERROR(INDEX(plan!$D$4:$D$52,MATCH(Tabla_Registro_Tareas3[[#This Row],[Actividad]],plan!$C$4:$C$52,0)),""))</f>
        <v/>
      </c>
      <c r="E91" s="48" t="str">
        <f>IFERROR(INDEX(plan!$E$4:$E$52,MATCH(Tabla_Registro_Tareas3[[#This Row],[Actividad]],plan!$C$4:$C$52,0)),"")</f>
        <v/>
      </c>
      <c r="F91" s="49" t="str">
        <f>IF(Tabla_Registro_Tareas3[[#This Row],[Actividad]]=Indice_Aux_Vacio,"",Indice_PROBLAM_Estudiante3)</f>
        <v/>
      </c>
      <c r="G91" s="7"/>
      <c r="H91" s="8"/>
      <c r="I91" s="9"/>
      <c r="K91" s="12" t="str" cm="1">
        <f t="array" ref="K91">IF($B91&lt;&gt;"",TRANSPOSE(_xlfn._xlws.FILTER(plan!$C$4:$C$52, ($B91 &gt;= (plan!$J$4:$J$52-Indice_Plan_ExtensionPlazo))*($B91 &lt;= (plan!$K$4:$K$52+Indice_Plan_ExtensionPlazo)), "")), "")</f>
        <v/>
      </c>
      <c r="BH91" s="4"/>
    </row>
    <row r="92" spans="2:60" x14ac:dyDescent="0.3">
      <c r="B92" s="6"/>
      <c r="C92" s="10"/>
      <c r="D92" s="48" t="str">
        <f>IF(Tabla_Registro_Tareas3[[#This Row],[Actividad]]=Indice_Aux_Vacio,"",IFERROR(INDEX(plan!$D$4:$D$52,MATCH(Tabla_Registro_Tareas3[[#This Row],[Actividad]],plan!$C$4:$C$52,0)),""))</f>
        <v/>
      </c>
      <c r="E92" s="48" t="str">
        <f>IFERROR(INDEX(plan!$E$4:$E$52,MATCH(Tabla_Registro_Tareas3[[#This Row],[Actividad]],plan!$C$4:$C$52,0)),"")</f>
        <v/>
      </c>
      <c r="F92" s="49" t="str">
        <f>IF(Tabla_Registro_Tareas3[[#This Row],[Actividad]]=Indice_Aux_Vacio,"",Indice_PROBLAM_Estudiante3)</f>
        <v/>
      </c>
      <c r="G92" s="7"/>
      <c r="H92" s="8"/>
      <c r="I92" s="9"/>
      <c r="K92" s="12" t="str" cm="1">
        <f t="array" ref="K92">IF($B92&lt;&gt;"",TRANSPOSE(_xlfn._xlws.FILTER(plan!$C$4:$C$52, ($B92 &gt;= (plan!$J$4:$J$52-Indice_Plan_ExtensionPlazo))*($B92 &lt;= (plan!$K$4:$K$52+Indice_Plan_ExtensionPlazo)), "")), "")</f>
        <v/>
      </c>
      <c r="BH92" s="4"/>
    </row>
    <row r="93" spans="2:60" x14ac:dyDescent="0.3">
      <c r="B93" s="6"/>
      <c r="C93" s="10"/>
      <c r="D93" s="48" t="str">
        <f>IF(Tabla_Registro_Tareas3[[#This Row],[Actividad]]=Indice_Aux_Vacio,"",IFERROR(INDEX(plan!$D$4:$D$52,MATCH(Tabla_Registro_Tareas3[[#This Row],[Actividad]],plan!$C$4:$C$52,0)),""))</f>
        <v/>
      </c>
      <c r="E93" s="48" t="str">
        <f>IFERROR(INDEX(plan!$E$4:$E$52,MATCH(Tabla_Registro_Tareas3[[#This Row],[Actividad]],plan!$C$4:$C$52,0)),"")</f>
        <v/>
      </c>
      <c r="F93" s="49" t="str">
        <f>IF(Tabla_Registro_Tareas3[[#This Row],[Actividad]]=Indice_Aux_Vacio,"",Indice_PROBLAM_Estudiante3)</f>
        <v/>
      </c>
      <c r="G93" s="7"/>
      <c r="H93" s="8"/>
      <c r="I93" s="9"/>
      <c r="K93" s="12" t="str" cm="1">
        <f t="array" ref="K93">IF($B93&lt;&gt;"",TRANSPOSE(_xlfn._xlws.FILTER(plan!$C$4:$C$52, ($B93 &gt;= (plan!$J$4:$J$52-Indice_Plan_ExtensionPlazo))*($B93 &lt;= (plan!$K$4:$K$52+Indice_Plan_ExtensionPlazo)), "")), "")</f>
        <v/>
      </c>
      <c r="BH93" s="4"/>
    </row>
    <row r="94" spans="2:60" x14ac:dyDescent="0.3">
      <c r="B94" s="6"/>
      <c r="C94" s="10"/>
      <c r="D94" s="48" t="str">
        <f>IF(Tabla_Registro_Tareas3[[#This Row],[Actividad]]=Indice_Aux_Vacio,"",IFERROR(INDEX(plan!$D$4:$D$52,MATCH(Tabla_Registro_Tareas3[[#This Row],[Actividad]],plan!$C$4:$C$52,0)),""))</f>
        <v/>
      </c>
      <c r="E94" s="48" t="str">
        <f>IFERROR(INDEX(plan!$E$4:$E$52,MATCH(Tabla_Registro_Tareas3[[#This Row],[Actividad]],plan!$C$4:$C$52,0)),"")</f>
        <v/>
      </c>
      <c r="F94" s="49" t="str">
        <f>IF(Tabla_Registro_Tareas3[[#This Row],[Actividad]]=Indice_Aux_Vacio,"",Indice_PROBLAM_Estudiante3)</f>
        <v/>
      </c>
      <c r="G94" s="7"/>
      <c r="H94" s="8"/>
      <c r="I94" s="9"/>
      <c r="K94" s="12" t="str" cm="1">
        <f t="array" ref="K94">IF($B94&lt;&gt;"",TRANSPOSE(_xlfn._xlws.FILTER(plan!$C$4:$C$52, ($B94 &gt;= (plan!$J$4:$J$52-Indice_Plan_ExtensionPlazo))*($B94 &lt;= (plan!$K$4:$K$52+Indice_Plan_ExtensionPlazo)), "")), "")</f>
        <v/>
      </c>
      <c r="BH94" s="4"/>
    </row>
    <row r="95" spans="2:60" x14ac:dyDescent="0.3">
      <c r="B95" s="6"/>
      <c r="C95" s="10"/>
      <c r="D95" s="48" t="str">
        <f>IF(Tabla_Registro_Tareas3[[#This Row],[Actividad]]=Indice_Aux_Vacio,"",IFERROR(INDEX(plan!$D$4:$D$52,MATCH(Tabla_Registro_Tareas3[[#This Row],[Actividad]],plan!$C$4:$C$52,0)),""))</f>
        <v/>
      </c>
      <c r="E95" s="48" t="str">
        <f>IFERROR(INDEX(plan!$E$4:$E$52,MATCH(Tabla_Registro_Tareas3[[#This Row],[Actividad]],plan!$C$4:$C$52,0)),"")</f>
        <v/>
      </c>
      <c r="F95" s="49" t="str">
        <f>IF(Tabla_Registro_Tareas3[[#This Row],[Actividad]]=Indice_Aux_Vacio,"",Indice_PROBLAM_Estudiante3)</f>
        <v/>
      </c>
      <c r="G95" s="7"/>
      <c r="H95" s="8"/>
      <c r="I95" s="9"/>
      <c r="K95" s="12" t="str" cm="1">
        <f t="array" ref="K95">IF($B95&lt;&gt;"",TRANSPOSE(_xlfn._xlws.FILTER(plan!$C$4:$C$52, ($B95 &gt;= (plan!$J$4:$J$52-Indice_Plan_ExtensionPlazo))*($B95 &lt;= (plan!$K$4:$K$52+Indice_Plan_ExtensionPlazo)), "")), "")</f>
        <v/>
      </c>
      <c r="BH95" s="4"/>
    </row>
    <row r="96" spans="2:60" x14ac:dyDescent="0.3">
      <c r="B96" s="6"/>
      <c r="C96" s="10"/>
      <c r="D96" s="48" t="str">
        <f>IF(Tabla_Registro_Tareas3[[#This Row],[Actividad]]=Indice_Aux_Vacio,"",IFERROR(INDEX(plan!$D$4:$D$52,MATCH(Tabla_Registro_Tareas3[[#This Row],[Actividad]],plan!$C$4:$C$52,0)),""))</f>
        <v/>
      </c>
      <c r="E96" s="48" t="str">
        <f>IFERROR(INDEX(plan!$E$4:$E$52,MATCH(Tabla_Registro_Tareas3[[#This Row],[Actividad]],plan!$C$4:$C$52,0)),"")</f>
        <v/>
      </c>
      <c r="F96" s="49" t="str">
        <f>IF(Tabla_Registro_Tareas3[[#This Row],[Actividad]]=Indice_Aux_Vacio,"",Indice_PROBLAM_Estudiante3)</f>
        <v/>
      </c>
      <c r="G96" s="7"/>
      <c r="H96" s="8"/>
      <c r="I96" s="9"/>
      <c r="K96" s="12" t="str" cm="1">
        <f t="array" ref="K96">IF($B96&lt;&gt;"",TRANSPOSE(_xlfn._xlws.FILTER(plan!$C$4:$C$52, ($B96 &gt;= (plan!$J$4:$J$52-Indice_Plan_ExtensionPlazo))*($B96 &lt;= (plan!$K$4:$K$52+Indice_Plan_ExtensionPlazo)), "")), "")</f>
        <v/>
      </c>
      <c r="BH96" s="4"/>
    </row>
    <row r="97" spans="2:60" x14ac:dyDescent="0.3">
      <c r="B97" s="6"/>
      <c r="C97" s="10"/>
      <c r="D97" s="48" t="str">
        <f>IF(Tabla_Registro_Tareas3[[#This Row],[Actividad]]=Indice_Aux_Vacio,"",IFERROR(INDEX(plan!$D$4:$D$52,MATCH(Tabla_Registro_Tareas3[[#This Row],[Actividad]],plan!$C$4:$C$52,0)),""))</f>
        <v/>
      </c>
      <c r="E97" s="48" t="str">
        <f>IFERROR(INDEX(plan!$E$4:$E$52,MATCH(Tabla_Registro_Tareas3[[#This Row],[Actividad]],plan!$C$4:$C$52,0)),"")</f>
        <v/>
      </c>
      <c r="F97" s="49" t="str">
        <f>IF(Tabla_Registro_Tareas3[[#This Row],[Actividad]]=Indice_Aux_Vacio,"",Indice_PROBLAM_Estudiante3)</f>
        <v/>
      </c>
      <c r="G97" s="7"/>
      <c r="H97" s="8"/>
      <c r="I97" s="9"/>
      <c r="K97" s="12" t="str" cm="1">
        <f t="array" ref="K97">IF($B97&lt;&gt;"",TRANSPOSE(_xlfn._xlws.FILTER(plan!$C$4:$C$52, ($B97 &gt;= (plan!$J$4:$J$52-Indice_Plan_ExtensionPlazo))*($B97 &lt;= (plan!$K$4:$K$52+Indice_Plan_ExtensionPlazo)), "")), "")</f>
        <v/>
      </c>
      <c r="BH97" s="4"/>
    </row>
    <row r="98" spans="2:60" x14ac:dyDescent="0.3">
      <c r="B98" s="6"/>
      <c r="C98" s="10"/>
      <c r="D98" s="48" t="str">
        <f>IF(Tabla_Registro_Tareas3[[#This Row],[Actividad]]=Indice_Aux_Vacio,"",IFERROR(INDEX(plan!$D$4:$D$52,MATCH(Tabla_Registro_Tareas3[[#This Row],[Actividad]],plan!$C$4:$C$52,0)),""))</f>
        <v/>
      </c>
      <c r="E98" s="48" t="str">
        <f>IFERROR(INDEX(plan!$E$4:$E$52,MATCH(Tabla_Registro_Tareas3[[#This Row],[Actividad]],plan!$C$4:$C$52,0)),"")</f>
        <v/>
      </c>
      <c r="F98" s="49" t="str">
        <f>IF(Tabla_Registro_Tareas3[[#This Row],[Actividad]]=Indice_Aux_Vacio,"",Indice_PROBLAM_Estudiante3)</f>
        <v/>
      </c>
      <c r="G98" s="7"/>
      <c r="H98" s="8"/>
      <c r="I98" s="9"/>
      <c r="K98" s="12" t="str" cm="1">
        <f t="array" ref="K98">IF($B98&lt;&gt;"",TRANSPOSE(_xlfn._xlws.FILTER(plan!$C$4:$C$52, ($B98 &gt;= (plan!$J$4:$J$52-Indice_Plan_ExtensionPlazo))*($B98 &lt;= (plan!$K$4:$K$52+Indice_Plan_ExtensionPlazo)), "")), "")</f>
        <v/>
      </c>
      <c r="BH98" s="4"/>
    </row>
    <row r="99" spans="2:60" x14ac:dyDescent="0.3">
      <c r="B99" s="6"/>
      <c r="C99" s="10"/>
      <c r="D99" s="48" t="str">
        <f>IF(Tabla_Registro_Tareas3[[#This Row],[Actividad]]=Indice_Aux_Vacio,"",IFERROR(INDEX(plan!$D$4:$D$52,MATCH(Tabla_Registro_Tareas3[[#This Row],[Actividad]],plan!$C$4:$C$52,0)),""))</f>
        <v/>
      </c>
      <c r="E99" s="48" t="str">
        <f>IFERROR(INDEX(plan!$E$4:$E$52,MATCH(Tabla_Registro_Tareas3[[#This Row],[Actividad]],plan!$C$4:$C$52,0)),"")</f>
        <v/>
      </c>
      <c r="F99" s="49" t="str">
        <f>IF(Tabla_Registro_Tareas3[[#This Row],[Actividad]]=Indice_Aux_Vacio,"",Indice_PROBLAM_Estudiante3)</f>
        <v/>
      </c>
      <c r="G99" s="7"/>
      <c r="H99" s="8"/>
      <c r="I99" s="9"/>
      <c r="K99" s="12" t="str" cm="1">
        <f t="array" ref="K99">IF($B99&lt;&gt;"",TRANSPOSE(_xlfn._xlws.FILTER(plan!$C$4:$C$52, ($B99 &gt;= (plan!$J$4:$J$52-Indice_Plan_ExtensionPlazo))*($B99 &lt;= (plan!$K$4:$K$52+Indice_Plan_ExtensionPlazo)), "")), "")</f>
        <v/>
      </c>
      <c r="BH99" s="4"/>
    </row>
    <row r="100" spans="2:60" x14ac:dyDescent="0.3">
      <c r="B100" s="6"/>
      <c r="C100" s="10"/>
      <c r="D100" s="48" t="str">
        <f>IF(Tabla_Registro_Tareas3[[#This Row],[Actividad]]=Indice_Aux_Vacio,"",IFERROR(INDEX(plan!$D$4:$D$52,MATCH(Tabla_Registro_Tareas3[[#This Row],[Actividad]],plan!$C$4:$C$52,0)),""))</f>
        <v/>
      </c>
      <c r="E100" s="48" t="str">
        <f>IFERROR(INDEX(plan!$E$4:$E$52,MATCH(Tabla_Registro_Tareas3[[#This Row],[Actividad]],plan!$C$4:$C$52,0)),"")</f>
        <v/>
      </c>
      <c r="F100" s="49" t="str">
        <f>IF(Tabla_Registro_Tareas3[[#This Row],[Actividad]]=Indice_Aux_Vacio,"",Indice_PROBLAM_Estudiante3)</f>
        <v/>
      </c>
      <c r="G100" s="7"/>
      <c r="H100" s="8"/>
      <c r="I100" s="9"/>
      <c r="K100" s="12" t="str" cm="1">
        <f t="array" ref="K100">IF($B100&lt;&gt;"",TRANSPOSE(_xlfn._xlws.FILTER(plan!$C$4:$C$52, ($B100 &gt;= (plan!$J$4:$J$52-Indice_Plan_ExtensionPlazo))*($B100 &lt;= (plan!$K$4:$K$52+Indice_Plan_ExtensionPlazo)), "")), "")</f>
        <v/>
      </c>
      <c r="BH100" s="4"/>
    </row>
    <row r="101" spans="2:60" x14ac:dyDescent="0.3">
      <c r="B101" s="6"/>
      <c r="C101" s="10"/>
      <c r="D101" s="48" t="str">
        <f>IF(Tabla_Registro_Tareas3[[#This Row],[Actividad]]=Indice_Aux_Vacio,"",IFERROR(INDEX(plan!$D$4:$D$52,MATCH(Tabla_Registro_Tareas3[[#This Row],[Actividad]],plan!$C$4:$C$52,0)),""))</f>
        <v/>
      </c>
      <c r="E101" s="48" t="str">
        <f>IFERROR(INDEX(plan!$E$4:$E$52,MATCH(Tabla_Registro_Tareas3[[#This Row],[Actividad]],plan!$C$4:$C$52,0)),"")</f>
        <v/>
      </c>
      <c r="F101" s="49" t="str">
        <f>IF(Tabla_Registro_Tareas3[[#This Row],[Actividad]]=Indice_Aux_Vacio,"",Indice_PROBLAM_Estudiante3)</f>
        <v/>
      </c>
      <c r="G101" s="7"/>
      <c r="H101" s="8"/>
      <c r="I101" s="9"/>
      <c r="K101" s="12" t="str" cm="1">
        <f t="array" ref="K101">IF($B101&lt;&gt;"",TRANSPOSE(_xlfn._xlws.FILTER(plan!$C$4:$C$52, ($B101 &gt;= (plan!$J$4:$J$52-Indice_Plan_ExtensionPlazo))*($B101 &lt;= (plan!$K$4:$K$52+Indice_Plan_ExtensionPlazo)), "")), "")</f>
        <v/>
      </c>
      <c r="BH101" s="4"/>
    </row>
    <row r="102" spans="2:60" x14ac:dyDescent="0.3">
      <c r="B102" s="6"/>
      <c r="C102" s="10"/>
      <c r="D102" s="48" t="str">
        <f>IF(Tabla_Registro_Tareas3[[#This Row],[Actividad]]=Indice_Aux_Vacio,"",IFERROR(INDEX(plan!$D$4:$D$52,MATCH(Tabla_Registro_Tareas3[[#This Row],[Actividad]],plan!$C$4:$C$52,0)),""))</f>
        <v/>
      </c>
      <c r="E102" s="48" t="str">
        <f>IFERROR(INDEX(plan!$E$4:$E$52,MATCH(Tabla_Registro_Tareas3[[#This Row],[Actividad]],plan!$C$4:$C$52,0)),"")</f>
        <v/>
      </c>
      <c r="F102" s="49" t="str">
        <f>IF(Tabla_Registro_Tareas3[[#This Row],[Actividad]]=Indice_Aux_Vacio,"",Indice_PROBLAM_Estudiante3)</f>
        <v/>
      </c>
      <c r="G102" s="7"/>
      <c r="H102" s="8"/>
      <c r="I102" s="9"/>
      <c r="K102" s="12" t="str" cm="1">
        <f t="array" ref="K102">IF($B102&lt;&gt;"",TRANSPOSE(_xlfn._xlws.FILTER(plan!$C$4:$C$52, ($B102 &gt;= (plan!$J$4:$J$52-Indice_Plan_ExtensionPlazo))*($B102 &lt;= (plan!$K$4:$K$52+Indice_Plan_ExtensionPlazo)), "")), "")</f>
        <v/>
      </c>
      <c r="BH102" s="4"/>
    </row>
    <row r="103" spans="2:60" x14ac:dyDescent="0.3">
      <c r="B103" s="6"/>
      <c r="C103" s="10"/>
      <c r="D103" s="48" t="str">
        <f>IF(Tabla_Registro_Tareas3[[#This Row],[Actividad]]=Indice_Aux_Vacio,"",IFERROR(INDEX(plan!$D$4:$D$52,MATCH(Tabla_Registro_Tareas3[[#This Row],[Actividad]],plan!$C$4:$C$52,0)),""))</f>
        <v/>
      </c>
      <c r="E103" s="48" t="str">
        <f>IFERROR(INDEX(plan!$E$4:$E$52,MATCH(Tabla_Registro_Tareas3[[#This Row],[Actividad]],plan!$C$4:$C$52,0)),"")</f>
        <v/>
      </c>
      <c r="F103" s="49" t="str">
        <f>IF(Tabla_Registro_Tareas3[[#This Row],[Actividad]]=Indice_Aux_Vacio,"",Indice_PROBLAM_Estudiante3)</f>
        <v/>
      </c>
      <c r="G103" s="7"/>
      <c r="H103" s="8"/>
      <c r="I103" s="9"/>
      <c r="K103" s="12" t="str" cm="1">
        <f t="array" ref="K103">IF($B103&lt;&gt;"",TRANSPOSE(_xlfn._xlws.FILTER(plan!$C$4:$C$52, ($B103 &gt;= (plan!$J$4:$J$52-Indice_Plan_ExtensionPlazo))*($B103 &lt;= (plan!$K$4:$K$52+Indice_Plan_ExtensionPlazo)), "")), "")</f>
        <v/>
      </c>
      <c r="BH103" s="4"/>
    </row>
    <row r="104" spans="2:60" x14ac:dyDescent="0.3">
      <c r="B104" s="6"/>
      <c r="C104" s="10"/>
      <c r="D104" s="48" t="str">
        <f>IF(Tabla_Registro_Tareas3[[#This Row],[Actividad]]=Indice_Aux_Vacio,"",IFERROR(INDEX(plan!$D$4:$D$52,MATCH(Tabla_Registro_Tareas3[[#This Row],[Actividad]],plan!$C$4:$C$52,0)),""))</f>
        <v/>
      </c>
      <c r="E104" s="48" t="str">
        <f>IFERROR(INDEX(plan!$E$4:$E$52,MATCH(Tabla_Registro_Tareas3[[#This Row],[Actividad]],plan!$C$4:$C$52,0)),"")</f>
        <v/>
      </c>
      <c r="F104" s="49" t="str">
        <f>IF(Tabla_Registro_Tareas3[[#This Row],[Actividad]]=Indice_Aux_Vacio,"",Indice_PROBLAM_Estudiante3)</f>
        <v/>
      </c>
      <c r="G104" s="7"/>
      <c r="H104" s="8"/>
      <c r="I104" s="9"/>
      <c r="K104" s="12" t="str" cm="1">
        <f t="array" ref="K104">IF($B104&lt;&gt;"",TRANSPOSE(_xlfn._xlws.FILTER(plan!$C$4:$C$52, ($B104 &gt;= (plan!$J$4:$J$52-Indice_Plan_ExtensionPlazo))*($B104 &lt;= (plan!$K$4:$K$52+Indice_Plan_ExtensionPlazo)), "")), "")</f>
        <v/>
      </c>
      <c r="BH104" s="4"/>
    </row>
    <row r="105" spans="2:60" x14ac:dyDescent="0.3">
      <c r="B105" s="6"/>
      <c r="C105" s="10"/>
      <c r="D105" s="48" t="str">
        <f>IF(Tabla_Registro_Tareas3[[#This Row],[Actividad]]=Indice_Aux_Vacio,"",IFERROR(INDEX(plan!$D$4:$D$52,MATCH(Tabla_Registro_Tareas3[[#This Row],[Actividad]],plan!$C$4:$C$52,0)),""))</f>
        <v/>
      </c>
      <c r="E105" s="48" t="str">
        <f>IFERROR(INDEX(plan!$E$4:$E$52,MATCH(Tabla_Registro_Tareas3[[#This Row],[Actividad]],plan!$C$4:$C$52,0)),"")</f>
        <v/>
      </c>
      <c r="F105" s="49" t="str">
        <f>IF(Tabla_Registro_Tareas3[[#This Row],[Actividad]]=Indice_Aux_Vacio,"",Indice_PROBLAM_Estudiante3)</f>
        <v/>
      </c>
      <c r="G105" s="7"/>
      <c r="H105" s="8"/>
      <c r="I105" s="9"/>
      <c r="K105" s="12" t="str" cm="1">
        <f t="array" ref="K105">IF($B105&lt;&gt;"",TRANSPOSE(_xlfn._xlws.FILTER(plan!$C$4:$C$52, ($B105 &gt;= (plan!$J$4:$J$52-Indice_Plan_ExtensionPlazo))*($B105 &lt;= (plan!$K$4:$K$52+Indice_Plan_ExtensionPlazo)), "")), "")</f>
        <v/>
      </c>
      <c r="BH105" s="4"/>
    </row>
    <row r="106" spans="2:60" x14ac:dyDescent="0.3">
      <c r="B106" s="6"/>
      <c r="C106" s="10"/>
      <c r="D106" s="48" t="str">
        <f>IF(Tabla_Registro_Tareas3[[#This Row],[Actividad]]=Indice_Aux_Vacio,"",IFERROR(INDEX(plan!$D$4:$D$52,MATCH(Tabla_Registro_Tareas3[[#This Row],[Actividad]],plan!$C$4:$C$52,0)),""))</f>
        <v/>
      </c>
      <c r="E106" s="48" t="str">
        <f>IFERROR(INDEX(plan!$E$4:$E$52,MATCH(Tabla_Registro_Tareas3[[#This Row],[Actividad]],plan!$C$4:$C$52,0)),"")</f>
        <v/>
      </c>
      <c r="F106" s="49" t="str">
        <f>IF(Tabla_Registro_Tareas3[[#This Row],[Actividad]]=Indice_Aux_Vacio,"",Indice_PROBLAM_Estudiante3)</f>
        <v/>
      </c>
      <c r="G106" s="7"/>
      <c r="H106" s="8"/>
      <c r="I106" s="9"/>
      <c r="K106" s="12" t="str" cm="1">
        <f t="array" ref="K106">IF($B106&lt;&gt;"",TRANSPOSE(_xlfn._xlws.FILTER(plan!$C$4:$C$52, ($B106 &gt;= (plan!$J$4:$J$52-Indice_Plan_ExtensionPlazo))*($B106 &lt;= (plan!$K$4:$K$52+Indice_Plan_ExtensionPlazo)), "")), "")</f>
        <v/>
      </c>
      <c r="BH106" s="4"/>
    </row>
    <row r="107" spans="2:60" x14ac:dyDescent="0.3">
      <c r="B107" s="6"/>
      <c r="C107" s="10"/>
      <c r="D107" s="48" t="str">
        <f>IF(Tabla_Registro_Tareas3[[#This Row],[Actividad]]=Indice_Aux_Vacio,"",IFERROR(INDEX(plan!$D$4:$D$52,MATCH(Tabla_Registro_Tareas3[[#This Row],[Actividad]],plan!$C$4:$C$52,0)),""))</f>
        <v/>
      </c>
      <c r="E107" s="48" t="str">
        <f>IFERROR(INDEX(plan!$E$4:$E$52,MATCH(Tabla_Registro_Tareas3[[#This Row],[Actividad]],plan!$C$4:$C$52,0)),"")</f>
        <v/>
      </c>
      <c r="F107" s="49" t="str">
        <f>IF(Tabla_Registro_Tareas3[[#This Row],[Actividad]]=Indice_Aux_Vacio,"",Indice_PROBLAM_Estudiante3)</f>
        <v/>
      </c>
      <c r="G107" s="7"/>
      <c r="H107" s="8"/>
      <c r="I107" s="9"/>
      <c r="K107" s="12" t="str" cm="1">
        <f t="array" ref="K107">IF($B107&lt;&gt;"",TRANSPOSE(_xlfn._xlws.FILTER(plan!$C$4:$C$52, ($B107 &gt;= (plan!$J$4:$J$52-Indice_Plan_ExtensionPlazo))*($B107 &lt;= (plan!$K$4:$K$52+Indice_Plan_ExtensionPlazo)), "")), "")</f>
        <v/>
      </c>
      <c r="BH107" s="4"/>
    </row>
    <row r="108" spans="2:60" x14ac:dyDescent="0.3">
      <c r="B108" s="6"/>
      <c r="C108" s="10"/>
      <c r="D108" s="48" t="str">
        <f>IF(Tabla_Registro_Tareas3[[#This Row],[Actividad]]=Indice_Aux_Vacio,"",IFERROR(INDEX(plan!$D$4:$D$52,MATCH(Tabla_Registro_Tareas3[[#This Row],[Actividad]],plan!$C$4:$C$52,0)),""))</f>
        <v/>
      </c>
      <c r="E108" s="48" t="str">
        <f>IFERROR(INDEX(plan!$E$4:$E$52,MATCH(Tabla_Registro_Tareas3[[#This Row],[Actividad]],plan!$C$4:$C$52,0)),"")</f>
        <v/>
      </c>
      <c r="F108" s="49" t="str">
        <f>IF(Tabla_Registro_Tareas3[[#This Row],[Actividad]]=Indice_Aux_Vacio,"",Indice_PROBLAM_Estudiante3)</f>
        <v/>
      </c>
      <c r="G108" s="7"/>
      <c r="H108" s="8"/>
      <c r="I108" s="9"/>
      <c r="K108" s="12" t="str" cm="1">
        <f t="array" ref="K108">IF($B108&lt;&gt;"",TRANSPOSE(_xlfn._xlws.FILTER(plan!$C$4:$C$52, ($B108 &gt;= (plan!$J$4:$J$52-Indice_Plan_ExtensionPlazo))*($B108 &lt;= (plan!$K$4:$K$52+Indice_Plan_ExtensionPlazo)), "")), "")</f>
        <v/>
      </c>
      <c r="BH108" s="4"/>
    </row>
    <row r="109" spans="2:60" x14ac:dyDescent="0.3">
      <c r="B109" s="6"/>
      <c r="C109" s="10"/>
      <c r="D109" s="48" t="str">
        <f>IF(Tabla_Registro_Tareas3[[#This Row],[Actividad]]=Indice_Aux_Vacio,"",IFERROR(INDEX(plan!$D$4:$D$52,MATCH(Tabla_Registro_Tareas3[[#This Row],[Actividad]],plan!$C$4:$C$52,0)),""))</f>
        <v/>
      </c>
      <c r="E109" s="48" t="str">
        <f>IFERROR(INDEX(plan!$E$4:$E$52,MATCH(Tabla_Registro_Tareas3[[#This Row],[Actividad]],plan!$C$4:$C$52,0)),"")</f>
        <v/>
      </c>
      <c r="F109" s="49" t="str">
        <f>IF(Tabla_Registro_Tareas3[[#This Row],[Actividad]]=Indice_Aux_Vacio,"",Indice_PROBLAM_Estudiante3)</f>
        <v/>
      </c>
      <c r="G109" s="7"/>
      <c r="H109" s="8"/>
      <c r="I109" s="9"/>
      <c r="K109" s="12" t="str" cm="1">
        <f t="array" ref="K109">IF($B109&lt;&gt;"",TRANSPOSE(_xlfn._xlws.FILTER(plan!$C$4:$C$52, ($B109 &gt;= (plan!$J$4:$J$52-Indice_Plan_ExtensionPlazo))*($B109 &lt;= (plan!$K$4:$K$52+Indice_Plan_ExtensionPlazo)), "")), "")</f>
        <v/>
      </c>
      <c r="BH109" s="4"/>
    </row>
    <row r="110" spans="2:60" x14ac:dyDescent="0.3">
      <c r="B110" s="6"/>
      <c r="C110" s="10"/>
      <c r="D110" s="48" t="str">
        <f>IF(Tabla_Registro_Tareas3[[#This Row],[Actividad]]=Indice_Aux_Vacio,"",IFERROR(INDEX(plan!$D$4:$D$52,MATCH(Tabla_Registro_Tareas3[[#This Row],[Actividad]],plan!$C$4:$C$52,0)),""))</f>
        <v/>
      </c>
      <c r="E110" s="48" t="str">
        <f>IFERROR(INDEX(plan!$E$4:$E$52,MATCH(Tabla_Registro_Tareas3[[#This Row],[Actividad]],plan!$C$4:$C$52,0)),"")</f>
        <v/>
      </c>
      <c r="F110" s="49" t="str">
        <f>IF(Tabla_Registro_Tareas3[[#This Row],[Actividad]]=Indice_Aux_Vacio,"",Indice_PROBLAM_Estudiante3)</f>
        <v/>
      </c>
      <c r="G110" s="7"/>
      <c r="H110" s="8"/>
      <c r="I110" s="9"/>
      <c r="K110" s="12" t="str" cm="1">
        <f t="array" ref="K110">IF($B110&lt;&gt;"",TRANSPOSE(_xlfn._xlws.FILTER(plan!$C$4:$C$52, ($B110 &gt;= (plan!$J$4:$J$52-Indice_Plan_ExtensionPlazo))*($B110 &lt;= (plan!$K$4:$K$52+Indice_Plan_ExtensionPlazo)), "")), "")</f>
        <v/>
      </c>
      <c r="BH110" s="4"/>
    </row>
    <row r="111" spans="2:60" x14ac:dyDescent="0.3">
      <c r="B111" s="6"/>
      <c r="C111" s="10"/>
      <c r="D111" s="48" t="str">
        <f>IF(Tabla_Registro_Tareas3[[#This Row],[Actividad]]=Indice_Aux_Vacio,"",IFERROR(INDEX(plan!$D$4:$D$52,MATCH(Tabla_Registro_Tareas3[[#This Row],[Actividad]],plan!$C$4:$C$52,0)),""))</f>
        <v/>
      </c>
      <c r="E111" s="48" t="str">
        <f>IFERROR(INDEX(plan!$E$4:$E$52,MATCH(Tabla_Registro_Tareas3[[#This Row],[Actividad]],plan!$C$4:$C$52,0)),"")</f>
        <v/>
      </c>
      <c r="F111" s="49" t="str">
        <f>IF(Tabla_Registro_Tareas3[[#This Row],[Actividad]]=Indice_Aux_Vacio,"",Indice_PROBLAM_Estudiante3)</f>
        <v/>
      </c>
      <c r="G111" s="7"/>
      <c r="H111" s="8"/>
      <c r="I111" s="9"/>
      <c r="K111" s="12" t="str" cm="1">
        <f t="array" ref="K111">IF($B111&lt;&gt;"",TRANSPOSE(_xlfn._xlws.FILTER(plan!$C$4:$C$52, ($B111 &gt;= (plan!$J$4:$J$52-Indice_Plan_ExtensionPlazo))*($B111 &lt;= (plan!$K$4:$K$52+Indice_Plan_ExtensionPlazo)), "")), "")</f>
        <v/>
      </c>
      <c r="BH111" s="4"/>
    </row>
    <row r="112" spans="2:60" x14ac:dyDescent="0.3">
      <c r="B112" s="6"/>
      <c r="C112" s="10"/>
      <c r="D112" s="48" t="str">
        <f>IF(Tabla_Registro_Tareas3[[#This Row],[Actividad]]=Indice_Aux_Vacio,"",IFERROR(INDEX(plan!$D$4:$D$52,MATCH(Tabla_Registro_Tareas3[[#This Row],[Actividad]],plan!$C$4:$C$52,0)),""))</f>
        <v/>
      </c>
      <c r="E112" s="48" t="str">
        <f>IFERROR(INDEX(plan!$E$4:$E$52,MATCH(Tabla_Registro_Tareas3[[#This Row],[Actividad]],plan!$C$4:$C$52,0)),"")</f>
        <v/>
      </c>
      <c r="F112" s="49" t="str">
        <f>IF(Tabla_Registro_Tareas3[[#This Row],[Actividad]]=Indice_Aux_Vacio,"",Indice_PROBLAM_Estudiante3)</f>
        <v/>
      </c>
      <c r="G112" s="7"/>
      <c r="H112" s="8"/>
      <c r="I112" s="9"/>
      <c r="K112" s="12" t="str" cm="1">
        <f t="array" ref="K112">IF($B112&lt;&gt;"",TRANSPOSE(_xlfn._xlws.FILTER(plan!$C$4:$C$52, ($B112 &gt;= (plan!$J$4:$J$52-Indice_Plan_ExtensionPlazo))*($B112 &lt;= (plan!$K$4:$K$52+Indice_Plan_ExtensionPlazo)), "")), "")</f>
        <v/>
      </c>
      <c r="BH112" s="4"/>
    </row>
    <row r="113" spans="2:60" x14ac:dyDescent="0.3">
      <c r="B113" s="6"/>
      <c r="C113" s="10"/>
      <c r="D113" s="48" t="str">
        <f>IF(Tabla_Registro_Tareas3[[#This Row],[Actividad]]=Indice_Aux_Vacio,"",IFERROR(INDEX(plan!$D$4:$D$52,MATCH(Tabla_Registro_Tareas3[[#This Row],[Actividad]],plan!$C$4:$C$52,0)),""))</f>
        <v/>
      </c>
      <c r="E113" s="48" t="str">
        <f>IFERROR(INDEX(plan!$E$4:$E$52,MATCH(Tabla_Registro_Tareas3[[#This Row],[Actividad]],plan!$C$4:$C$52,0)),"")</f>
        <v/>
      </c>
      <c r="F113" s="49" t="str">
        <f>IF(Tabla_Registro_Tareas3[[#This Row],[Actividad]]=Indice_Aux_Vacio,"",Indice_PROBLAM_Estudiante3)</f>
        <v/>
      </c>
      <c r="G113" s="7"/>
      <c r="H113" s="8"/>
      <c r="I113" s="9"/>
      <c r="K113" s="12" t="str" cm="1">
        <f t="array" ref="K113">IF($B113&lt;&gt;"",TRANSPOSE(_xlfn._xlws.FILTER(plan!$C$4:$C$52, ($B113 &gt;= (plan!$J$4:$J$52-Indice_Plan_ExtensionPlazo))*($B113 &lt;= (plan!$K$4:$K$52+Indice_Plan_ExtensionPlazo)), "")), "")</f>
        <v/>
      </c>
      <c r="BH113" s="4"/>
    </row>
    <row r="114" spans="2:60" x14ac:dyDescent="0.3">
      <c r="B114" s="6"/>
      <c r="C114" s="10"/>
      <c r="D114" s="48" t="str">
        <f>IF(Tabla_Registro_Tareas3[[#This Row],[Actividad]]=Indice_Aux_Vacio,"",IFERROR(INDEX(plan!$D$4:$D$52,MATCH(Tabla_Registro_Tareas3[[#This Row],[Actividad]],plan!$C$4:$C$52,0)),""))</f>
        <v/>
      </c>
      <c r="E114" s="48" t="str">
        <f>IFERROR(INDEX(plan!$E$4:$E$52,MATCH(Tabla_Registro_Tareas3[[#This Row],[Actividad]],plan!$C$4:$C$52,0)),"")</f>
        <v/>
      </c>
      <c r="F114" s="49" t="str">
        <f>IF(Tabla_Registro_Tareas3[[#This Row],[Actividad]]=Indice_Aux_Vacio,"",Indice_PROBLAM_Estudiante3)</f>
        <v/>
      </c>
      <c r="G114" s="7"/>
      <c r="H114" s="8"/>
      <c r="I114" s="9"/>
      <c r="K114" s="12" t="str" cm="1">
        <f t="array" ref="K114">IF($B114&lt;&gt;"",TRANSPOSE(_xlfn._xlws.FILTER(plan!$C$4:$C$52, ($B114 &gt;= (plan!$J$4:$J$52-Indice_Plan_ExtensionPlazo))*($B114 &lt;= (plan!$K$4:$K$52+Indice_Plan_ExtensionPlazo)), "")), "")</f>
        <v/>
      </c>
      <c r="BH114" s="4"/>
    </row>
    <row r="115" spans="2:60" x14ac:dyDescent="0.3">
      <c r="B115" s="6"/>
      <c r="C115" s="10"/>
      <c r="D115" s="48" t="str">
        <f>IF(Tabla_Registro_Tareas3[[#This Row],[Actividad]]=Indice_Aux_Vacio,"",IFERROR(INDEX(plan!$D$4:$D$52,MATCH(Tabla_Registro_Tareas3[[#This Row],[Actividad]],plan!$C$4:$C$52,0)),""))</f>
        <v/>
      </c>
      <c r="E115" s="48" t="str">
        <f>IFERROR(INDEX(plan!$E$4:$E$52,MATCH(Tabla_Registro_Tareas3[[#This Row],[Actividad]],plan!$C$4:$C$52,0)),"")</f>
        <v/>
      </c>
      <c r="F115" s="49" t="str">
        <f>IF(Tabla_Registro_Tareas3[[#This Row],[Actividad]]=Indice_Aux_Vacio,"",Indice_PROBLAM_Estudiante3)</f>
        <v/>
      </c>
      <c r="G115" s="7"/>
      <c r="H115" s="8"/>
      <c r="I115" s="9"/>
      <c r="K115" s="12" t="str" cm="1">
        <f t="array" ref="K115">IF($B115&lt;&gt;"",TRANSPOSE(_xlfn._xlws.FILTER(plan!$C$4:$C$52, ($B115 &gt;= (plan!$J$4:$J$52-Indice_Plan_ExtensionPlazo))*($B115 &lt;= (plan!$K$4:$K$52+Indice_Plan_ExtensionPlazo)), "")), "")</f>
        <v/>
      </c>
      <c r="BH115" s="4"/>
    </row>
    <row r="116" spans="2:60" x14ac:dyDescent="0.3">
      <c r="B116" s="6"/>
      <c r="C116" s="10"/>
      <c r="D116" s="48" t="str">
        <f>IF(Tabla_Registro_Tareas3[[#This Row],[Actividad]]=Indice_Aux_Vacio,"",IFERROR(INDEX(plan!$D$4:$D$52,MATCH(Tabla_Registro_Tareas3[[#This Row],[Actividad]],plan!$C$4:$C$52,0)),""))</f>
        <v/>
      </c>
      <c r="E116" s="48" t="str">
        <f>IFERROR(INDEX(plan!$E$4:$E$52,MATCH(Tabla_Registro_Tareas3[[#This Row],[Actividad]],plan!$C$4:$C$52,0)),"")</f>
        <v/>
      </c>
      <c r="F116" s="49" t="str">
        <f>IF(Tabla_Registro_Tareas3[[#This Row],[Actividad]]=Indice_Aux_Vacio,"",Indice_PROBLAM_Estudiante3)</f>
        <v/>
      </c>
      <c r="G116" s="7"/>
      <c r="H116" s="8"/>
      <c r="I116" s="9"/>
      <c r="K116" s="12" t="str" cm="1">
        <f t="array" ref="K116">IF($B116&lt;&gt;"",TRANSPOSE(_xlfn._xlws.FILTER(plan!$C$4:$C$52, ($B116 &gt;= (plan!$J$4:$J$52-Indice_Plan_ExtensionPlazo))*($B116 &lt;= (plan!$K$4:$K$52+Indice_Plan_ExtensionPlazo)), "")), "")</f>
        <v/>
      </c>
      <c r="BH116" s="4"/>
    </row>
    <row r="117" spans="2:60" x14ac:dyDescent="0.3">
      <c r="B117" s="6"/>
      <c r="C117" s="10"/>
      <c r="D117" s="48" t="str">
        <f>IF(Tabla_Registro_Tareas3[[#This Row],[Actividad]]=Indice_Aux_Vacio,"",IFERROR(INDEX(plan!$D$4:$D$52,MATCH(Tabla_Registro_Tareas3[[#This Row],[Actividad]],plan!$C$4:$C$52,0)),""))</f>
        <v/>
      </c>
      <c r="E117" s="48" t="str">
        <f>IFERROR(INDEX(plan!$E$4:$E$52,MATCH(Tabla_Registro_Tareas3[[#This Row],[Actividad]],plan!$C$4:$C$52,0)),"")</f>
        <v/>
      </c>
      <c r="F117" s="49" t="str">
        <f>IF(Tabla_Registro_Tareas3[[#This Row],[Actividad]]=Indice_Aux_Vacio,"",Indice_PROBLAM_Estudiante3)</f>
        <v/>
      </c>
      <c r="G117" s="7"/>
      <c r="H117" s="8"/>
      <c r="I117" s="9"/>
      <c r="K117" s="12" t="str" cm="1">
        <f t="array" ref="K117">IF($B117&lt;&gt;"",TRANSPOSE(_xlfn._xlws.FILTER(plan!$C$4:$C$52, ($B117 &gt;= (plan!$J$4:$J$52-Indice_Plan_ExtensionPlazo))*($B117 &lt;= (plan!$K$4:$K$52+Indice_Plan_ExtensionPlazo)), "")), "")</f>
        <v/>
      </c>
      <c r="BH117" s="4"/>
    </row>
    <row r="118" spans="2:60" x14ac:dyDescent="0.3">
      <c r="B118" s="6"/>
      <c r="C118" s="10"/>
      <c r="D118" s="48" t="str">
        <f>IF(Tabla_Registro_Tareas3[[#This Row],[Actividad]]=Indice_Aux_Vacio,"",IFERROR(INDEX(plan!$D$4:$D$52,MATCH(Tabla_Registro_Tareas3[[#This Row],[Actividad]],plan!$C$4:$C$52,0)),""))</f>
        <v/>
      </c>
      <c r="E118" s="48" t="str">
        <f>IFERROR(INDEX(plan!$E$4:$E$52,MATCH(Tabla_Registro_Tareas3[[#This Row],[Actividad]],plan!$C$4:$C$52,0)),"")</f>
        <v/>
      </c>
      <c r="F118" s="49" t="str">
        <f>IF(Tabla_Registro_Tareas3[[#This Row],[Actividad]]=Indice_Aux_Vacio,"",Indice_PROBLAM_Estudiante3)</f>
        <v/>
      </c>
      <c r="G118" s="7"/>
      <c r="H118" s="8"/>
      <c r="I118" s="9"/>
      <c r="K118" s="12" t="str" cm="1">
        <f t="array" ref="K118">IF($B118&lt;&gt;"",TRANSPOSE(_xlfn._xlws.FILTER(plan!$C$4:$C$52, ($B118 &gt;= (plan!$J$4:$J$52-Indice_Plan_ExtensionPlazo))*($B118 &lt;= (plan!$K$4:$K$52+Indice_Plan_ExtensionPlazo)), "")), "")</f>
        <v/>
      </c>
      <c r="BH118" s="4"/>
    </row>
    <row r="119" spans="2:60" x14ac:dyDescent="0.3">
      <c r="B119" s="6"/>
      <c r="C119" s="10"/>
      <c r="D119" s="48" t="str">
        <f>IF(Tabla_Registro_Tareas3[[#This Row],[Actividad]]=Indice_Aux_Vacio,"",IFERROR(INDEX(plan!$D$4:$D$52,MATCH(Tabla_Registro_Tareas3[[#This Row],[Actividad]],plan!$C$4:$C$52,0)),""))</f>
        <v/>
      </c>
      <c r="E119" s="48" t="str">
        <f>IFERROR(INDEX(plan!$E$4:$E$52,MATCH(Tabla_Registro_Tareas3[[#This Row],[Actividad]],plan!$C$4:$C$52,0)),"")</f>
        <v/>
      </c>
      <c r="F119" s="49" t="str">
        <f>IF(Tabla_Registro_Tareas3[[#This Row],[Actividad]]=Indice_Aux_Vacio,"",Indice_PROBLAM_Estudiante3)</f>
        <v/>
      </c>
      <c r="G119" s="7"/>
      <c r="H119" s="8"/>
      <c r="I119" s="9"/>
      <c r="K119" s="12" t="str" cm="1">
        <f t="array" ref="K119">IF($B119&lt;&gt;"",TRANSPOSE(_xlfn._xlws.FILTER(plan!$C$4:$C$52, ($B119 &gt;= (plan!$J$4:$J$52-Indice_Plan_ExtensionPlazo))*($B119 &lt;= (plan!$K$4:$K$52+Indice_Plan_ExtensionPlazo)), "")), "")</f>
        <v/>
      </c>
      <c r="BH119" s="4"/>
    </row>
    <row r="120" spans="2:60" x14ac:dyDescent="0.3">
      <c r="B120" s="6"/>
      <c r="C120" s="10"/>
      <c r="D120" s="48" t="str">
        <f>IF(Tabla_Registro_Tareas3[[#This Row],[Actividad]]=Indice_Aux_Vacio,"",IFERROR(INDEX(plan!$D$4:$D$52,MATCH(Tabla_Registro_Tareas3[[#This Row],[Actividad]],plan!$C$4:$C$52,0)),""))</f>
        <v/>
      </c>
      <c r="E120" s="48" t="str">
        <f>IFERROR(INDEX(plan!$E$4:$E$52,MATCH(Tabla_Registro_Tareas3[[#This Row],[Actividad]],plan!$C$4:$C$52,0)),"")</f>
        <v/>
      </c>
      <c r="F120" s="49" t="str">
        <f>IF(Tabla_Registro_Tareas3[[#This Row],[Actividad]]=Indice_Aux_Vacio,"",Indice_PROBLAM_Estudiante3)</f>
        <v/>
      </c>
      <c r="G120" s="7"/>
      <c r="H120" s="8"/>
      <c r="I120" s="9"/>
      <c r="K120" s="12" t="str" cm="1">
        <f t="array" ref="K120">IF($B120&lt;&gt;"",TRANSPOSE(_xlfn._xlws.FILTER(plan!$C$4:$C$52, ($B120 &gt;= (plan!$J$4:$J$52-Indice_Plan_ExtensionPlazo))*($B120 &lt;= (plan!$K$4:$K$52+Indice_Plan_ExtensionPlazo)), "")), "")</f>
        <v/>
      </c>
      <c r="BH120" s="4"/>
    </row>
    <row r="121" spans="2:60" x14ac:dyDescent="0.3">
      <c r="B121" s="6"/>
      <c r="C121" s="10"/>
      <c r="D121" s="48" t="str">
        <f>IF(Tabla_Registro_Tareas3[[#This Row],[Actividad]]=Indice_Aux_Vacio,"",IFERROR(INDEX(plan!$D$4:$D$52,MATCH(Tabla_Registro_Tareas3[[#This Row],[Actividad]],plan!$C$4:$C$52,0)),""))</f>
        <v/>
      </c>
      <c r="E121" s="48" t="str">
        <f>IFERROR(INDEX(plan!$E$4:$E$52,MATCH(Tabla_Registro_Tareas3[[#This Row],[Actividad]],plan!$C$4:$C$52,0)),"")</f>
        <v/>
      </c>
      <c r="F121" s="49" t="str">
        <f>IF(Tabla_Registro_Tareas3[[#This Row],[Actividad]]=Indice_Aux_Vacio,"",Indice_PROBLAM_Estudiante3)</f>
        <v/>
      </c>
      <c r="G121" s="7"/>
      <c r="H121" s="8"/>
      <c r="I121" s="9"/>
      <c r="K121" s="12" t="str" cm="1">
        <f t="array" ref="K121">IF($B121&lt;&gt;"",TRANSPOSE(_xlfn._xlws.FILTER(plan!$C$4:$C$52, ($B121 &gt;= (plan!$J$4:$J$52-Indice_Plan_ExtensionPlazo))*($B121 &lt;= (plan!$K$4:$K$52+Indice_Plan_ExtensionPlazo)), "")), "")</f>
        <v/>
      </c>
      <c r="BH121" s="4"/>
    </row>
    <row r="122" spans="2:60" x14ac:dyDescent="0.3">
      <c r="B122" s="6"/>
      <c r="C122" s="10"/>
      <c r="D122" s="48" t="str">
        <f>IF(Tabla_Registro_Tareas3[[#This Row],[Actividad]]=Indice_Aux_Vacio,"",IFERROR(INDEX(plan!$D$4:$D$52,MATCH(Tabla_Registro_Tareas3[[#This Row],[Actividad]],plan!$C$4:$C$52,0)),""))</f>
        <v/>
      </c>
      <c r="E122" s="48" t="str">
        <f>IFERROR(INDEX(plan!$E$4:$E$52,MATCH(Tabla_Registro_Tareas3[[#This Row],[Actividad]],plan!$C$4:$C$52,0)),"")</f>
        <v/>
      </c>
      <c r="F122" s="49" t="str">
        <f>IF(Tabla_Registro_Tareas3[[#This Row],[Actividad]]=Indice_Aux_Vacio,"",Indice_PROBLAM_Estudiante3)</f>
        <v/>
      </c>
      <c r="G122" s="7"/>
      <c r="H122" s="8"/>
      <c r="I122" s="9"/>
      <c r="K122" s="12" t="str" cm="1">
        <f t="array" ref="K122">IF($B122&lt;&gt;"",TRANSPOSE(_xlfn._xlws.FILTER(plan!$C$4:$C$52, ($B122 &gt;= (plan!$J$4:$J$52-Indice_Plan_ExtensionPlazo))*($B122 &lt;= (plan!$K$4:$K$52+Indice_Plan_ExtensionPlazo)), "")), "")</f>
        <v/>
      </c>
      <c r="BH122" s="4"/>
    </row>
    <row r="123" spans="2:60" x14ac:dyDescent="0.3">
      <c r="B123" s="6"/>
      <c r="C123" s="10"/>
      <c r="D123" s="48" t="str">
        <f>IF(Tabla_Registro_Tareas3[[#This Row],[Actividad]]=Indice_Aux_Vacio,"",IFERROR(INDEX(plan!$D$4:$D$52,MATCH(Tabla_Registro_Tareas3[[#This Row],[Actividad]],plan!$C$4:$C$52,0)),""))</f>
        <v/>
      </c>
      <c r="E123" s="48" t="str">
        <f>IFERROR(INDEX(plan!$E$4:$E$52,MATCH(Tabla_Registro_Tareas3[[#This Row],[Actividad]],plan!$C$4:$C$52,0)),"")</f>
        <v/>
      </c>
      <c r="F123" s="49" t="str">
        <f>IF(Tabla_Registro_Tareas3[[#This Row],[Actividad]]=Indice_Aux_Vacio,"",Indice_PROBLAM_Estudiante3)</f>
        <v/>
      </c>
      <c r="G123" s="7"/>
      <c r="H123" s="8"/>
      <c r="I123" s="9"/>
      <c r="K123" s="12" t="str" cm="1">
        <f t="array" ref="K123">IF($B123&lt;&gt;"",TRANSPOSE(_xlfn._xlws.FILTER(plan!$C$4:$C$52, ($B123 &gt;= (plan!$J$4:$J$52-Indice_Plan_ExtensionPlazo))*($B123 &lt;= (plan!$K$4:$K$52+Indice_Plan_ExtensionPlazo)), "")), "")</f>
        <v/>
      </c>
      <c r="BH123" s="4"/>
    </row>
    <row r="124" spans="2:60" x14ac:dyDescent="0.3">
      <c r="B124" s="6"/>
      <c r="C124" s="10"/>
      <c r="D124" s="48" t="str">
        <f>IF(Tabla_Registro_Tareas3[[#This Row],[Actividad]]=Indice_Aux_Vacio,"",IFERROR(INDEX(plan!$D$4:$D$52,MATCH(Tabla_Registro_Tareas3[[#This Row],[Actividad]],plan!$C$4:$C$52,0)),""))</f>
        <v/>
      </c>
      <c r="E124" s="48" t="str">
        <f>IFERROR(INDEX(plan!$E$4:$E$52,MATCH(Tabla_Registro_Tareas3[[#This Row],[Actividad]],plan!$C$4:$C$52,0)),"")</f>
        <v/>
      </c>
      <c r="F124" s="49" t="str">
        <f>IF(Tabla_Registro_Tareas3[[#This Row],[Actividad]]=Indice_Aux_Vacio,"",Indice_PROBLAM_Estudiante3)</f>
        <v/>
      </c>
      <c r="G124" s="7"/>
      <c r="H124" s="8"/>
      <c r="I124" s="9"/>
      <c r="K124" s="12" t="str" cm="1">
        <f t="array" ref="K124">IF($B124&lt;&gt;"",TRANSPOSE(_xlfn._xlws.FILTER(plan!$C$4:$C$52, ($B124 &gt;= (plan!$J$4:$J$52-Indice_Plan_ExtensionPlazo))*($B124 &lt;= (plan!$K$4:$K$52+Indice_Plan_ExtensionPlazo)), "")), "")</f>
        <v/>
      </c>
      <c r="BH124" s="4"/>
    </row>
    <row r="125" spans="2:60" x14ac:dyDescent="0.3">
      <c r="B125" s="6"/>
      <c r="C125" s="10"/>
      <c r="D125" s="48" t="str">
        <f>IF(Tabla_Registro_Tareas3[[#This Row],[Actividad]]=Indice_Aux_Vacio,"",IFERROR(INDEX(plan!$D$4:$D$52,MATCH(Tabla_Registro_Tareas3[[#This Row],[Actividad]],plan!$C$4:$C$52,0)),""))</f>
        <v/>
      </c>
      <c r="E125" s="48" t="str">
        <f>IFERROR(INDEX(plan!$E$4:$E$52,MATCH(Tabla_Registro_Tareas3[[#This Row],[Actividad]],plan!$C$4:$C$52,0)),"")</f>
        <v/>
      </c>
      <c r="F125" s="49" t="str">
        <f>IF(Tabla_Registro_Tareas3[[#This Row],[Actividad]]=Indice_Aux_Vacio,"",Indice_PROBLAM_Estudiante3)</f>
        <v/>
      </c>
      <c r="G125" s="7"/>
      <c r="H125" s="8"/>
      <c r="I125" s="9"/>
      <c r="K125" s="12" t="str" cm="1">
        <f t="array" ref="K125">IF($B125&lt;&gt;"",TRANSPOSE(_xlfn._xlws.FILTER(plan!$C$4:$C$52, ($B125 &gt;= (plan!$J$4:$J$52-Indice_Plan_ExtensionPlazo))*($B125 &lt;= (plan!$K$4:$K$52+Indice_Plan_ExtensionPlazo)), "")), "")</f>
        <v/>
      </c>
      <c r="BH125" s="4"/>
    </row>
    <row r="126" spans="2:60" x14ac:dyDescent="0.3">
      <c r="B126" s="6"/>
      <c r="C126" s="10"/>
      <c r="D126" s="48" t="str">
        <f>IF(Tabla_Registro_Tareas3[[#This Row],[Actividad]]=Indice_Aux_Vacio,"",IFERROR(INDEX(plan!$D$4:$D$52,MATCH(Tabla_Registro_Tareas3[[#This Row],[Actividad]],plan!$C$4:$C$52,0)),""))</f>
        <v/>
      </c>
      <c r="E126" s="48" t="str">
        <f>IFERROR(INDEX(plan!$E$4:$E$52,MATCH(Tabla_Registro_Tareas3[[#This Row],[Actividad]],plan!$C$4:$C$52,0)),"")</f>
        <v/>
      </c>
      <c r="F126" s="49" t="str">
        <f>IF(Tabla_Registro_Tareas3[[#This Row],[Actividad]]=Indice_Aux_Vacio,"",Indice_PROBLAM_Estudiante3)</f>
        <v/>
      </c>
      <c r="G126" s="7"/>
      <c r="H126" s="8"/>
      <c r="I126" s="9"/>
      <c r="K126" s="12" t="str" cm="1">
        <f t="array" ref="K126">IF($B126&lt;&gt;"",TRANSPOSE(_xlfn._xlws.FILTER(plan!$C$4:$C$52, ($B126 &gt;= (plan!$J$4:$J$52-Indice_Plan_ExtensionPlazo))*($B126 &lt;= (plan!$K$4:$K$52+Indice_Plan_ExtensionPlazo)), "")), "")</f>
        <v/>
      </c>
      <c r="BH126" s="4"/>
    </row>
    <row r="127" spans="2:60" x14ac:dyDescent="0.3">
      <c r="B127" s="6"/>
      <c r="C127" s="10"/>
      <c r="D127" s="48" t="str">
        <f>IF(Tabla_Registro_Tareas3[[#This Row],[Actividad]]=Indice_Aux_Vacio,"",IFERROR(INDEX(plan!$D$4:$D$52,MATCH(Tabla_Registro_Tareas3[[#This Row],[Actividad]],plan!$C$4:$C$52,0)),""))</f>
        <v/>
      </c>
      <c r="E127" s="48" t="str">
        <f>IFERROR(INDEX(plan!$E$4:$E$52,MATCH(Tabla_Registro_Tareas3[[#This Row],[Actividad]],plan!$C$4:$C$52,0)),"")</f>
        <v/>
      </c>
      <c r="F127" s="49" t="str">
        <f>IF(Tabla_Registro_Tareas3[[#This Row],[Actividad]]=Indice_Aux_Vacio,"",Indice_PROBLAM_Estudiante3)</f>
        <v/>
      </c>
      <c r="G127" s="7"/>
      <c r="H127" s="8"/>
      <c r="I127" s="9"/>
      <c r="K127" s="12" t="str" cm="1">
        <f t="array" ref="K127">IF($B127&lt;&gt;"",TRANSPOSE(_xlfn._xlws.FILTER(plan!$C$4:$C$52, ($B127 &gt;= (plan!$J$4:$J$52-Indice_Plan_ExtensionPlazo))*($B127 &lt;= (plan!$K$4:$K$52+Indice_Plan_ExtensionPlazo)), "")), "")</f>
        <v/>
      </c>
      <c r="BH127" s="4"/>
    </row>
    <row r="128" spans="2:60" x14ac:dyDescent="0.3">
      <c r="B128" s="6"/>
      <c r="C128" s="10"/>
      <c r="D128" s="48" t="str">
        <f>IF(Tabla_Registro_Tareas3[[#This Row],[Actividad]]=Indice_Aux_Vacio,"",IFERROR(INDEX(plan!$D$4:$D$52,MATCH(Tabla_Registro_Tareas3[[#This Row],[Actividad]],plan!$C$4:$C$52,0)),""))</f>
        <v/>
      </c>
      <c r="E128" s="48" t="str">
        <f>IFERROR(INDEX(plan!$E$4:$E$52,MATCH(Tabla_Registro_Tareas3[[#This Row],[Actividad]],plan!$C$4:$C$52,0)),"")</f>
        <v/>
      </c>
      <c r="F128" s="49" t="str">
        <f>IF(Tabla_Registro_Tareas3[[#This Row],[Actividad]]=Indice_Aux_Vacio,"",Indice_PROBLAM_Estudiante3)</f>
        <v/>
      </c>
      <c r="G128" s="7"/>
      <c r="H128" s="8"/>
      <c r="I128" s="9"/>
      <c r="K128" s="12" t="str" cm="1">
        <f t="array" ref="K128">IF($B128&lt;&gt;"",TRANSPOSE(_xlfn._xlws.FILTER(plan!$C$4:$C$52, ($B128 &gt;= (plan!$J$4:$J$52-Indice_Plan_ExtensionPlazo))*($B128 &lt;= (plan!$K$4:$K$52+Indice_Plan_ExtensionPlazo)), "")), "")</f>
        <v/>
      </c>
      <c r="BH128" s="4"/>
    </row>
    <row r="129" spans="2:60" x14ac:dyDescent="0.3">
      <c r="B129" s="6"/>
      <c r="C129" s="10"/>
      <c r="D129" s="48" t="str">
        <f>IF(Tabla_Registro_Tareas3[[#This Row],[Actividad]]=Indice_Aux_Vacio,"",IFERROR(INDEX(plan!$D$4:$D$52,MATCH(Tabla_Registro_Tareas3[[#This Row],[Actividad]],plan!$C$4:$C$52,0)),""))</f>
        <v/>
      </c>
      <c r="E129" s="48" t="str">
        <f>IFERROR(INDEX(plan!$E$4:$E$52,MATCH(Tabla_Registro_Tareas3[[#This Row],[Actividad]],plan!$C$4:$C$52,0)),"")</f>
        <v/>
      </c>
      <c r="F129" s="49" t="str">
        <f>IF(Tabla_Registro_Tareas3[[#This Row],[Actividad]]=Indice_Aux_Vacio,"",Indice_PROBLAM_Estudiante3)</f>
        <v/>
      </c>
      <c r="G129" s="7"/>
      <c r="H129" s="8"/>
      <c r="I129" s="9"/>
      <c r="K129" s="12" t="str" cm="1">
        <f t="array" ref="K129">IF($B129&lt;&gt;"",TRANSPOSE(_xlfn._xlws.FILTER(plan!$C$4:$C$52, ($B129 &gt;= (plan!$J$4:$J$52-Indice_Plan_ExtensionPlazo))*($B129 &lt;= (plan!$K$4:$K$52+Indice_Plan_ExtensionPlazo)), "")), "")</f>
        <v/>
      </c>
      <c r="BH129" s="4"/>
    </row>
    <row r="130" spans="2:60" x14ac:dyDescent="0.3">
      <c r="B130" s="6"/>
      <c r="C130" s="10"/>
      <c r="D130" s="48" t="str">
        <f>IF(Tabla_Registro_Tareas3[[#This Row],[Actividad]]=Indice_Aux_Vacio,"",IFERROR(INDEX(plan!$D$4:$D$52,MATCH(Tabla_Registro_Tareas3[[#This Row],[Actividad]],plan!$C$4:$C$52,0)),""))</f>
        <v/>
      </c>
      <c r="E130" s="48" t="str">
        <f>IFERROR(INDEX(plan!$E$4:$E$52,MATCH(Tabla_Registro_Tareas3[[#This Row],[Actividad]],plan!$C$4:$C$52,0)),"")</f>
        <v/>
      </c>
      <c r="F130" s="49" t="str">
        <f>IF(Tabla_Registro_Tareas3[[#This Row],[Actividad]]=Indice_Aux_Vacio,"",Indice_PROBLAM_Estudiante3)</f>
        <v/>
      </c>
      <c r="G130" s="7"/>
      <c r="H130" s="8"/>
      <c r="I130" s="9"/>
      <c r="K130" s="12" t="str" cm="1">
        <f t="array" ref="K130">IF($B130&lt;&gt;"",TRANSPOSE(_xlfn._xlws.FILTER(plan!$C$4:$C$52, ($B130 &gt;= (plan!$J$4:$J$52-Indice_Plan_ExtensionPlazo))*($B130 &lt;= (plan!$K$4:$K$52+Indice_Plan_ExtensionPlazo)), "")), "")</f>
        <v/>
      </c>
      <c r="BH130" s="4"/>
    </row>
    <row r="131" spans="2:60" x14ac:dyDescent="0.3">
      <c r="B131" s="6"/>
      <c r="C131" s="10"/>
      <c r="D131" s="48" t="str">
        <f>IF(Tabla_Registro_Tareas3[[#This Row],[Actividad]]=Indice_Aux_Vacio,"",IFERROR(INDEX(plan!$D$4:$D$52,MATCH(Tabla_Registro_Tareas3[[#This Row],[Actividad]],plan!$C$4:$C$52,0)),""))</f>
        <v/>
      </c>
      <c r="E131" s="48" t="str">
        <f>IFERROR(INDEX(plan!$E$4:$E$52,MATCH(Tabla_Registro_Tareas3[[#This Row],[Actividad]],plan!$C$4:$C$52,0)),"")</f>
        <v/>
      </c>
      <c r="F131" s="49" t="str">
        <f>IF(Tabla_Registro_Tareas3[[#This Row],[Actividad]]=Indice_Aux_Vacio,"",Indice_PROBLAM_Estudiante3)</f>
        <v/>
      </c>
      <c r="G131" s="7"/>
      <c r="H131" s="8"/>
      <c r="I131" s="9"/>
      <c r="K131" s="12" t="str" cm="1">
        <f t="array" ref="K131">IF($B131&lt;&gt;"",TRANSPOSE(_xlfn._xlws.FILTER(plan!$C$4:$C$52, ($B131 &gt;= (plan!$J$4:$J$52-Indice_Plan_ExtensionPlazo))*($B131 &lt;= (plan!$K$4:$K$52+Indice_Plan_ExtensionPlazo)), "")), "")</f>
        <v/>
      </c>
      <c r="BH131" s="4"/>
    </row>
    <row r="132" spans="2:60" x14ac:dyDescent="0.3">
      <c r="B132" s="6"/>
      <c r="C132" s="10"/>
      <c r="D132" s="48" t="str">
        <f>IF(Tabla_Registro_Tareas3[[#This Row],[Actividad]]=Indice_Aux_Vacio,"",IFERROR(INDEX(plan!$D$4:$D$52,MATCH(Tabla_Registro_Tareas3[[#This Row],[Actividad]],plan!$C$4:$C$52,0)),""))</f>
        <v/>
      </c>
      <c r="E132" s="48" t="str">
        <f>IFERROR(INDEX(plan!$E$4:$E$52,MATCH(Tabla_Registro_Tareas3[[#This Row],[Actividad]],plan!$C$4:$C$52,0)),"")</f>
        <v/>
      </c>
      <c r="F132" s="49" t="str">
        <f>IF(Tabla_Registro_Tareas3[[#This Row],[Actividad]]=Indice_Aux_Vacio,"",Indice_PROBLAM_Estudiante3)</f>
        <v/>
      </c>
      <c r="G132" s="7"/>
      <c r="H132" s="8"/>
      <c r="I132" s="9"/>
      <c r="K132" s="12" t="str" cm="1">
        <f t="array" ref="K132">IF($B132&lt;&gt;"",TRANSPOSE(_xlfn._xlws.FILTER(plan!$C$4:$C$52, ($B132 &gt;= (plan!$J$4:$J$52-Indice_Plan_ExtensionPlazo))*($B132 &lt;= (plan!$K$4:$K$52+Indice_Plan_ExtensionPlazo)), "")), "")</f>
        <v/>
      </c>
      <c r="BH132" s="4"/>
    </row>
    <row r="133" spans="2:60" x14ac:dyDescent="0.3">
      <c r="B133" s="6"/>
      <c r="C133" s="10"/>
      <c r="D133" s="48" t="str">
        <f>IF(Tabla_Registro_Tareas3[[#This Row],[Actividad]]=Indice_Aux_Vacio,"",IFERROR(INDEX(plan!$D$4:$D$52,MATCH(Tabla_Registro_Tareas3[[#This Row],[Actividad]],plan!$C$4:$C$52,0)),""))</f>
        <v/>
      </c>
      <c r="E133" s="48" t="str">
        <f>IFERROR(INDEX(plan!$E$4:$E$52,MATCH(Tabla_Registro_Tareas3[[#This Row],[Actividad]],plan!$C$4:$C$52,0)),"")</f>
        <v/>
      </c>
      <c r="F133" s="49" t="str">
        <f>IF(Tabla_Registro_Tareas3[[#This Row],[Actividad]]=Indice_Aux_Vacio,"",Indice_PROBLAM_Estudiante3)</f>
        <v/>
      </c>
      <c r="G133" s="7"/>
      <c r="H133" s="8"/>
      <c r="I133" s="9"/>
      <c r="K133" s="12" t="str" cm="1">
        <f t="array" ref="K133">IF($B133&lt;&gt;"",TRANSPOSE(_xlfn._xlws.FILTER(plan!$C$4:$C$52, ($B133 &gt;= (plan!$J$4:$J$52-Indice_Plan_ExtensionPlazo))*($B133 &lt;= (plan!$K$4:$K$52+Indice_Plan_ExtensionPlazo)), "")), "")</f>
        <v/>
      </c>
      <c r="BH133" s="4"/>
    </row>
    <row r="134" spans="2:60" x14ac:dyDescent="0.3">
      <c r="B134" s="6"/>
      <c r="C134" s="10"/>
      <c r="D134" s="48" t="str">
        <f>IF(Tabla_Registro_Tareas3[[#This Row],[Actividad]]=Indice_Aux_Vacio,"",IFERROR(INDEX(plan!$D$4:$D$52,MATCH(Tabla_Registro_Tareas3[[#This Row],[Actividad]],plan!$C$4:$C$52,0)),""))</f>
        <v/>
      </c>
      <c r="E134" s="48" t="str">
        <f>IFERROR(INDEX(plan!$E$4:$E$52,MATCH(Tabla_Registro_Tareas3[[#This Row],[Actividad]],plan!$C$4:$C$52,0)),"")</f>
        <v/>
      </c>
      <c r="F134" s="49" t="str">
        <f>IF(Tabla_Registro_Tareas3[[#This Row],[Actividad]]=Indice_Aux_Vacio,"",Indice_PROBLAM_Estudiante3)</f>
        <v/>
      </c>
      <c r="G134" s="7"/>
      <c r="H134" s="8"/>
      <c r="I134" s="9"/>
      <c r="K134" s="12" t="str" cm="1">
        <f t="array" ref="K134">IF($B134&lt;&gt;"",TRANSPOSE(_xlfn._xlws.FILTER(plan!$C$4:$C$52, ($B134 &gt;= (plan!$J$4:$J$52-Indice_Plan_ExtensionPlazo))*($B134 &lt;= (plan!$K$4:$K$52+Indice_Plan_ExtensionPlazo)), "")), "")</f>
        <v/>
      </c>
      <c r="BH134" s="4"/>
    </row>
    <row r="135" spans="2:60" x14ac:dyDescent="0.3">
      <c r="B135" s="6"/>
      <c r="C135" s="10"/>
      <c r="D135" s="48" t="str">
        <f>IF(Tabla_Registro_Tareas3[[#This Row],[Actividad]]=Indice_Aux_Vacio,"",IFERROR(INDEX(plan!$D$4:$D$52,MATCH(Tabla_Registro_Tareas3[[#This Row],[Actividad]],plan!$C$4:$C$52,0)),""))</f>
        <v/>
      </c>
      <c r="E135" s="48" t="str">
        <f>IFERROR(INDEX(plan!$E$4:$E$52,MATCH(Tabla_Registro_Tareas3[[#This Row],[Actividad]],plan!$C$4:$C$52,0)),"")</f>
        <v/>
      </c>
      <c r="F135" s="49" t="str">
        <f>IF(Tabla_Registro_Tareas3[[#This Row],[Actividad]]=Indice_Aux_Vacio,"",Indice_PROBLAM_Estudiante3)</f>
        <v/>
      </c>
      <c r="G135" s="7"/>
      <c r="H135" s="8"/>
      <c r="I135" s="9"/>
      <c r="K135" s="12" t="str" cm="1">
        <f t="array" ref="K135">IF($B135&lt;&gt;"",TRANSPOSE(_xlfn._xlws.FILTER(plan!$C$4:$C$52, ($B135 &gt;= (plan!$J$4:$J$52-Indice_Plan_ExtensionPlazo))*($B135 &lt;= (plan!$K$4:$K$52+Indice_Plan_ExtensionPlazo)), "")), "")</f>
        <v/>
      </c>
      <c r="BH135" s="4"/>
    </row>
    <row r="136" spans="2:60" x14ac:dyDescent="0.3">
      <c r="B136" s="6"/>
      <c r="C136" s="10"/>
      <c r="D136" s="48" t="str">
        <f>IF(Tabla_Registro_Tareas3[[#This Row],[Actividad]]=Indice_Aux_Vacio,"",IFERROR(INDEX(plan!$D$4:$D$52,MATCH(Tabla_Registro_Tareas3[[#This Row],[Actividad]],plan!$C$4:$C$52,0)),""))</f>
        <v/>
      </c>
      <c r="E136" s="48" t="str">
        <f>IFERROR(INDEX(plan!$E$4:$E$52,MATCH(Tabla_Registro_Tareas3[[#This Row],[Actividad]],plan!$C$4:$C$52,0)),"")</f>
        <v/>
      </c>
      <c r="F136" s="49" t="str">
        <f>IF(Tabla_Registro_Tareas3[[#This Row],[Actividad]]=Indice_Aux_Vacio,"",Indice_PROBLAM_Estudiante3)</f>
        <v/>
      </c>
      <c r="G136" s="7"/>
      <c r="H136" s="8"/>
      <c r="I136" s="9"/>
      <c r="K136" s="12" t="str" cm="1">
        <f t="array" ref="K136">IF($B136&lt;&gt;"",TRANSPOSE(_xlfn._xlws.FILTER(plan!$C$4:$C$52, ($B136 &gt;= (plan!$J$4:$J$52-Indice_Plan_ExtensionPlazo))*($B136 &lt;= (plan!$K$4:$K$52+Indice_Plan_ExtensionPlazo)), "")), "")</f>
        <v/>
      </c>
      <c r="BH136" s="4"/>
    </row>
    <row r="137" spans="2:60" x14ac:dyDescent="0.3">
      <c r="B137" s="6"/>
      <c r="C137" s="10"/>
      <c r="D137" s="48" t="str">
        <f>IF(Tabla_Registro_Tareas3[[#This Row],[Actividad]]=Indice_Aux_Vacio,"",IFERROR(INDEX(plan!$D$4:$D$52,MATCH(Tabla_Registro_Tareas3[[#This Row],[Actividad]],plan!$C$4:$C$52,0)),""))</f>
        <v/>
      </c>
      <c r="E137" s="48" t="str">
        <f>IFERROR(INDEX(plan!$E$4:$E$52,MATCH(Tabla_Registro_Tareas3[[#This Row],[Actividad]],plan!$C$4:$C$52,0)),"")</f>
        <v/>
      </c>
      <c r="F137" s="49" t="str">
        <f>IF(Tabla_Registro_Tareas3[[#This Row],[Actividad]]=Indice_Aux_Vacio,"",Indice_PROBLAM_Estudiante3)</f>
        <v/>
      </c>
      <c r="G137" s="7"/>
      <c r="H137" s="8"/>
      <c r="I137" s="9"/>
      <c r="K137" s="12" t="str" cm="1">
        <f t="array" ref="K137">IF($B137&lt;&gt;"",TRANSPOSE(_xlfn._xlws.FILTER(plan!$C$4:$C$52, ($B137 &gt;= (plan!$J$4:$J$52-Indice_Plan_ExtensionPlazo))*($B137 &lt;= (plan!$K$4:$K$52+Indice_Plan_ExtensionPlazo)), "")), "")</f>
        <v/>
      </c>
      <c r="BH137" s="4"/>
    </row>
    <row r="138" spans="2:60" x14ac:dyDescent="0.3">
      <c r="B138" s="6"/>
      <c r="C138" s="10"/>
      <c r="D138" s="48" t="str">
        <f>IF(Tabla_Registro_Tareas3[[#This Row],[Actividad]]=Indice_Aux_Vacio,"",IFERROR(INDEX(plan!$D$4:$D$52,MATCH(Tabla_Registro_Tareas3[[#This Row],[Actividad]],plan!$C$4:$C$52,0)),""))</f>
        <v/>
      </c>
      <c r="E138" s="48" t="str">
        <f>IFERROR(INDEX(plan!$E$4:$E$52,MATCH(Tabla_Registro_Tareas3[[#This Row],[Actividad]],plan!$C$4:$C$52,0)),"")</f>
        <v/>
      </c>
      <c r="F138" s="49" t="str">
        <f>IF(Tabla_Registro_Tareas3[[#This Row],[Actividad]]=Indice_Aux_Vacio,"",Indice_PROBLAM_Estudiante3)</f>
        <v/>
      </c>
      <c r="G138" s="7"/>
      <c r="H138" s="8"/>
      <c r="I138" s="9"/>
      <c r="K138" s="12" t="str" cm="1">
        <f t="array" ref="K138">IF($B138&lt;&gt;"",TRANSPOSE(_xlfn._xlws.FILTER(plan!$C$4:$C$52, ($B138 &gt;= (plan!$J$4:$J$52-Indice_Plan_ExtensionPlazo))*($B138 &lt;= (plan!$K$4:$K$52+Indice_Plan_ExtensionPlazo)), "")), "")</f>
        <v/>
      </c>
      <c r="BH138" s="4"/>
    </row>
    <row r="139" spans="2:60" x14ac:dyDescent="0.3">
      <c r="B139" s="6"/>
      <c r="C139" s="10"/>
      <c r="D139" s="48" t="str">
        <f>IF(Tabla_Registro_Tareas3[[#This Row],[Actividad]]=Indice_Aux_Vacio,"",IFERROR(INDEX(plan!$D$4:$D$52,MATCH(Tabla_Registro_Tareas3[[#This Row],[Actividad]],plan!$C$4:$C$52,0)),""))</f>
        <v/>
      </c>
      <c r="E139" s="48" t="str">
        <f>IFERROR(INDEX(plan!$E$4:$E$52,MATCH(Tabla_Registro_Tareas3[[#This Row],[Actividad]],plan!$C$4:$C$52,0)),"")</f>
        <v/>
      </c>
      <c r="F139" s="49" t="str">
        <f>IF(Tabla_Registro_Tareas3[[#This Row],[Actividad]]=Indice_Aux_Vacio,"",Indice_PROBLAM_Estudiante3)</f>
        <v/>
      </c>
      <c r="G139" s="7"/>
      <c r="H139" s="8"/>
      <c r="I139" s="9"/>
      <c r="K139" s="12" t="str" cm="1">
        <f t="array" ref="K139">IF($B139&lt;&gt;"",TRANSPOSE(_xlfn._xlws.FILTER(plan!$C$4:$C$52, ($B139 &gt;= (plan!$J$4:$J$52-Indice_Plan_ExtensionPlazo))*($B139 &lt;= (plan!$K$4:$K$52+Indice_Plan_ExtensionPlazo)), "")), "")</f>
        <v/>
      </c>
      <c r="BH139" s="4"/>
    </row>
    <row r="140" spans="2:60" x14ac:dyDescent="0.3">
      <c r="B140" s="6"/>
      <c r="C140" s="10"/>
      <c r="D140" s="48" t="str">
        <f>IF(Tabla_Registro_Tareas3[[#This Row],[Actividad]]=Indice_Aux_Vacio,"",IFERROR(INDEX(plan!$D$4:$D$52,MATCH(Tabla_Registro_Tareas3[[#This Row],[Actividad]],plan!$C$4:$C$52,0)),""))</f>
        <v/>
      </c>
      <c r="E140" s="48" t="str">
        <f>IFERROR(INDEX(plan!$E$4:$E$52,MATCH(Tabla_Registro_Tareas3[[#This Row],[Actividad]],plan!$C$4:$C$52,0)),"")</f>
        <v/>
      </c>
      <c r="F140" s="49" t="str">
        <f>IF(Tabla_Registro_Tareas3[[#This Row],[Actividad]]=Indice_Aux_Vacio,"",Indice_PROBLAM_Estudiante3)</f>
        <v/>
      </c>
      <c r="G140" s="7"/>
      <c r="H140" s="8"/>
      <c r="I140" s="9"/>
      <c r="K140" s="12" t="str" cm="1">
        <f t="array" ref="K140">IF($B140&lt;&gt;"",TRANSPOSE(_xlfn._xlws.FILTER(plan!$C$4:$C$52, ($B140 &gt;= (plan!$J$4:$J$52-Indice_Plan_ExtensionPlazo))*($B140 &lt;= (plan!$K$4:$K$52+Indice_Plan_ExtensionPlazo)), "")), "")</f>
        <v/>
      </c>
      <c r="BH140" s="4"/>
    </row>
    <row r="141" spans="2:60" x14ac:dyDescent="0.3">
      <c r="B141" s="6"/>
      <c r="C141" s="10"/>
      <c r="D141" s="48" t="str">
        <f>IF(Tabla_Registro_Tareas3[[#This Row],[Actividad]]=Indice_Aux_Vacio,"",IFERROR(INDEX(plan!$D$4:$D$52,MATCH(Tabla_Registro_Tareas3[[#This Row],[Actividad]],plan!$C$4:$C$52,0)),""))</f>
        <v/>
      </c>
      <c r="E141" s="48" t="str">
        <f>IFERROR(INDEX(plan!$E$4:$E$52,MATCH(Tabla_Registro_Tareas3[[#This Row],[Actividad]],plan!$C$4:$C$52,0)),"")</f>
        <v/>
      </c>
      <c r="F141" s="49" t="str">
        <f>IF(Tabla_Registro_Tareas3[[#This Row],[Actividad]]=Indice_Aux_Vacio,"",Indice_PROBLAM_Estudiante3)</f>
        <v/>
      </c>
      <c r="G141" s="7"/>
      <c r="H141" s="8"/>
      <c r="I141" s="9"/>
      <c r="K141" s="12" t="str" cm="1">
        <f t="array" ref="K141">IF($B141&lt;&gt;"",TRANSPOSE(_xlfn._xlws.FILTER(plan!$C$4:$C$52, ($B141 &gt;= (plan!$J$4:$J$52-Indice_Plan_ExtensionPlazo))*($B141 &lt;= (plan!$K$4:$K$52+Indice_Plan_ExtensionPlazo)), "")), "")</f>
        <v/>
      </c>
      <c r="BH141" s="4"/>
    </row>
    <row r="142" spans="2:60" x14ac:dyDescent="0.3">
      <c r="B142" s="6"/>
      <c r="C142" s="10"/>
      <c r="D142" s="48" t="str">
        <f>IF(Tabla_Registro_Tareas3[[#This Row],[Actividad]]=Indice_Aux_Vacio,"",IFERROR(INDEX(plan!$D$4:$D$52,MATCH(Tabla_Registro_Tareas3[[#This Row],[Actividad]],plan!$C$4:$C$52,0)),""))</f>
        <v/>
      </c>
      <c r="E142" s="48" t="str">
        <f>IFERROR(INDEX(plan!$E$4:$E$52,MATCH(Tabla_Registro_Tareas3[[#This Row],[Actividad]],plan!$C$4:$C$52,0)),"")</f>
        <v/>
      </c>
      <c r="F142" s="49" t="str">
        <f>IF(Tabla_Registro_Tareas3[[#This Row],[Actividad]]=Indice_Aux_Vacio,"",Indice_PROBLAM_Estudiante3)</f>
        <v/>
      </c>
      <c r="G142" s="7"/>
      <c r="H142" s="8"/>
      <c r="I142" s="9"/>
      <c r="K142" s="12" t="str" cm="1">
        <f t="array" ref="K142">IF($B142&lt;&gt;"",TRANSPOSE(_xlfn._xlws.FILTER(plan!$C$4:$C$52, ($B142 &gt;= (plan!$J$4:$J$52-Indice_Plan_ExtensionPlazo))*($B142 &lt;= (plan!$K$4:$K$52+Indice_Plan_ExtensionPlazo)), "")), "")</f>
        <v/>
      </c>
      <c r="BH142" s="4"/>
    </row>
    <row r="143" spans="2:60" x14ac:dyDescent="0.3">
      <c r="B143" s="6"/>
      <c r="C143" s="10"/>
      <c r="D143" s="48" t="str">
        <f>IF(Tabla_Registro_Tareas3[[#This Row],[Actividad]]=Indice_Aux_Vacio,"",IFERROR(INDEX(plan!$D$4:$D$52,MATCH(Tabla_Registro_Tareas3[[#This Row],[Actividad]],plan!$C$4:$C$52,0)),""))</f>
        <v/>
      </c>
      <c r="E143" s="48" t="str">
        <f>IFERROR(INDEX(plan!$E$4:$E$52,MATCH(Tabla_Registro_Tareas3[[#This Row],[Actividad]],plan!$C$4:$C$52,0)),"")</f>
        <v/>
      </c>
      <c r="F143" s="49" t="str">
        <f>IF(Tabla_Registro_Tareas3[[#This Row],[Actividad]]=Indice_Aux_Vacio,"",Indice_PROBLAM_Estudiante3)</f>
        <v/>
      </c>
      <c r="G143" s="7"/>
      <c r="H143" s="8"/>
      <c r="I143" s="9"/>
      <c r="K143" s="12" t="str" cm="1">
        <f t="array" ref="K143">IF($B143&lt;&gt;"",TRANSPOSE(_xlfn._xlws.FILTER(plan!$C$4:$C$52, ($B143 &gt;= (plan!$J$4:$J$52-Indice_Plan_ExtensionPlazo))*($B143 &lt;= (plan!$K$4:$K$52+Indice_Plan_ExtensionPlazo)), "")), "")</f>
        <v/>
      </c>
      <c r="BH143" s="4"/>
    </row>
    <row r="144" spans="2:60" x14ac:dyDescent="0.3">
      <c r="B144" s="6"/>
      <c r="C144" s="10"/>
      <c r="D144" s="48" t="str">
        <f>IF(Tabla_Registro_Tareas3[[#This Row],[Actividad]]=Indice_Aux_Vacio,"",IFERROR(INDEX(plan!$D$4:$D$52,MATCH(Tabla_Registro_Tareas3[[#This Row],[Actividad]],plan!$C$4:$C$52,0)),""))</f>
        <v/>
      </c>
      <c r="E144" s="48" t="str">
        <f>IFERROR(INDEX(plan!$E$4:$E$52,MATCH(Tabla_Registro_Tareas3[[#This Row],[Actividad]],plan!$C$4:$C$52,0)),"")</f>
        <v/>
      </c>
      <c r="F144" s="49" t="str">
        <f>IF(Tabla_Registro_Tareas3[[#This Row],[Actividad]]=Indice_Aux_Vacio,"",Indice_PROBLAM_Estudiante3)</f>
        <v/>
      </c>
      <c r="G144" s="7"/>
      <c r="H144" s="8"/>
      <c r="I144" s="9"/>
      <c r="K144" s="12" t="str" cm="1">
        <f t="array" ref="K144">IF($B144&lt;&gt;"",TRANSPOSE(_xlfn._xlws.FILTER(plan!$C$4:$C$52, ($B144 &gt;= (plan!$J$4:$J$52-Indice_Plan_ExtensionPlazo))*($B144 &lt;= (plan!$K$4:$K$52+Indice_Plan_ExtensionPlazo)), "")), "")</f>
        <v/>
      </c>
      <c r="BH144" s="4"/>
    </row>
    <row r="145" spans="2:60" x14ac:dyDescent="0.3">
      <c r="B145" s="6"/>
      <c r="C145" s="10"/>
      <c r="D145" s="48" t="str">
        <f>IF(Tabla_Registro_Tareas3[[#This Row],[Actividad]]=Indice_Aux_Vacio,"",IFERROR(INDEX(plan!$D$4:$D$52,MATCH(Tabla_Registro_Tareas3[[#This Row],[Actividad]],plan!$C$4:$C$52,0)),""))</f>
        <v/>
      </c>
      <c r="E145" s="48" t="str">
        <f>IFERROR(INDEX(plan!$E$4:$E$52,MATCH(Tabla_Registro_Tareas3[[#This Row],[Actividad]],plan!$C$4:$C$52,0)),"")</f>
        <v/>
      </c>
      <c r="F145" s="49" t="str">
        <f>IF(Tabla_Registro_Tareas3[[#This Row],[Actividad]]=Indice_Aux_Vacio,"",Indice_PROBLAM_Estudiante3)</f>
        <v/>
      </c>
      <c r="G145" s="7"/>
      <c r="H145" s="8"/>
      <c r="I145" s="9"/>
      <c r="K145" s="12" t="str" cm="1">
        <f t="array" ref="K145">IF($B145&lt;&gt;"",TRANSPOSE(_xlfn._xlws.FILTER(plan!$C$4:$C$52, ($B145 &gt;= (plan!$J$4:$J$52-Indice_Plan_ExtensionPlazo))*($B145 &lt;= (plan!$K$4:$K$52+Indice_Plan_ExtensionPlazo)), "")), "")</f>
        <v/>
      </c>
      <c r="BH145" s="4"/>
    </row>
    <row r="146" spans="2:60" x14ac:dyDescent="0.3">
      <c r="B146" s="6"/>
      <c r="C146" s="10"/>
      <c r="D146" s="48" t="str">
        <f>IF(Tabla_Registro_Tareas3[[#This Row],[Actividad]]=Indice_Aux_Vacio,"",IFERROR(INDEX(plan!$D$4:$D$52,MATCH(Tabla_Registro_Tareas3[[#This Row],[Actividad]],plan!$C$4:$C$52,0)),""))</f>
        <v/>
      </c>
      <c r="E146" s="48" t="str">
        <f>IFERROR(INDEX(plan!$E$4:$E$52,MATCH(Tabla_Registro_Tareas3[[#This Row],[Actividad]],plan!$C$4:$C$52,0)),"")</f>
        <v/>
      </c>
      <c r="F146" s="49" t="str">
        <f>IF(Tabla_Registro_Tareas3[[#This Row],[Actividad]]=Indice_Aux_Vacio,"",Indice_PROBLAM_Estudiante3)</f>
        <v/>
      </c>
      <c r="G146" s="7"/>
      <c r="H146" s="8"/>
      <c r="I146" s="9"/>
      <c r="K146" s="12" t="str" cm="1">
        <f t="array" ref="K146">IF($B146&lt;&gt;"",TRANSPOSE(_xlfn._xlws.FILTER(plan!$C$4:$C$52, ($B146 &gt;= (plan!$J$4:$J$52-Indice_Plan_ExtensionPlazo))*($B146 &lt;= (plan!$K$4:$K$52+Indice_Plan_ExtensionPlazo)), "")), "")</f>
        <v/>
      </c>
      <c r="BH146" s="4"/>
    </row>
    <row r="147" spans="2:60" x14ac:dyDescent="0.3">
      <c r="B147" s="6"/>
      <c r="C147" s="10"/>
      <c r="D147" s="48" t="str">
        <f>IF(Tabla_Registro_Tareas3[[#This Row],[Actividad]]=Indice_Aux_Vacio,"",IFERROR(INDEX(plan!$D$4:$D$52,MATCH(Tabla_Registro_Tareas3[[#This Row],[Actividad]],plan!$C$4:$C$52,0)),""))</f>
        <v/>
      </c>
      <c r="E147" s="48" t="str">
        <f>IFERROR(INDEX(plan!$E$4:$E$52,MATCH(Tabla_Registro_Tareas3[[#This Row],[Actividad]],plan!$C$4:$C$52,0)),"")</f>
        <v/>
      </c>
      <c r="F147" s="49" t="str">
        <f>IF(Tabla_Registro_Tareas3[[#This Row],[Actividad]]=Indice_Aux_Vacio,"",Indice_PROBLAM_Estudiante3)</f>
        <v/>
      </c>
      <c r="G147" s="7"/>
      <c r="H147" s="8"/>
      <c r="I147" s="9"/>
      <c r="K147" s="12" t="str" cm="1">
        <f t="array" ref="K147">IF($B147&lt;&gt;"",TRANSPOSE(_xlfn._xlws.FILTER(plan!$C$4:$C$52, ($B147 &gt;= (plan!$J$4:$J$52-Indice_Plan_ExtensionPlazo))*($B147 &lt;= (plan!$K$4:$K$52+Indice_Plan_ExtensionPlazo)), "")), "")</f>
        <v/>
      </c>
      <c r="BH147" s="4"/>
    </row>
    <row r="148" spans="2:60" x14ac:dyDescent="0.3">
      <c r="B148" s="6"/>
      <c r="C148" s="10"/>
      <c r="D148" s="48" t="str">
        <f>IF(Tabla_Registro_Tareas3[[#This Row],[Actividad]]=Indice_Aux_Vacio,"",IFERROR(INDEX(plan!$D$4:$D$52,MATCH(Tabla_Registro_Tareas3[[#This Row],[Actividad]],plan!$C$4:$C$52,0)),""))</f>
        <v/>
      </c>
      <c r="E148" s="48" t="str">
        <f>IFERROR(INDEX(plan!$E$4:$E$52,MATCH(Tabla_Registro_Tareas3[[#This Row],[Actividad]],plan!$C$4:$C$52,0)),"")</f>
        <v/>
      </c>
      <c r="F148" s="49" t="str">
        <f>IF(Tabla_Registro_Tareas3[[#This Row],[Actividad]]=Indice_Aux_Vacio,"",Indice_PROBLAM_Estudiante3)</f>
        <v/>
      </c>
      <c r="G148" s="7"/>
      <c r="H148" s="8"/>
      <c r="I148" s="9"/>
      <c r="K148" s="12" t="str" cm="1">
        <f t="array" ref="K148">IF($B148&lt;&gt;"",TRANSPOSE(_xlfn._xlws.FILTER(plan!$C$4:$C$52, ($B148 &gt;= (plan!$J$4:$J$52-Indice_Plan_ExtensionPlazo))*($B148 &lt;= (plan!$K$4:$K$52+Indice_Plan_ExtensionPlazo)), "")), "")</f>
        <v/>
      </c>
      <c r="BH148" s="4"/>
    </row>
    <row r="149" spans="2:60" x14ac:dyDescent="0.3">
      <c r="B149" s="6"/>
      <c r="C149" s="10"/>
      <c r="D149" s="48" t="str">
        <f>IF(Tabla_Registro_Tareas3[[#This Row],[Actividad]]=Indice_Aux_Vacio,"",IFERROR(INDEX(plan!$D$4:$D$52,MATCH(Tabla_Registro_Tareas3[[#This Row],[Actividad]],plan!$C$4:$C$52,0)),""))</f>
        <v/>
      </c>
      <c r="E149" s="48" t="str">
        <f>IFERROR(INDEX(plan!$E$4:$E$52,MATCH(Tabla_Registro_Tareas3[[#This Row],[Actividad]],plan!$C$4:$C$52,0)),"")</f>
        <v/>
      </c>
      <c r="F149" s="49" t="str">
        <f>IF(Tabla_Registro_Tareas3[[#This Row],[Actividad]]=Indice_Aux_Vacio,"",Indice_PROBLAM_Estudiante3)</f>
        <v/>
      </c>
      <c r="G149" s="7"/>
      <c r="H149" s="8"/>
      <c r="I149" s="9"/>
      <c r="K149" s="12" t="str" cm="1">
        <f t="array" ref="K149">IF($B149&lt;&gt;"",TRANSPOSE(_xlfn._xlws.FILTER(plan!$C$4:$C$52, ($B149 &gt;= (plan!$J$4:$J$52-Indice_Plan_ExtensionPlazo))*($B149 &lt;= (plan!$K$4:$K$52+Indice_Plan_ExtensionPlazo)), "")), "")</f>
        <v/>
      </c>
      <c r="BH149" s="4"/>
    </row>
    <row r="150" spans="2:60" x14ac:dyDescent="0.3">
      <c r="B150" s="6"/>
      <c r="C150" s="10"/>
      <c r="D150" s="48" t="str">
        <f>IF(Tabla_Registro_Tareas3[[#This Row],[Actividad]]=Indice_Aux_Vacio,"",IFERROR(INDEX(plan!$D$4:$D$52,MATCH(Tabla_Registro_Tareas3[[#This Row],[Actividad]],plan!$C$4:$C$52,0)),""))</f>
        <v/>
      </c>
      <c r="E150" s="48" t="str">
        <f>IFERROR(INDEX(plan!$E$4:$E$52,MATCH(Tabla_Registro_Tareas3[[#This Row],[Actividad]],plan!$C$4:$C$52,0)),"")</f>
        <v/>
      </c>
      <c r="F150" s="49" t="str">
        <f>IF(Tabla_Registro_Tareas3[[#This Row],[Actividad]]=Indice_Aux_Vacio,"",Indice_PROBLAM_Estudiante3)</f>
        <v/>
      </c>
      <c r="G150" s="7"/>
      <c r="H150" s="8"/>
      <c r="I150" s="9"/>
      <c r="K150" s="12" t="str" cm="1">
        <f t="array" ref="K150">IF($B150&lt;&gt;"",TRANSPOSE(_xlfn._xlws.FILTER(plan!$C$4:$C$52, ($B150 &gt;= (plan!$J$4:$J$52-Indice_Plan_ExtensionPlazo))*($B150 &lt;= (plan!$K$4:$K$52+Indice_Plan_ExtensionPlazo)), "")), "")</f>
        <v/>
      </c>
      <c r="BH150" s="4"/>
    </row>
    <row r="151" spans="2:60" x14ac:dyDescent="0.3">
      <c r="B151" s="6"/>
      <c r="C151" s="10"/>
      <c r="D151" s="48" t="str">
        <f>IF(Tabla_Registro_Tareas3[[#This Row],[Actividad]]=Indice_Aux_Vacio,"",IFERROR(INDEX(plan!$D$4:$D$52,MATCH(Tabla_Registro_Tareas3[[#This Row],[Actividad]],plan!$C$4:$C$52,0)),""))</f>
        <v/>
      </c>
      <c r="E151" s="48" t="str">
        <f>IFERROR(INDEX(plan!$E$4:$E$52,MATCH(Tabla_Registro_Tareas3[[#This Row],[Actividad]],plan!$C$4:$C$52,0)),"")</f>
        <v/>
      </c>
      <c r="F151" s="49" t="str">
        <f>IF(Tabla_Registro_Tareas3[[#This Row],[Actividad]]=Indice_Aux_Vacio,"",Indice_PROBLAM_Estudiante3)</f>
        <v/>
      </c>
      <c r="G151" s="7"/>
      <c r="H151" s="8"/>
      <c r="I151" s="9"/>
      <c r="K151" s="12" t="str" cm="1">
        <f t="array" ref="K151">IF($B151&lt;&gt;"",TRANSPOSE(_xlfn._xlws.FILTER(plan!$C$4:$C$52, ($B151 &gt;= (plan!$J$4:$J$52-Indice_Plan_ExtensionPlazo))*($B151 &lt;= (plan!$K$4:$K$52+Indice_Plan_ExtensionPlazo)), "")), "")</f>
        <v/>
      </c>
      <c r="BH151" s="4"/>
    </row>
    <row r="152" spans="2:60" x14ac:dyDescent="0.3">
      <c r="B152" s="6"/>
      <c r="C152" s="10"/>
      <c r="D152" s="48" t="str">
        <f>IF(Tabla_Registro_Tareas3[[#This Row],[Actividad]]=Indice_Aux_Vacio,"",IFERROR(INDEX(plan!$D$4:$D$52,MATCH(Tabla_Registro_Tareas3[[#This Row],[Actividad]],plan!$C$4:$C$52,0)),""))</f>
        <v/>
      </c>
      <c r="E152" s="48" t="str">
        <f>IFERROR(INDEX(plan!$E$4:$E$52,MATCH(Tabla_Registro_Tareas3[[#This Row],[Actividad]],plan!$C$4:$C$52,0)),"")</f>
        <v/>
      </c>
      <c r="F152" s="49" t="str">
        <f>IF(Tabla_Registro_Tareas3[[#This Row],[Actividad]]=Indice_Aux_Vacio,"",Indice_PROBLAM_Estudiante3)</f>
        <v/>
      </c>
      <c r="G152" s="7"/>
      <c r="H152" s="8"/>
      <c r="I152" s="9"/>
      <c r="K152" s="12" t="str" cm="1">
        <f t="array" ref="K152">IF($B152&lt;&gt;"",TRANSPOSE(_xlfn._xlws.FILTER(plan!$C$4:$C$52, ($B152 &gt;= (plan!$J$4:$J$52-Indice_Plan_ExtensionPlazo))*($B152 &lt;= (plan!$K$4:$K$52+Indice_Plan_ExtensionPlazo)), "")), "")</f>
        <v/>
      </c>
      <c r="BH152" s="4"/>
    </row>
    <row r="153" spans="2:60" x14ac:dyDescent="0.3">
      <c r="B153" s="6"/>
      <c r="C153" s="10"/>
      <c r="D153" s="48" t="str">
        <f>IF(Tabla_Registro_Tareas3[[#This Row],[Actividad]]=Indice_Aux_Vacio,"",IFERROR(INDEX(plan!$D$4:$D$52,MATCH(Tabla_Registro_Tareas3[[#This Row],[Actividad]],plan!$C$4:$C$52,0)),""))</f>
        <v/>
      </c>
      <c r="E153" s="48" t="str">
        <f>IFERROR(INDEX(plan!$E$4:$E$52,MATCH(Tabla_Registro_Tareas3[[#This Row],[Actividad]],plan!$C$4:$C$52,0)),"")</f>
        <v/>
      </c>
      <c r="F153" s="49" t="str">
        <f>IF(Tabla_Registro_Tareas3[[#This Row],[Actividad]]=Indice_Aux_Vacio,"",Indice_PROBLAM_Estudiante3)</f>
        <v/>
      </c>
      <c r="G153" s="7"/>
      <c r="H153" s="8"/>
      <c r="I153" s="9"/>
      <c r="K153" s="12" t="str" cm="1">
        <f t="array" ref="K153">IF($B153&lt;&gt;"",TRANSPOSE(_xlfn._xlws.FILTER(plan!$C$4:$C$52, ($B153 &gt;= (plan!$J$4:$J$52-Indice_Plan_ExtensionPlazo))*($B153 &lt;= (plan!$K$4:$K$52+Indice_Plan_ExtensionPlazo)), "")), "")</f>
        <v/>
      </c>
      <c r="BH153" s="4"/>
    </row>
    <row r="154" spans="2:60" x14ac:dyDescent="0.3">
      <c r="B154" s="6"/>
      <c r="C154" s="10"/>
      <c r="D154" s="48" t="str">
        <f>IF(Tabla_Registro_Tareas3[[#This Row],[Actividad]]=Indice_Aux_Vacio,"",IFERROR(INDEX(plan!$D$4:$D$52,MATCH(Tabla_Registro_Tareas3[[#This Row],[Actividad]],plan!$C$4:$C$52,0)),""))</f>
        <v/>
      </c>
      <c r="E154" s="48" t="str">
        <f>IFERROR(INDEX(plan!$E$4:$E$52,MATCH(Tabla_Registro_Tareas3[[#This Row],[Actividad]],plan!$C$4:$C$52,0)),"")</f>
        <v/>
      </c>
      <c r="F154" s="49" t="str">
        <f>IF(Tabla_Registro_Tareas3[[#This Row],[Actividad]]=Indice_Aux_Vacio,"",Indice_PROBLAM_Estudiante3)</f>
        <v/>
      </c>
      <c r="G154" s="7"/>
      <c r="H154" s="8"/>
      <c r="I154" s="9"/>
      <c r="K154" s="12" t="str" cm="1">
        <f t="array" ref="K154">IF($B154&lt;&gt;"",TRANSPOSE(_xlfn._xlws.FILTER(plan!$C$4:$C$52, ($B154 &gt;= (plan!$J$4:$J$52-Indice_Plan_ExtensionPlazo))*($B154 &lt;= (plan!$K$4:$K$52+Indice_Plan_ExtensionPlazo)), "")), "")</f>
        <v/>
      </c>
      <c r="BH154" s="4"/>
    </row>
    <row r="155" spans="2:60" x14ac:dyDescent="0.3">
      <c r="B155" s="6"/>
      <c r="C155" s="10"/>
      <c r="D155" s="48" t="str">
        <f>IF(Tabla_Registro_Tareas3[[#This Row],[Actividad]]=Indice_Aux_Vacio,"",IFERROR(INDEX(plan!$D$4:$D$52,MATCH(Tabla_Registro_Tareas3[[#This Row],[Actividad]],plan!$C$4:$C$52,0)),""))</f>
        <v/>
      </c>
      <c r="E155" s="48" t="str">
        <f>IFERROR(INDEX(plan!$E$4:$E$52,MATCH(Tabla_Registro_Tareas3[[#This Row],[Actividad]],plan!$C$4:$C$52,0)),"")</f>
        <v/>
      </c>
      <c r="F155" s="49" t="str">
        <f>IF(Tabla_Registro_Tareas3[[#This Row],[Actividad]]=Indice_Aux_Vacio,"",Indice_PROBLAM_Estudiante3)</f>
        <v/>
      </c>
      <c r="G155" s="7"/>
      <c r="H155" s="8"/>
      <c r="I155" s="9"/>
      <c r="K155" s="12" t="str" cm="1">
        <f t="array" ref="K155">IF($B155&lt;&gt;"",TRANSPOSE(_xlfn._xlws.FILTER(plan!$C$4:$C$52, ($B155 &gt;= (plan!$J$4:$J$52-Indice_Plan_ExtensionPlazo))*($B155 &lt;= (plan!$K$4:$K$52+Indice_Plan_ExtensionPlazo)), "")), "")</f>
        <v/>
      </c>
      <c r="BH155" s="4"/>
    </row>
    <row r="156" spans="2:60" x14ac:dyDescent="0.3">
      <c r="B156" s="6"/>
      <c r="C156" s="10"/>
      <c r="D156" s="48" t="str">
        <f>IF(Tabla_Registro_Tareas3[[#This Row],[Actividad]]=Indice_Aux_Vacio,"",IFERROR(INDEX(plan!$D$4:$D$52,MATCH(Tabla_Registro_Tareas3[[#This Row],[Actividad]],plan!$C$4:$C$52,0)),""))</f>
        <v/>
      </c>
      <c r="E156" s="48" t="str">
        <f>IFERROR(INDEX(plan!$E$4:$E$52,MATCH(Tabla_Registro_Tareas3[[#This Row],[Actividad]],plan!$C$4:$C$52,0)),"")</f>
        <v/>
      </c>
      <c r="F156" s="49" t="str">
        <f>IF(Tabla_Registro_Tareas3[[#This Row],[Actividad]]=Indice_Aux_Vacio,"",Indice_PROBLAM_Estudiante3)</f>
        <v/>
      </c>
      <c r="G156" s="7"/>
      <c r="H156" s="8"/>
      <c r="I156" s="9"/>
      <c r="K156" s="12" t="str" cm="1">
        <f t="array" ref="K156">IF($B156&lt;&gt;"",TRANSPOSE(_xlfn._xlws.FILTER(plan!$C$4:$C$52, ($B156 &gt;= (plan!$J$4:$J$52-Indice_Plan_ExtensionPlazo))*($B156 &lt;= (plan!$K$4:$K$52+Indice_Plan_ExtensionPlazo)), "")), "")</f>
        <v/>
      </c>
      <c r="BH156" s="4"/>
    </row>
    <row r="157" spans="2:60" x14ac:dyDescent="0.3">
      <c r="B157" s="6"/>
      <c r="C157" s="10"/>
      <c r="D157" s="48" t="str">
        <f>IF(Tabla_Registro_Tareas3[[#This Row],[Actividad]]=Indice_Aux_Vacio,"",IFERROR(INDEX(plan!$D$4:$D$52,MATCH(Tabla_Registro_Tareas3[[#This Row],[Actividad]],plan!$C$4:$C$52,0)),""))</f>
        <v/>
      </c>
      <c r="E157" s="48" t="str">
        <f>IFERROR(INDEX(plan!$E$4:$E$52,MATCH(Tabla_Registro_Tareas3[[#This Row],[Actividad]],plan!$C$4:$C$52,0)),"")</f>
        <v/>
      </c>
      <c r="F157" s="49" t="str">
        <f>IF(Tabla_Registro_Tareas3[[#This Row],[Actividad]]=Indice_Aux_Vacio,"",Indice_PROBLAM_Estudiante3)</f>
        <v/>
      </c>
      <c r="G157" s="7"/>
      <c r="H157" s="8"/>
      <c r="I157" s="9"/>
      <c r="K157" s="12" t="str" cm="1">
        <f t="array" ref="K157">IF($B157&lt;&gt;"",TRANSPOSE(_xlfn._xlws.FILTER(plan!$C$4:$C$52, ($B157 &gt;= (plan!$J$4:$J$52-Indice_Plan_ExtensionPlazo))*($B157 &lt;= (plan!$K$4:$K$52+Indice_Plan_ExtensionPlazo)), "")), "")</f>
        <v/>
      </c>
      <c r="BH157" s="4"/>
    </row>
    <row r="158" spans="2:60" x14ac:dyDescent="0.3">
      <c r="B158" s="6"/>
      <c r="C158" s="10"/>
      <c r="D158" s="48" t="str">
        <f>IF(Tabla_Registro_Tareas3[[#This Row],[Actividad]]=Indice_Aux_Vacio,"",IFERROR(INDEX(plan!$D$4:$D$52,MATCH(Tabla_Registro_Tareas3[[#This Row],[Actividad]],plan!$C$4:$C$52,0)),""))</f>
        <v/>
      </c>
      <c r="E158" s="48" t="str">
        <f>IFERROR(INDEX(plan!$E$4:$E$52,MATCH(Tabla_Registro_Tareas3[[#This Row],[Actividad]],plan!$C$4:$C$52,0)),"")</f>
        <v/>
      </c>
      <c r="F158" s="49" t="str">
        <f>IF(Tabla_Registro_Tareas3[[#This Row],[Actividad]]=Indice_Aux_Vacio,"",Indice_PROBLAM_Estudiante3)</f>
        <v/>
      </c>
      <c r="G158" s="7"/>
      <c r="H158" s="8"/>
      <c r="I158" s="9"/>
      <c r="K158" s="12" t="str" cm="1">
        <f t="array" ref="K158">IF($B158&lt;&gt;"",TRANSPOSE(_xlfn._xlws.FILTER(plan!$C$4:$C$52, ($B158 &gt;= (plan!$J$4:$J$52-Indice_Plan_ExtensionPlazo))*($B158 &lt;= (plan!$K$4:$K$52+Indice_Plan_ExtensionPlazo)), "")), "")</f>
        <v/>
      </c>
      <c r="BH158" s="4"/>
    </row>
    <row r="159" spans="2:60" x14ac:dyDescent="0.3">
      <c r="B159" s="6"/>
      <c r="C159" s="10"/>
      <c r="D159" s="48" t="str">
        <f>IF(Tabla_Registro_Tareas3[[#This Row],[Actividad]]=Indice_Aux_Vacio,"",IFERROR(INDEX(plan!$D$4:$D$52,MATCH(Tabla_Registro_Tareas3[[#This Row],[Actividad]],plan!$C$4:$C$52,0)),""))</f>
        <v/>
      </c>
      <c r="E159" s="48" t="str">
        <f>IFERROR(INDEX(plan!$E$4:$E$52,MATCH(Tabla_Registro_Tareas3[[#This Row],[Actividad]],plan!$C$4:$C$52,0)),"")</f>
        <v/>
      </c>
      <c r="F159" s="49" t="str">
        <f>IF(Tabla_Registro_Tareas3[[#This Row],[Actividad]]=Indice_Aux_Vacio,"",Indice_PROBLAM_Estudiante3)</f>
        <v/>
      </c>
      <c r="G159" s="7"/>
      <c r="H159" s="8"/>
      <c r="I159" s="9"/>
      <c r="K159" s="12" t="str" cm="1">
        <f t="array" ref="K159">IF($B159&lt;&gt;"",TRANSPOSE(_xlfn._xlws.FILTER(plan!$C$4:$C$52, ($B159 &gt;= (plan!$J$4:$J$52-Indice_Plan_ExtensionPlazo))*($B159 &lt;= (plan!$K$4:$K$52+Indice_Plan_ExtensionPlazo)), "")), "")</f>
        <v/>
      </c>
      <c r="BH159" s="4"/>
    </row>
    <row r="160" spans="2:60" x14ac:dyDescent="0.3">
      <c r="B160" s="6"/>
      <c r="C160" s="10"/>
      <c r="D160" s="48" t="str">
        <f>IF(Tabla_Registro_Tareas3[[#This Row],[Actividad]]=Indice_Aux_Vacio,"",IFERROR(INDEX(plan!$D$4:$D$52,MATCH(Tabla_Registro_Tareas3[[#This Row],[Actividad]],plan!$C$4:$C$52,0)),""))</f>
        <v/>
      </c>
      <c r="E160" s="48" t="str">
        <f>IFERROR(INDEX(plan!$E$4:$E$52,MATCH(Tabla_Registro_Tareas3[[#This Row],[Actividad]],plan!$C$4:$C$52,0)),"")</f>
        <v/>
      </c>
      <c r="F160" s="49" t="str">
        <f>IF(Tabla_Registro_Tareas3[[#This Row],[Actividad]]=Indice_Aux_Vacio,"",Indice_PROBLAM_Estudiante3)</f>
        <v/>
      </c>
      <c r="G160" s="7"/>
      <c r="H160" s="8"/>
      <c r="I160" s="9"/>
      <c r="K160" s="12" t="str" cm="1">
        <f t="array" ref="K160">IF($B160&lt;&gt;"",TRANSPOSE(_xlfn._xlws.FILTER(plan!$C$4:$C$52, ($B160 &gt;= (plan!$J$4:$J$52-Indice_Plan_ExtensionPlazo))*($B160 &lt;= (plan!$K$4:$K$52+Indice_Plan_ExtensionPlazo)), "")), "")</f>
        <v/>
      </c>
      <c r="BH160" s="4"/>
    </row>
    <row r="161" spans="2:60" x14ac:dyDescent="0.3">
      <c r="B161" s="6"/>
      <c r="C161" s="10"/>
      <c r="D161" s="48" t="str">
        <f>IF(Tabla_Registro_Tareas3[[#This Row],[Actividad]]=Indice_Aux_Vacio,"",IFERROR(INDEX(plan!$D$4:$D$52,MATCH(Tabla_Registro_Tareas3[[#This Row],[Actividad]],plan!$C$4:$C$52,0)),""))</f>
        <v/>
      </c>
      <c r="E161" s="48" t="str">
        <f>IFERROR(INDEX(plan!$E$4:$E$52,MATCH(Tabla_Registro_Tareas3[[#This Row],[Actividad]],plan!$C$4:$C$52,0)),"")</f>
        <v/>
      </c>
      <c r="F161" s="49" t="str">
        <f>IF(Tabla_Registro_Tareas3[[#This Row],[Actividad]]=Indice_Aux_Vacio,"",Indice_PROBLAM_Estudiante3)</f>
        <v/>
      </c>
      <c r="G161" s="7"/>
      <c r="H161" s="8"/>
      <c r="I161" s="9"/>
      <c r="K161" s="12" t="str" cm="1">
        <f t="array" ref="K161">IF($B161&lt;&gt;"",TRANSPOSE(_xlfn._xlws.FILTER(plan!$C$4:$C$52, ($B161 &gt;= (plan!$J$4:$J$52-Indice_Plan_ExtensionPlazo))*($B161 &lt;= (plan!$K$4:$K$52+Indice_Plan_ExtensionPlazo)), "")), "")</f>
        <v/>
      </c>
      <c r="BH161" s="4"/>
    </row>
    <row r="162" spans="2:60" x14ac:dyDescent="0.3">
      <c r="B162" s="6"/>
      <c r="C162" s="10"/>
      <c r="D162" s="48" t="str">
        <f>IF(Tabla_Registro_Tareas3[[#This Row],[Actividad]]=Indice_Aux_Vacio,"",IFERROR(INDEX(plan!$D$4:$D$52,MATCH(Tabla_Registro_Tareas3[[#This Row],[Actividad]],plan!$C$4:$C$52,0)),""))</f>
        <v/>
      </c>
      <c r="E162" s="48" t="str">
        <f>IFERROR(INDEX(plan!$E$4:$E$52,MATCH(Tabla_Registro_Tareas3[[#This Row],[Actividad]],plan!$C$4:$C$52,0)),"")</f>
        <v/>
      </c>
      <c r="F162" s="49" t="str">
        <f>IF(Tabla_Registro_Tareas3[[#This Row],[Actividad]]=Indice_Aux_Vacio,"",Indice_PROBLAM_Estudiante3)</f>
        <v/>
      </c>
      <c r="G162" s="7"/>
      <c r="H162" s="8"/>
      <c r="I162" s="9"/>
      <c r="K162" s="12" t="str" cm="1">
        <f t="array" ref="K162">IF($B162&lt;&gt;"",TRANSPOSE(_xlfn._xlws.FILTER(plan!$C$4:$C$52, ($B162 &gt;= (plan!$J$4:$J$52-Indice_Plan_ExtensionPlazo))*($B162 &lt;= (plan!$K$4:$K$52+Indice_Plan_ExtensionPlazo)), "")), "")</f>
        <v/>
      </c>
      <c r="BH162" s="4"/>
    </row>
    <row r="163" spans="2:60" x14ac:dyDescent="0.3">
      <c r="B163" s="6"/>
      <c r="C163" s="10"/>
      <c r="D163" s="48" t="str">
        <f>IF(Tabla_Registro_Tareas3[[#This Row],[Actividad]]=Indice_Aux_Vacio,"",IFERROR(INDEX(plan!$D$4:$D$52,MATCH(Tabla_Registro_Tareas3[[#This Row],[Actividad]],plan!$C$4:$C$52,0)),""))</f>
        <v/>
      </c>
      <c r="E163" s="48" t="str">
        <f>IFERROR(INDEX(plan!$E$4:$E$52,MATCH(Tabla_Registro_Tareas3[[#This Row],[Actividad]],plan!$C$4:$C$52,0)),"")</f>
        <v/>
      </c>
      <c r="F163" s="49" t="str">
        <f>IF(Tabla_Registro_Tareas3[[#This Row],[Actividad]]=Indice_Aux_Vacio,"",Indice_PROBLAM_Estudiante3)</f>
        <v/>
      </c>
      <c r="G163" s="7"/>
      <c r="H163" s="8"/>
      <c r="I163" s="9"/>
      <c r="K163" s="12" t="str" cm="1">
        <f t="array" ref="K163">IF($B163&lt;&gt;"",TRANSPOSE(_xlfn._xlws.FILTER(plan!$C$4:$C$52, ($B163 &gt;= (plan!$J$4:$J$52-Indice_Plan_ExtensionPlazo))*($B163 &lt;= (plan!$K$4:$K$52+Indice_Plan_ExtensionPlazo)), "")), "")</f>
        <v/>
      </c>
      <c r="BH163" s="4"/>
    </row>
    <row r="164" spans="2:60" x14ac:dyDescent="0.3">
      <c r="B164" s="6"/>
      <c r="C164" s="10"/>
      <c r="D164" s="48" t="str">
        <f>IF(Tabla_Registro_Tareas3[[#This Row],[Actividad]]=Indice_Aux_Vacio,"",IFERROR(INDEX(plan!$D$4:$D$52,MATCH(Tabla_Registro_Tareas3[[#This Row],[Actividad]],plan!$C$4:$C$52,0)),""))</f>
        <v/>
      </c>
      <c r="E164" s="48" t="str">
        <f>IFERROR(INDEX(plan!$E$4:$E$52,MATCH(Tabla_Registro_Tareas3[[#This Row],[Actividad]],plan!$C$4:$C$52,0)),"")</f>
        <v/>
      </c>
      <c r="F164" s="49" t="str">
        <f>IF(Tabla_Registro_Tareas3[[#This Row],[Actividad]]=Indice_Aux_Vacio,"",Indice_PROBLAM_Estudiante3)</f>
        <v/>
      </c>
      <c r="G164" s="7"/>
      <c r="H164" s="8"/>
      <c r="I164" s="9"/>
      <c r="K164" s="12" t="str" cm="1">
        <f t="array" ref="K164">IF($B164&lt;&gt;"",TRANSPOSE(_xlfn._xlws.FILTER(plan!$C$4:$C$52, ($B164 &gt;= (plan!$J$4:$J$52-Indice_Plan_ExtensionPlazo))*($B164 &lt;= (plan!$K$4:$K$52+Indice_Plan_ExtensionPlazo)), "")), "")</f>
        <v/>
      </c>
      <c r="BH164" s="4"/>
    </row>
    <row r="165" spans="2:60" x14ac:dyDescent="0.3">
      <c r="B165" s="6"/>
      <c r="C165" s="10"/>
      <c r="D165" s="48" t="str">
        <f>IF(Tabla_Registro_Tareas3[[#This Row],[Actividad]]=Indice_Aux_Vacio,"",IFERROR(INDEX(plan!$D$4:$D$52,MATCH(Tabla_Registro_Tareas3[[#This Row],[Actividad]],plan!$C$4:$C$52,0)),""))</f>
        <v/>
      </c>
      <c r="E165" s="48" t="str">
        <f>IFERROR(INDEX(plan!$E$4:$E$52,MATCH(Tabla_Registro_Tareas3[[#This Row],[Actividad]],plan!$C$4:$C$52,0)),"")</f>
        <v/>
      </c>
      <c r="F165" s="49" t="str">
        <f>IF(Tabla_Registro_Tareas3[[#This Row],[Actividad]]=Indice_Aux_Vacio,"",Indice_PROBLAM_Estudiante3)</f>
        <v/>
      </c>
      <c r="G165" s="7"/>
      <c r="H165" s="8"/>
      <c r="I165" s="9"/>
      <c r="K165" s="12" t="str" cm="1">
        <f t="array" ref="K165">IF($B165&lt;&gt;"",TRANSPOSE(_xlfn._xlws.FILTER(plan!$C$4:$C$52, ($B165 &gt;= (plan!$J$4:$J$52-Indice_Plan_ExtensionPlazo))*($B165 &lt;= (plan!$K$4:$K$52+Indice_Plan_ExtensionPlazo)), "")), "")</f>
        <v/>
      </c>
      <c r="BH165" s="4"/>
    </row>
    <row r="166" spans="2:60" x14ac:dyDescent="0.3">
      <c r="B166" s="6"/>
      <c r="C166" s="10"/>
      <c r="D166" s="48" t="str">
        <f>IF(Tabla_Registro_Tareas3[[#This Row],[Actividad]]=Indice_Aux_Vacio,"",IFERROR(INDEX(plan!$D$4:$D$52,MATCH(Tabla_Registro_Tareas3[[#This Row],[Actividad]],plan!$C$4:$C$52,0)),""))</f>
        <v/>
      </c>
      <c r="E166" s="48" t="str">
        <f>IFERROR(INDEX(plan!$E$4:$E$52,MATCH(Tabla_Registro_Tareas3[[#This Row],[Actividad]],plan!$C$4:$C$52,0)),"")</f>
        <v/>
      </c>
      <c r="F166" s="49" t="str">
        <f>IF(Tabla_Registro_Tareas3[[#This Row],[Actividad]]=Indice_Aux_Vacio,"",Indice_PROBLAM_Estudiante3)</f>
        <v/>
      </c>
      <c r="G166" s="7"/>
      <c r="H166" s="8"/>
      <c r="I166" s="9"/>
      <c r="K166" s="12" t="str" cm="1">
        <f t="array" ref="K166">IF($B166&lt;&gt;"",TRANSPOSE(_xlfn._xlws.FILTER(plan!$C$4:$C$52, ($B166 &gt;= (plan!$J$4:$J$52-Indice_Plan_ExtensionPlazo))*($B166 &lt;= (plan!$K$4:$K$52+Indice_Plan_ExtensionPlazo)), "")), "")</f>
        <v/>
      </c>
      <c r="BH166" s="4"/>
    </row>
    <row r="167" spans="2:60" x14ac:dyDescent="0.3">
      <c r="B167" s="6"/>
      <c r="C167" s="10"/>
      <c r="D167" s="48" t="str">
        <f>IF(Tabla_Registro_Tareas3[[#This Row],[Actividad]]=Indice_Aux_Vacio,"",IFERROR(INDEX(plan!$D$4:$D$52,MATCH(Tabla_Registro_Tareas3[[#This Row],[Actividad]],plan!$C$4:$C$52,0)),""))</f>
        <v/>
      </c>
      <c r="E167" s="48" t="str">
        <f>IFERROR(INDEX(plan!$E$4:$E$52,MATCH(Tabla_Registro_Tareas3[[#This Row],[Actividad]],plan!$C$4:$C$52,0)),"")</f>
        <v/>
      </c>
      <c r="F167" s="49" t="str">
        <f>IF(Tabla_Registro_Tareas3[[#This Row],[Actividad]]=Indice_Aux_Vacio,"",Indice_PROBLAM_Estudiante3)</f>
        <v/>
      </c>
      <c r="G167" s="7"/>
      <c r="H167" s="8"/>
      <c r="I167" s="9"/>
      <c r="K167" s="12" t="str" cm="1">
        <f t="array" ref="K167">IF($B167&lt;&gt;"",TRANSPOSE(_xlfn._xlws.FILTER(plan!$C$4:$C$52, ($B167 &gt;= (plan!$J$4:$J$52-Indice_Plan_ExtensionPlazo))*($B167 &lt;= (plan!$K$4:$K$52+Indice_Plan_ExtensionPlazo)), "")), "")</f>
        <v/>
      </c>
      <c r="BH167" s="4"/>
    </row>
    <row r="168" spans="2:60" x14ac:dyDescent="0.3">
      <c r="B168" s="6"/>
      <c r="C168" s="10"/>
      <c r="D168" s="48" t="str">
        <f>IF(Tabla_Registro_Tareas3[[#This Row],[Actividad]]=Indice_Aux_Vacio,"",IFERROR(INDEX(plan!$D$4:$D$52,MATCH(Tabla_Registro_Tareas3[[#This Row],[Actividad]],plan!$C$4:$C$52,0)),""))</f>
        <v/>
      </c>
      <c r="E168" s="48" t="str">
        <f>IFERROR(INDEX(plan!$E$4:$E$52,MATCH(Tabla_Registro_Tareas3[[#This Row],[Actividad]],plan!$C$4:$C$52,0)),"")</f>
        <v/>
      </c>
      <c r="F168" s="49" t="str">
        <f>IF(Tabla_Registro_Tareas3[[#This Row],[Actividad]]=Indice_Aux_Vacio,"",Indice_PROBLAM_Estudiante3)</f>
        <v/>
      </c>
      <c r="G168" s="7"/>
      <c r="H168" s="8"/>
      <c r="I168" s="9"/>
      <c r="K168" s="12" t="str" cm="1">
        <f t="array" ref="K168">IF($B168&lt;&gt;"",TRANSPOSE(_xlfn._xlws.FILTER(plan!$C$4:$C$52, ($B168 &gt;= (plan!$J$4:$J$52-Indice_Plan_ExtensionPlazo))*($B168 &lt;= (plan!$K$4:$K$52+Indice_Plan_ExtensionPlazo)), "")), "")</f>
        <v/>
      </c>
      <c r="BH168" s="4"/>
    </row>
    <row r="169" spans="2:60" x14ac:dyDescent="0.3">
      <c r="B169" s="6"/>
      <c r="C169" s="10"/>
      <c r="D169" s="48" t="str">
        <f>IF(Tabla_Registro_Tareas3[[#This Row],[Actividad]]=Indice_Aux_Vacio,"",IFERROR(INDEX(plan!$D$4:$D$52,MATCH(Tabla_Registro_Tareas3[[#This Row],[Actividad]],plan!$C$4:$C$52,0)),""))</f>
        <v/>
      </c>
      <c r="E169" s="48" t="str">
        <f>IFERROR(INDEX(plan!$E$4:$E$52,MATCH(Tabla_Registro_Tareas3[[#This Row],[Actividad]],plan!$C$4:$C$52,0)),"")</f>
        <v/>
      </c>
      <c r="F169" s="49" t="str">
        <f>IF(Tabla_Registro_Tareas3[[#This Row],[Actividad]]=Indice_Aux_Vacio,"",Indice_PROBLAM_Estudiante3)</f>
        <v/>
      </c>
      <c r="G169" s="7"/>
      <c r="H169" s="8"/>
      <c r="I169" s="9"/>
      <c r="K169" s="12" t="str" cm="1">
        <f t="array" ref="K169">IF($B169&lt;&gt;"",TRANSPOSE(_xlfn._xlws.FILTER(plan!$C$4:$C$52, ($B169 &gt;= (plan!$J$4:$J$52-Indice_Plan_ExtensionPlazo))*($B169 &lt;= (plan!$K$4:$K$52+Indice_Plan_ExtensionPlazo)), "")), "")</f>
        <v/>
      </c>
      <c r="BH169" s="4"/>
    </row>
    <row r="170" spans="2:60" x14ac:dyDescent="0.3">
      <c r="B170" s="6"/>
      <c r="C170" s="10"/>
      <c r="D170" s="48" t="str">
        <f>IF(Tabla_Registro_Tareas3[[#This Row],[Actividad]]=Indice_Aux_Vacio,"",IFERROR(INDEX(plan!$D$4:$D$52,MATCH(Tabla_Registro_Tareas3[[#This Row],[Actividad]],plan!$C$4:$C$52,0)),""))</f>
        <v/>
      </c>
      <c r="E170" s="48" t="str">
        <f>IFERROR(INDEX(plan!$E$4:$E$52,MATCH(Tabla_Registro_Tareas3[[#This Row],[Actividad]],plan!$C$4:$C$52,0)),"")</f>
        <v/>
      </c>
      <c r="F170" s="49" t="str">
        <f>IF(Tabla_Registro_Tareas3[[#This Row],[Actividad]]=Indice_Aux_Vacio,"",Indice_PROBLAM_Estudiante3)</f>
        <v/>
      </c>
      <c r="G170" s="7"/>
      <c r="H170" s="8"/>
      <c r="I170" s="9"/>
      <c r="K170" s="12" t="str" cm="1">
        <f t="array" ref="K170">IF($B170&lt;&gt;"",TRANSPOSE(_xlfn._xlws.FILTER(plan!$C$4:$C$52, ($B170 &gt;= (plan!$J$4:$J$52-Indice_Plan_ExtensionPlazo))*($B170 &lt;= (plan!$K$4:$K$52+Indice_Plan_ExtensionPlazo)), "")), "")</f>
        <v/>
      </c>
      <c r="BH170" s="4"/>
    </row>
    <row r="171" spans="2:60" x14ac:dyDescent="0.3">
      <c r="B171" s="6"/>
      <c r="C171" s="10"/>
      <c r="D171" s="48" t="str">
        <f>IF(Tabla_Registro_Tareas3[[#This Row],[Actividad]]=Indice_Aux_Vacio,"",IFERROR(INDEX(plan!$D$4:$D$52,MATCH(Tabla_Registro_Tareas3[[#This Row],[Actividad]],plan!$C$4:$C$52,0)),""))</f>
        <v/>
      </c>
      <c r="E171" s="48" t="str">
        <f>IFERROR(INDEX(plan!$E$4:$E$52,MATCH(Tabla_Registro_Tareas3[[#This Row],[Actividad]],plan!$C$4:$C$52,0)),"")</f>
        <v/>
      </c>
      <c r="F171" s="49" t="str">
        <f>IF(Tabla_Registro_Tareas3[[#This Row],[Actividad]]=Indice_Aux_Vacio,"",Indice_PROBLAM_Estudiante3)</f>
        <v/>
      </c>
      <c r="G171" s="7"/>
      <c r="H171" s="8"/>
      <c r="I171" s="9"/>
      <c r="K171" s="12" t="str" cm="1">
        <f t="array" ref="K171">IF($B171&lt;&gt;"",TRANSPOSE(_xlfn._xlws.FILTER(plan!$C$4:$C$52, ($B171 &gt;= (plan!$J$4:$J$52-Indice_Plan_ExtensionPlazo))*($B171 &lt;= (plan!$K$4:$K$52+Indice_Plan_ExtensionPlazo)), "")), "")</f>
        <v/>
      </c>
      <c r="BH171" s="4"/>
    </row>
    <row r="172" spans="2:60" x14ac:dyDescent="0.3">
      <c r="B172" s="6"/>
      <c r="C172" s="10"/>
      <c r="D172" s="48" t="str">
        <f>IF(Tabla_Registro_Tareas3[[#This Row],[Actividad]]=Indice_Aux_Vacio,"",IFERROR(INDEX(plan!$D$4:$D$52,MATCH(Tabla_Registro_Tareas3[[#This Row],[Actividad]],plan!$C$4:$C$52,0)),""))</f>
        <v/>
      </c>
      <c r="E172" s="48" t="str">
        <f>IFERROR(INDEX(plan!$E$4:$E$52,MATCH(Tabla_Registro_Tareas3[[#This Row],[Actividad]],plan!$C$4:$C$52,0)),"")</f>
        <v/>
      </c>
      <c r="F172" s="49" t="str">
        <f>IF(Tabla_Registro_Tareas3[[#This Row],[Actividad]]=Indice_Aux_Vacio,"",Indice_PROBLAM_Estudiante3)</f>
        <v/>
      </c>
      <c r="G172" s="7"/>
      <c r="H172" s="8"/>
      <c r="I172" s="9"/>
      <c r="K172" s="12" t="str" cm="1">
        <f t="array" ref="K172">IF($B172&lt;&gt;"",TRANSPOSE(_xlfn._xlws.FILTER(plan!$C$4:$C$52, ($B172 &gt;= (plan!$J$4:$J$52-Indice_Plan_ExtensionPlazo))*($B172 &lt;= (plan!$K$4:$K$52+Indice_Plan_ExtensionPlazo)), "")), "")</f>
        <v/>
      </c>
      <c r="BH172" s="4"/>
    </row>
    <row r="173" spans="2:60" x14ac:dyDescent="0.3">
      <c r="B173" s="6"/>
      <c r="C173" s="10"/>
      <c r="D173" s="48" t="str">
        <f>IF(Tabla_Registro_Tareas3[[#This Row],[Actividad]]=Indice_Aux_Vacio,"",IFERROR(INDEX(plan!$D$4:$D$52,MATCH(Tabla_Registro_Tareas3[[#This Row],[Actividad]],plan!$C$4:$C$52,0)),""))</f>
        <v/>
      </c>
      <c r="E173" s="48" t="str">
        <f>IFERROR(INDEX(plan!$E$4:$E$52,MATCH(Tabla_Registro_Tareas3[[#This Row],[Actividad]],plan!$C$4:$C$52,0)),"")</f>
        <v/>
      </c>
      <c r="F173" s="49" t="str">
        <f>IF(Tabla_Registro_Tareas3[[#This Row],[Actividad]]=Indice_Aux_Vacio,"",Indice_PROBLAM_Estudiante3)</f>
        <v/>
      </c>
      <c r="G173" s="7"/>
      <c r="H173" s="8"/>
      <c r="I173" s="9"/>
      <c r="K173" s="12" t="str" cm="1">
        <f t="array" ref="K173">IF($B173&lt;&gt;"",TRANSPOSE(_xlfn._xlws.FILTER(plan!$C$4:$C$52, ($B173 &gt;= (plan!$J$4:$J$52-Indice_Plan_ExtensionPlazo))*($B173 &lt;= (plan!$K$4:$K$52+Indice_Plan_ExtensionPlazo)), "")), "")</f>
        <v/>
      </c>
      <c r="BH173" s="4"/>
    </row>
    <row r="174" spans="2:60" x14ac:dyDescent="0.3">
      <c r="B174" s="6"/>
      <c r="C174" s="10"/>
      <c r="D174" s="48" t="str">
        <f>IF(Tabla_Registro_Tareas3[[#This Row],[Actividad]]=Indice_Aux_Vacio,"",IFERROR(INDEX(plan!$D$4:$D$52,MATCH(Tabla_Registro_Tareas3[[#This Row],[Actividad]],plan!$C$4:$C$52,0)),""))</f>
        <v/>
      </c>
      <c r="E174" s="48" t="str">
        <f>IFERROR(INDEX(plan!$E$4:$E$52,MATCH(Tabla_Registro_Tareas3[[#This Row],[Actividad]],plan!$C$4:$C$52,0)),"")</f>
        <v/>
      </c>
      <c r="F174" s="49" t="str">
        <f>IF(Tabla_Registro_Tareas3[[#This Row],[Actividad]]=Indice_Aux_Vacio,"",Indice_PROBLAM_Estudiante3)</f>
        <v/>
      </c>
      <c r="G174" s="7"/>
      <c r="H174" s="8"/>
      <c r="I174" s="9"/>
      <c r="K174" s="12" t="str" cm="1">
        <f t="array" ref="K174">IF($B174&lt;&gt;"",TRANSPOSE(_xlfn._xlws.FILTER(plan!$C$4:$C$52, ($B174 &gt;= (plan!$J$4:$J$52-Indice_Plan_ExtensionPlazo))*($B174 &lt;= (plan!$K$4:$K$52+Indice_Plan_ExtensionPlazo)), "")), "")</f>
        <v/>
      </c>
      <c r="BH174" s="4"/>
    </row>
    <row r="175" spans="2:60" x14ac:dyDescent="0.3">
      <c r="B175" s="6"/>
      <c r="C175" s="10"/>
      <c r="D175" s="48" t="str">
        <f>IF(Tabla_Registro_Tareas3[[#This Row],[Actividad]]=Indice_Aux_Vacio,"",IFERROR(INDEX(plan!$D$4:$D$52,MATCH(Tabla_Registro_Tareas3[[#This Row],[Actividad]],plan!$C$4:$C$52,0)),""))</f>
        <v/>
      </c>
      <c r="E175" s="48" t="str">
        <f>IFERROR(INDEX(plan!$E$4:$E$52,MATCH(Tabla_Registro_Tareas3[[#This Row],[Actividad]],plan!$C$4:$C$52,0)),"")</f>
        <v/>
      </c>
      <c r="F175" s="49" t="str">
        <f>IF(Tabla_Registro_Tareas3[[#This Row],[Actividad]]=Indice_Aux_Vacio,"",Indice_PROBLAM_Estudiante3)</f>
        <v/>
      </c>
      <c r="G175" s="7"/>
      <c r="H175" s="8"/>
      <c r="I175" s="9"/>
      <c r="K175" s="12" t="str" cm="1">
        <f t="array" ref="K175">IF($B175&lt;&gt;"",TRANSPOSE(_xlfn._xlws.FILTER(plan!$C$4:$C$52, ($B175 &gt;= (plan!$J$4:$J$52-Indice_Plan_ExtensionPlazo))*($B175 &lt;= (plan!$K$4:$K$52+Indice_Plan_ExtensionPlazo)), "")), "")</f>
        <v/>
      </c>
      <c r="BH175" s="4"/>
    </row>
    <row r="176" spans="2:60" x14ac:dyDescent="0.3">
      <c r="B176" s="6"/>
      <c r="C176" s="10"/>
      <c r="D176" s="48" t="str">
        <f>IF(Tabla_Registro_Tareas3[[#This Row],[Actividad]]=Indice_Aux_Vacio,"",IFERROR(INDEX(plan!$D$4:$D$52,MATCH(Tabla_Registro_Tareas3[[#This Row],[Actividad]],plan!$C$4:$C$52,0)),""))</f>
        <v/>
      </c>
      <c r="E176" s="48" t="str">
        <f>IFERROR(INDEX(plan!$E$4:$E$52,MATCH(Tabla_Registro_Tareas3[[#This Row],[Actividad]],plan!$C$4:$C$52,0)),"")</f>
        <v/>
      </c>
      <c r="F176" s="49" t="str">
        <f>IF(Tabla_Registro_Tareas3[[#This Row],[Actividad]]=Indice_Aux_Vacio,"",Indice_PROBLAM_Estudiante3)</f>
        <v/>
      </c>
      <c r="G176" s="7"/>
      <c r="H176" s="8"/>
      <c r="I176" s="9"/>
      <c r="K176" s="12" t="str" cm="1">
        <f t="array" ref="K176">IF($B176&lt;&gt;"",TRANSPOSE(_xlfn._xlws.FILTER(plan!$C$4:$C$52, ($B176 &gt;= (plan!$J$4:$J$52-Indice_Plan_ExtensionPlazo))*($B176 &lt;= (plan!$K$4:$K$52+Indice_Plan_ExtensionPlazo)), "")), "")</f>
        <v/>
      </c>
      <c r="BH176" s="4"/>
    </row>
    <row r="177" spans="2:60" x14ac:dyDescent="0.3">
      <c r="B177" s="6"/>
      <c r="C177" s="10"/>
      <c r="D177" s="48" t="str">
        <f>IF(Tabla_Registro_Tareas3[[#This Row],[Actividad]]=Indice_Aux_Vacio,"",IFERROR(INDEX(plan!$D$4:$D$52,MATCH(Tabla_Registro_Tareas3[[#This Row],[Actividad]],plan!$C$4:$C$52,0)),""))</f>
        <v/>
      </c>
      <c r="E177" s="48" t="str">
        <f>IFERROR(INDEX(plan!$E$4:$E$52,MATCH(Tabla_Registro_Tareas3[[#This Row],[Actividad]],plan!$C$4:$C$52,0)),"")</f>
        <v/>
      </c>
      <c r="F177" s="49" t="str">
        <f>IF(Tabla_Registro_Tareas3[[#This Row],[Actividad]]=Indice_Aux_Vacio,"",Indice_PROBLAM_Estudiante3)</f>
        <v/>
      </c>
      <c r="G177" s="7"/>
      <c r="H177" s="8"/>
      <c r="I177" s="9"/>
      <c r="K177" s="12" t="str" cm="1">
        <f t="array" ref="K177">IF($B177&lt;&gt;"",TRANSPOSE(_xlfn._xlws.FILTER(plan!$C$4:$C$52, ($B177 &gt;= (plan!$J$4:$J$52-Indice_Plan_ExtensionPlazo))*($B177 &lt;= (plan!$K$4:$K$52+Indice_Plan_ExtensionPlazo)), "")), "")</f>
        <v/>
      </c>
      <c r="BH177" s="4"/>
    </row>
    <row r="178" spans="2:60" x14ac:dyDescent="0.3">
      <c r="B178" s="6"/>
      <c r="C178" s="10"/>
      <c r="D178" s="48" t="str">
        <f>IF(Tabla_Registro_Tareas3[[#This Row],[Actividad]]=Indice_Aux_Vacio,"",IFERROR(INDEX(plan!$D$4:$D$52,MATCH(Tabla_Registro_Tareas3[[#This Row],[Actividad]],plan!$C$4:$C$52,0)),""))</f>
        <v/>
      </c>
      <c r="E178" s="48" t="str">
        <f>IFERROR(INDEX(plan!$E$4:$E$52,MATCH(Tabla_Registro_Tareas3[[#This Row],[Actividad]],plan!$C$4:$C$52,0)),"")</f>
        <v/>
      </c>
      <c r="F178" s="49" t="str">
        <f>IF(Tabla_Registro_Tareas3[[#This Row],[Actividad]]=Indice_Aux_Vacio,"",Indice_PROBLAM_Estudiante3)</f>
        <v/>
      </c>
      <c r="G178" s="7"/>
      <c r="H178" s="8"/>
      <c r="I178" s="9"/>
      <c r="K178" s="12" t="str" cm="1">
        <f t="array" ref="K178">IF($B178&lt;&gt;"",TRANSPOSE(_xlfn._xlws.FILTER(plan!$C$4:$C$52, ($B178 &gt;= (plan!$J$4:$J$52-Indice_Plan_ExtensionPlazo))*($B178 &lt;= (plan!$K$4:$K$52+Indice_Plan_ExtensionPlazo)), "")), "")</f>
        <v/>
      </c>
      <c r="BH178" s="4"/>
    </row>
    <row r="179" spans="2:60" x14ac:dyDescent="0.3">
      <c r="B179" s="6"/>
      <c r="C179" s="10"/>
      <c r="D179" s="48" t="str">
        <f>IF(Tabla_Registro_Tareas3[[#This Row],[Actividad]]=Indice_Aux_Vacio,"",IFERROR(INDEX(plan!$D$4:$D$52,MATCH(Tabla_Registro_Tareas3[[#This Row],[Actividad]],plan!$C$4:$C$52,0)),""))</f>
        <v/>
      </c>
      <c r="E179" s="48" t="str">
        <f>IFERROR(INDEX(plan!$E$4:$E$52,MATCH(Tabla_Registro_Tareas3[[#This Row],[Actividad]],plan!$C$4:$C$52,0)),"")</f>
        <v/>
      </c>
      <c r="F179" s="49" t="str">
        <f>IF(Tabla_Registro_Tareas3[[#This Row],[Actividad]]=Indice_Aux_Vacio,"",Indice_PROBLAM_Estudiante3)</f>
        <v/>
      </c>
      <c r="G179" s="7"/>
      <c r="H179" s="8"/>
      <c r="I179" s="9"/>
      <c r="K179" s="12" t="str" cm="1">
        <f t="array" ref="K179">IF($B179&lt;&gt;"",TRANSPOSE(_xlfn._xlws.FILTER(plan!$C$4:$C$52, ($B179 &gt;= (plan!$J$4:$J$52-Indice_Plan_ExtensionPlazo))*($B179 &lt;= (plan!$K$4:$K$52+Indice_Plan_ExtensionPlazo)), "")), "")</f>
        <v/>
      </c>
      <c r="BH179" s="4"/>
    </row>
    <row r="180" spans="2:60" x14ac:dyDescent="0.3">
      <c r="B180" s="6"/>
      <c r="C180" s="10"/>
      <c r="D180" s="48" t="str">
        <f>IF(Tabla_Registro_Tareas3[[#This Row],[Actividad]]=Indice_Aux_Vacio,"",IFERROR(INDEX(plan!$D$4:$D$52,MATCH(Tabla_Registro_Tareas3[[#This Row],[Actividad]],plan!$C$4:$C$52,0)),""))</f>
        <v/>
      </c>
      <c r="E180" s="48" t="str">
        <f>IFERROR(INDEX(plan!$E$4:$E$52,MATCH(Tabla_Registro_Tareas3[[#This Row],[Actividad]],plan!$C$4:$C$52,0)),"")</f>
        <v/>
      </c>
      <c r="F180" s="49" t="str">
        <f>IF(Tabla_Registro_Tareas3[[#This Row],[Actividad]]=Indice_Aux_Vacio,"",Indice_PROBLAM_Estudiante3)</f>
        <v/>
      </c>
      <c r="G180" s="7"/>
      <c r="H180" s="8"/>
      <c r="I180" s="9"/>
      <c r="K180" s="12" t="str" cm="1">
        <f t="array" ref="K180">IF($B180&lt;&gt;"",TRANSPOSE(_xlfn._xlws.FILTER(plan!$C$4:$C$52, ($B180 &gt;= (plan!$J$4:$J$52-Indice_Plan_ExtensionPlazo))*($B180 &lt;= (plan!$K$4:$K$52+Indice_Plan_ExtensionPlazo)), "")), "")</f>
        <v/>
      </c>
      <c r="BH180" s="4"/>
    </row>
    <row r="181" spans="2:60" x14ac:dyDescent="0.3">
      <c r="B181" s="6"/>
      <c r="C181" s="10"/>
      <c r="D181" s="48" t="str">
        <f>IF(Tabla_Registro_Tareas3[[#This Row],[Actividad]]=Indice_Aux_Vacio,"",IFERROR(INDEX(plan!$D$4:$D$52,MATCH(Tabla_Registro_Tareas3[[#This Row],[Actividad]],plan!$C$4:$C$52,0)),""))</f>
        <v/>
      </c>
      <c r="E181" s="48" t="str">
        <f>IFERROR(INDEX(plan!$E$4:$E$52,MATCH(Tabla_Registro_Tareas3[[#This Row],[Actividad]],plan!$C$4:$C$52,0)),"")</f>
        <v/>
      </c>
      <c r="F181" s="49" t="str">
        <f>IF(Tabla_Registro_Tareas3[[#This Row],[Actividad]]=Indice_Aux_Vacio,"",Indice_PROBLAM_Estudiante3)</f>
        <v/>
      </c>
      <c r="G181" s="7"/>
      <c r="H181" s="8"/>
      <c r="I181" s="9"/>
      <c r="K181" s="12" t="str" cm="1">
        <f t="array" ref="K181">IF($B181&lt;&gt;"",TRANSPOSE(_xlfn._xlws.FILTER(plan!$C$4:$C$52, ($B181 &gt;= (plan!$J$4:$J$52-Indice_Plan_ExtensionPlazo))*($B181 &lt;= (plan!$K$4:$K$52+Indice_Plan_ExtensionPlazo)), "")), "")</f>
        <v/>
      </c>
      <c r="BH181" s="4"/>
    </row>
    <row r="182" spans="2:60" x14ac:dyDescent="0.3">
      <c r="B182" s="6"/>
      <c r="C182" s="10"/>
      <c r="D182" s="48" t="str">
        <f>IF(Tabla_Registro_Tareas3[[#This Row],[Actividad]]=Indice_Aux_Vacio,"",IFERROR(INDEX(plan!$D$4:$D$52,MATCH(Tabla_Registro_Tareas3[[#This Row],[Actividad]],plan!$C$4:$C$52,0)),""))</f>
        <v/>
      </c>
      <c r="E182" s="48" t="str">
        <f>IFERROR(INDEX(plan!$E$4:$E$52,MATCH(Tabla_Registro_Tareas3[[#This Row],[Actividad]],plan!$C$4:$C$52,0)),"")</f>
        <v/>
      </c>
      <c r="F182" s="49" t="str">
        <f>IF(Tabla_Registro_Tareas3[[#This Row],[Actividad]]=Indice_Aux_Vacio,"",Indice_PROBLAM_Estudiante3)</f>
        <v/>
      </c>
      <c r="G182" s="7"/>
      <c r="H182" s="8"/>
      <c r="I182" s="9"/>
      <c r="K182" s="12" t="str" cm="1">
        <f t="array" ref="K182">IF($B182&lt;&gt;"",TRANSPOSE(_xlfn._xlws.FILTER(plan!$C$4:$C$52, ($B182 &gt;= (plan!$J$4:$J$52-Indice_Plan_ExtensionPlazo))*($B182 &lt;= (plan!$K$4:$K$52+Indice_Plan_ExtensionPlazo)), "")), "")</f>
        <v/>
      </c>
      <c r="BH182" s="4"/>
    </row>
    <row r="183" spans="2:60" x14ac:dyDescent="0.3">
      <c r="B183" s="6"/>
      <c r="C183" s="10"/>
      <c r="D183" s="48" t="str">
        <f>IF(Tabla_Registro_Tareas3[[#This Row],[Actividad]]=Indice_Aux_Vacio,"",IFERROR(INDEX(plan!$D$4:$D$52,MATCH(Tabla_Registro_Tareas3[[#This Row],[Actividad]],plan!$C$4:$C$52,0)),""))</f>
        <v/>
      </c>
      <c r="E183" s="48" t="str">
        <f>IFERROR(INDEX(plan!$E$4:$E$52,MATCH(Tabla_Registro_Tareas3[[#This Row],[Actividad]],plan!$C$4:$C$52,0)),"")</f>
        <v/>
      </c>
      <c r="F183" s="49" t="str">
        <f>IF(Tabla_Registro_Tareas3[[#This Row],[Actividad]]=Indice_Aux_Vacio,"",Indice_PROBLAM_Estudiante3)</f>
        <v/>
      </c>
      <c r="G183" s="7"/>
      <c r="H183" s="8"/>
      <c r="I183" s="9"/>
      <c r="K183" s="12" t="str" cm="1">
        <f t="array" ref="K183">IF($B183&lt;&gt;"",TRANSPOSE(_xlfn._xlws.FILTER(plan!$C$4:$C$52, ($B183 &gt;= (plan!$J$4:$J$52-Indice_Plan_ExtensionPlazo))*($B183 &lt;= (plan!$K$4:$K$52+Indice_Plan_ExtensionPlazo)), "")), "")</f>
        <v/>
      </c>
      <c r="BH183" s="4"/>
    </row>
    <row r="184" spans="2:60" x14ac:dyDescent="0.3">
      <c r="B184" s="6"/>
      <c r="C184" s="10"/>
      <c r="D184" s="48" t="str">
        <f>IF(Tabla_Registro_Tareas3[[#This Row],[Actividad]]=Indice_Aux_Vacio,"",IFERROR(INDEX(plan!$D$4:$D$52,MATCH(Tabla_Registro_Tareas3[[#This Row],[Actividad]],plan!$C$4:$C$52,0)),""))</f>
        <v/>
      </c>
      <c r="E184" s="48" t="str">
        <f>IFERROR(INDEX(plan!$E$4:$E$52,MATCH(Tabla_Registro_Tareas3[[#This Row],[Actividad]],plan!$C$4:$C$52,0)),"")</f>
        <v/>
      </c>
      <c r="F184" s="49" t="str">
        <f>IF(Tabla_Registro_Tareas3[[#This Row],[Actividad]]=Indice_Aux_Vacio,"",Indice_PROBLAM_Estudiante3)</f>
        <v/>
      </c>
      <c r="G184" s="7"/>
      <c r="H184" s="8"/>
      <c r="I184" s="9"/>
      <c r="K184" s="12" t="str" cm="1">
        <f t="array" ref="K184">IF($B184&lt;&gt;"",TRANSPOSE(_xlfn._xlws.FILTER(plan!$C$4:$C$52, ($B184 &gt;= (plan!$J$4:$J$52-Indice_Plan_ExtensionPlazo))*($B184 &lt;= (plan!$K$4:$K$52+Indice_Plan_ExtensionPlazo)), "")), "")</f>
        <v/>
      </c>
      <c r="BH184" s="4"/>
    </row>
    <row r="185" spans="2:60" x14ac:dyDescent="0.3">
      <c r="B185" s="6"/>
      <c r="C185" s="10"/>
      <c r="D185" s="48" t="str">
        <f>IF(Tabla_Registro_Tareas3[[#This Row],[Actividad]]=Indice_Aux_Vacio,"",IFERROR(INDEX(plan!$D$4:$D$52,MATCH(Tabla_Registro_Tareas3[[#This Row],[Actividad]],plan!$C$4:$C$52,0)),""))</f>
        <v/>
      </c>
      <c r="E185" s="48" t="str">
        <f>IFERROR(INDEX(plan!$E$4:$E$52,MATCH(Tabla_Registro_Tareas3[[#This Row],[Actividad]],plan!$C$4:$C$52,0)),"")</f>
        <v/>
      </c>
      <c r="F185" s="49" t="str">
        <f>IF(Tabla_Registro_Tareas3[[#This Row],[Actividad]]=Indice_Aux_Vacio,"",Indice_PROBLAM_Estudiante3)</f>
        <v/>
      </c>
      <c r="G185" s="7"/>
      <c r="H185" s="8"/>
      <c r="I185" s="9"/>
      <c r="K185" s="12" t="str" cm="1">
        <f t="array" ref="K185">IF($B185&lt;&gt;"",TRANSPOSE(_xlfn._xlws.FILTER(plan!$C$4:$C$52, ($B185 &gt;= (plan!$J$4:$J$52-Indice_Plan_ExtensionPlazo))*($B185 &lt;= (plan!$K$4:$K$52+Indice_Plan_ExtensionPlazo)), "")), "")</f>
        <v/>
      </c>
      <c r="BH185" s="4"/>
    </row>
    <row r="186" spans="2:60" x14ac:dyDescent="0.3">
      <c r="B186" s="6"/>
      <c r="C186" s="10"/>
      <c r="D186" s="48" t="str">
        <f>IF(Tabla_Registro_Tareas3[[#This Row],[Actividad]]=Indice_Aux_Vacio,"",IFERROR(INDEX(plan!$D$4:$D$52,MATCH(Tabla_Registro_Tareas3[[#This Row],[Actividad]],plan!$C$4:$C$52,0)),""))</f>
        <v/>
      </c>
      <c r="E186" s="48" t="str">
        <f>IFERROR(INDEX(plan!$E$4:$E$52,MATCH(Tabla_Registro_Tareas3[[#This Row],[Actividad]],plan!$C$4:$C$52,0)),"")</f>
        <v/>
      </c>
      <c r="F186" s="49" t="str">
        <f>IF(Tabla_Registro_Tareas3[[#This Row],[Actividad]]=Indice_Aux_Vacio,"",Indice_PROBLAM_Estudiante3)</f>
        <v/>
      </c>
      <c r="G186" s="7"/>
      <c r="H186" s="8"/>
      <c r="I186" s="9"/>
      <c r="K186" s="12" t="str" cm="1">
        <f t="array" ref="K186">IF($B186&lt;&gt;"",TRANSPOSE(_xlfn._xlws.FILTER(plan!$C$4:$C$52, ($B186 &gt;= (plan!$J$4:$J$52-Indice_Plan_ExtensionPlazo))*($B186 &lt;= (plan!$K$4:$K$52+Indice_Plan_ExtensionPlazo)), "")), "")</f>
        <v/>
      </c>
      <c r="BH186" s="4"/>
    </row>
    <row r="187" spans="2:60" x14ac:dyDescent="0.3">
      <c r="B187" s="6"/>
      <c r="C187" s="10"/>
      <c r="D187" s="48" t="str">
        <f>IF(Tabla_Registro_Tareas3[[#This Row],[Actividad]]=Indice_Aux_Vacio,"",IFERROR(INDEX(plan!$D$4:$D$52,MATCH(Tabla_Registro_Tareas3[[#This Row],[Actividad]],plan!$C$4:$C$52,0)),""))</f>
        <v/>
      </c>
      <c r="E187" s="48" t="str">
        <f>IFERROR(INDEX(plan!$E$4:$E$52,MATCH(Tabla_Registro_Tareas3[[#This Row],[Actividad]],plan!$C$4:$C$52,0)),"")</f>
        <v/>
      </c>
      <c r="F187" s="49" t="str">
        <f>IF(Tabla_Registro_Tareas3[[#This Row],[Actividad]]=Indice_Aux_Vacio,"",Indice_PROBLAM_Estudiante3)</f>
        <v/>
      </c>
      <c r="G187" s="7"/>
      <c r="H187" s="8"/>
      <c r="I187" s="9"/>
      <c r="K187" s="12" t="str" cm="1">
        <f t="array" ref="K187">IF($B187&lt;&gt;"",TRANSPOSE(_xlfn._xlws.FILTER(plan!$C$4:$C$52, ($B187 &gt;= (plan!$J$4:$J$52-Indice_Plan_ExtensionPlazo))*($B187 &lt;= (plan!$K$4:$K$52+Indice_Plan_ExtensionPlazo)), "")), "")</f>
        <v/>
      </c>
      <c r="BH187" s="4"/>
    </row>
    <row r="188" spans="2:60" x14ac:dyDescent="0.3">
      <c r="B188" s="6"/>
      <c r="C188" s="10"/>
      <c r="D188" s="48" t="str">
        <f>IF(Tabla_Registro_Tareas3[[#This Row],[Actividad]]=Indice_Aux_Vacio,"",IFERROR(INDEX(plan!$D$4:$D$52,MATCH(Tabla_Registro_Tareas3[[#This Row],[Actividad]],plan!$C$4:$C$52,0)),""))</f>
        <v/>
      </c>
      <c r="E188" s="48" t="str">
        <f>IFERROR(INDEX(plan!$E$4:$E$52,MATCH(Tabla_Registro_Tareas3[[#This Row],[Actividad]],plan!$C$4:$C$52,0)),"")</f>
        <v/>
      </c>
      <c r="F188" s="49" t="str">
        <f>IF(Tabla_Registro_Tareas3[[#This Row],[Actividad]]=Indice_Aux_Vacio,"",Indice_PROBLAM_Estudiante3)</f>
        <v/>
      </c>
      <c r="G188" s="7"/>
      <c r="H188" s="8"/>
      <c r="I188" s="9"/>
      <c r="K188" s="12" t="str" cm="1">
        <f t="array" ref="K188">IF($B188&lt;&gt;"",TRANSPOSE(_xlfn._xlws.FILTER(plan!$C$4:$C$52, ($B188 &gt;= (plan!$J$4:$J$52-Indice_Plan_ExtensionPlazo))*($B188 &lt;= (plan!$K$4:$K$52+Indice_Plan_ExtensionPlazo)), "")), "")</f>
        <v/>
      </c>
      <c r="BH188" s="4"/>
    </row>
    <row r="189" spans="2:60" x14ac:dyDescent="0.3">
      <c r="B189" s="6"/>
      <c r="C189" s="10"/>
      <c r="D189" s="48" t="str">
        <f>IF(Tabla_Registro_Tareas3[[#This Row],[Actividad]]=Indice_Aux_Vacio,"",IFERROR(INDEX(plan!$D$4:$D$52,MATCH(Tabla_Registro_Tareas3[[#This Row],[Actividad]],plan!$C$4:$C$52,0)),""))</f>
        <v/>
      </c>
      <c r="E189" s="48" t="str">
        <f>IFERROR(INDEX(plan!$E$4:$E$52,MATCH(Tabla_Registro_Tareas3[[#This Row],[Actividad]],plan!$C$4:$C$52,0)),"")</f>
        <v/>
      </c>
      <c r="F189" s="49" t="str">
        <f>IF(Tabla_Registro_Tareas3[[#This Row],[Actividad]]=Indice_Aux_Vacio,"",Indice_PROBLAM_Estudiante3)</f>
        <v/>
      </c>
      <c r="G189" s="7"/>
      <c r="H189" s="8"/>
      <c r="I189" s="9"/>
      <c r="K189" s="12" t="str" cm="1">
        <f t="array" ref="K189">IF($B189&lt;&gt;"",TRANSPOSE(_xlfn._xlws.FILTER(plan!$C$4:$C$52, ($B189 &gt;= (plan!$J$4:$J$52-Indice_Plan_ExtensionPlazo))*($B189 &lt;= (plan!$K$4:$K$52+Indice_Plan_ExtensionPlazo)), "")), "")</f>
        <v/>
      </c>
      <c r="BH189" s="4"/>
    </row>
    <row r="190" spans="2:60" x14ac:dyDescent="0.3">
      <c r="B190" s="6"/>
      <c r="C190" s="10"/>
      <c r="D190" s="48" t="str">
        <f>IF(Tabla_Registro_Tareas3[[#This Row],[Actividad]]=Indice_Aux_Vacio,"",IFERROR(INDEX(plan!$D$4:$D$52,MATCH(Tabla_Registro_Tareas3[[#This Row],[Actividad]],plan!$C$4:$C$52,0)),""))</f>
        <v/>
      </c>
      <c r="E190" s="48" t="str">
        <f>IFERROR(INDEX(plan!$E$4:$E$52,MATCH(Tabla_Registro_Tareas3[[#This Row],[Actividad]],plan!$C$4:$C$52,0)),"")</f>
        <v/>
      </c>
      <c r="F190" s="49" t="str">
        <f>IF(Tabla_Registro_Tareas3[[#This Row],[Actividad]]=Indice_Aux_Vacio,"",Indice_PROBLAM_Estudiante3)</f>
        <v/>
      </c>
      <c r="G190" s="7"/>
      <c r="H190" s="8"/>
      <c r="I190" s="9"/>
      <c r="K190" s="12" t="str" cm="1">
        <f t="array" ref="K190">IF($B190&lt;&gt;"",TRANSPOSE(_xlfn._xlws.FILTER(plan!$C$4:$C$52, ($B190 &gt;= (plan!$J$4:$J$52-Indice_Plan_ExtensionPlazo))*($B190 &lt;= (plan!$K$4:$K$52+Indice_Plan_ExtensionPlazo)), "")), "")</f>
        <v/>
      </c>
      <c r="BH190" s="4"/>
    </row>
    <row r="191" spans="2:60" x14ac:dyDescent="0.3">
      <c r="B191" s="6"/>
      <c r="C191" s="10"/>
      <c r="D191" s="48" t="str">
        <f>IF(Tabla_Registro_Tareas3[[#This Row],[Actividad]]=Indice_Aux_Vacio,"",IFERROR(INDEX(plan!$D$4:$D$52,MATCH(Tabla_Registro_Tareas3[[#This Row],[Actividad]],plan!$C$4:$C$52,0)),""))</f>
        <v/>
      </c>
      <c r="E191" s="48" t="str">
        <f>IFERROR(INDEX(plan!$E$4:$E$52,MATCH(Tabla_Registro_Tareas3[[#This Row],[Actividad]],plan!$C$4:$C$52,0)),"")</f>
        <v/>
      </c>
      <c r="F191" s="49" t="str">
        <f>IF(Tabla_Registro_Tareas3[[#This Row],[Actividad]]=Indice_Aux_Vacio,"",Indice_PROBLAM_Estudiante3)</f>
        <v/>
      </c>
      <c r="G191" s="7"/>
      <c r="H191" s="8"/>
      <c r="I191" s="9"/>
      <c r="K191" s="12" t="str" cm="1">
        <f t="array" ref="K191">IF($B191&lt;&gt;"",TRANSPOSE(_xlfn._xlws.FILTER(plan!$C$4:$C$52, ($B191 &gt;= (plan!$J$4:$J$52-Indice_Plan_ExtensionPlazo))*($B191 &lt;= (plan!$K$4:$K$52+Indice_Plan_ExtensionPlazo)), "")), "")</f>
        <v/>
      </c>
      <c r="BH191" s="4"/>
    </row>
    <row r="192" spans="2:60" x14ac:dyDescent="0.3">
      <c r="B192" s="6"/>
      <c r="C192" s="10"/>
      <c r="D192" s="48" t="str">
        <f>IF(Tabla_Registro_Tareas3[[#This Row],[Actividad]]=Indice_Aux_Vacio,"",IFERROR(INDEX(plan!$D$4:$D$52,MATCH(Tabla_Registro_Tareas3[[#This Row],[Actividad]],plan!$C$4:$C$52,0)),""))</f>
        <v/>
      </c>
      <c r="E192" s="48" t="str">
        <f>IFERROR(INDEX(plan!$E$4:$E$52,MATCH(Tabla_Registro_Tareas3[[#This Row],[Actividad]],plan!$C$4:$C$52,0)),"")</f>
        <v/>
      </c>
      <c r="F192" s="49" t="str">
        <f>IF(Tabla_Registro_Tareas3[[#This Row],[Actividad]]=Indice_Aux_Vacio,"",Indice_PROBLAM_Estudiante3)</f>
        <v/>
      </c>
      <c r="G192" s="7"/>
      <c r="H192" s="8"/>
      <c r="I192" s="9"/>
      <c r="K192" s="12" t="str" cm="1">
        <f t="array" ref="K192">IF($B192&lt;&gt;"",TRANSPOSE(_xlfn._xlws.FILTER(plan!$C$4:$C$52, ($B192 &gt;= (plan!$J$4:$J$52-Indice_Plan_ExtensionPlazo))*($B192 &lt;= (plan!$K$4:$K$52+Indice_Plan_ExtensionPlazo)), "")), "")</f>
        <v/>
      </c>
      <c r="BH192" s="4"/>
    </row>
    <row r="193" spans="2:60" x14ac:dyDescent="0.3">
      <c r="B193" s="6"/>
      <c r="C193" s="10"/>
      <c r="D193" s="48" t="str">
        <f>IF(Tabla_Registro_Tareas3[[#This Row],[Actividad]]=Indice_Aux_Vacio,"",IFERROR(INDEX(plan!$D$4:$D$52,MATCH(Tabla_Registro_Tareas3[[#This Row],[Actividad]],plan!$C$4:$C$52,0)),""))</f>
        <v/>
      </c>
      <c r="E193" s="48" t="str">
        <f>IFERROR(INDEX(plan!$E$4:$E$52,MATCH(Tabla_Registro_Tareas3[[#This Row],[Actividad]],plan!$C$4:$C$52,0)),"")</f>
        <v/>
      </c>
      <c r="F193" s="49" t="str">
        <f>IF(Tabla_Registro_Tareas3[[#This Row],[Actividad]]=Indice_Aux_Vacio,"",Indice_PROBLAM_Estudiante3)</f>
        <v/>
      </c>
      <c r="G193" s="7"/>
      <c r="H193" s="8"/>
      <c r="I193" s="9"/>
      <c r="K193" s="12" t="str" cm="1">
        <f t="array" ref="K193">IF($B193&lt;&gt;"",TRANSPOSE(_xlfn._xlws.FILTER(plan!$C$4:$C$52, ($B193 &gt;= (plan!$J$4:$J$52-Indice_Plan_ExtensionPlazo))*($B193 &lt;= (plan!$K$4:$K$52+Indice_Plan_ExtensionPlazo)), "")), "")</f>
        <v/>
      </c>
      <c r="BH193" s="4"/>
    </row>
    <row r="194" spans="2:60" x14ac:dyDescent="0.3">
      <c r="B194" s="6"/>
      <c r="C194" s="10"/>
      <c r="D194" s="48" t="str">
        <f>IF(Tabla_Registro_Tareas3[[#This Row],[Actividad]]=Indice_Aux_Vacio,"",IFERROR(INDEX(plan!$D$4:$D$52,MATCH(Tabla_Registro_Tareas3[[#This Row],[Actividad]],plan!$C$4:$C$52,0)),""))</f>
        <v/>
      </c>
      <c r="E194" s="48" t="str">
        <f>IFERROR(INDEX(plan!$E$4:$E$52,MATCH(Tabla_Registro_Tareas3[[#This Row],[Actividad]],plan!$C$4:$C$52,0)),"")</f>
        <v/>
      </c>
      <c r="F194" s="49" t="str">
        <f>IF(Tabla_Registro_Tareas3[[#This Row],[Actividad]]=Indice_Aux_Vacio,"",Indice_PROBLAM_Estudiante3)</f>
        <v/>
      </c>
      <c r="G194" s="7"/>
      <c r="H194" s="8"/>
      <c r="I194" s="9"/>
      <c r="K194" s="12" t="str" cm="1">
        <f t="array" ref="K194">IF($B194&lt;&gt;"",TRANSPOSE(_xlfn._xlws.FILTER(plan!$C$4:$C$52, ($B194 &gt;= (plan!$J$4:$J$52-Indice_Plan_ExtensionPlazo))*($B194 &lt;= (plan!$K$4:$K$52+Indice_Plan_ExtensionPlazo)), "")), "")</f>
        <v/>
      </c>
      <c r="BH194" s="4"/>
    </row>
    <row r="195" spans="2:60" x14ac:dyDescent="0.3">
      <c r="B195" s="6"/>
      <c r="C195" s="10"/>
      <c r="D195" s="48" t="str">
        <f>IF(Tabla_Registro_Tareas3[[#This Row],[Actividad]]=Indice_Aux_Vacio,"",IFERROR(INDEX(plan!$D$4:$D$52,MATCH(Tabla_Registro_Tareas3[[#This Row],[Actividad]],plan!$C$4:$C$52,0)),""))</f>
        <v/>
      </c>
      <c r="E195" s="48" t="str">
        <f>IFERROR(INDEX(plan!$E$4:$E$52,MATCH(Tabla_Registro_Tareas3[[#This Row],[Actividad]],plan!$C$4:$C$52,0)),"")</f>
        <v/>
      </c>
      <c r="F195" s="49" t="str">
        <f>IF(Tabla_Registro_Tareas3[[#This Row],[Actividad]]=Indice_Aux_Vacio,"",Indice_PROBLAM_Estudiante3)</f>
        <v/>
      </c>
      <c r="G195" s="7"/>
      <c r="H195" s="8"/>
      <c r="I195" s="9"/>
      <c r="K195" s="12" t="str" cm="1">
        <f t="array" ref="K195">IF($B195&lt;&gt;"",TRANSPOSE(_xlfn._xlws.FILTER(plan!$C$4:$C$52, ($B195 &gt;= (plan!$J$4:$J$52-Indice_Plan_ExtensionPlazo))*($B195 &lt;= (plan!$K$4:$K$52+Indice_Plan_ExtensionPlazo)), "")), "")</f>
        <v/>
      </c>
      <c r="BH195" s="4"/>
    </row>
    <row r="196" spans="2:60" x14ac:dyDescent="0.3">
      <c r="B196" s="6"/>
      <c r="C196" s="10"/>
      <c r="D196" s="48" t="str">
        <f>IF(Tabla_Registro_Tareas3[[#This Row],[Actividad]]=Indice_Aux_Vacio,"",IFERROR(INDEX(plan!$D$4:$D$52,MATCH(Tabla_Registro_Tareas3[[#This Row],[Actividad]],plan!$C$4:$C$52,0)),""))</f>
        <v/>
      </c>
      <c r="E196" s="48" t="str">
        <f>IFERROR(INDEX(plan!$E$4:$E$52,MATCH(Tabla_Registro_Tareas3[[#This Row],[Actividad]],plan!$C$4:$C$52,0)),"")</f>
        <v/>
      </c>
      <c r="F196" s="49" t="str">
        <f>IF(Tabla_Registro_Tareas3[[#This Row],[Actividad]]=Indice_Aux_Vacio,"",Indice_PROBLAM_Estudiante3)</f>
        <v/>
      </c>
      <c r="G196" s="7"/>
      <c r="H196" s="8"/>
      <c r="I196" s="9"/>
      <c r="K196" s="12" t="str" cm="1">
        <f t="array" ref="K196">IF($B196&lt;&gt;"",TRANSPOSE(_xlfn._xlws.FILTER(plan!$C$4:$C$52, ($B196 &gt;= (plan!$J$4:$J$52-Indice_Plan_ExtensionPlazo))*($B196 &lt;= (plan!$K$4:$K$52+Indice_Plan_ExtensionPlazo)), "")), "")</f>
        <v/>
      </c>
      <c r="BH196" s="4"/>
    </row>
    <row r="197" spans="2:60" x14ac:dyDescent="0.3">
      <c r="B197" s="6"/>
      <c r="C197" s="10"/>
      <c r="D197" s="48" t="str">
        <f>IF(Tabla_Registro_Tareas3[[#This Row],[Actividad]]=Indice_Aux_Vacio,"",IFERROR(INDEX(plan!$D$4:$D$52,MATCH(Tabla_Registro_Tareas3[[#This Row],[Actividad]],plan!$C$4:$C$52,0)),""))</f>
        <v/>
      </c>
      <c r="E197" s="48" t="str">
        <f>IFERROR(INDEX(plan!$E$4:$E$52,MATCH(Tabla_Registro_Tareas3[[#This Row],[Actividad]],plan!$C$4:$C$52,0)),"")</f>
        <v/>
      </c>
      <c r="F197" s="49" t="str">
        <f>IF(Tabla_Registro_Tareas3[[#This Row],[Actividad]]=Indice_Aux_Vacio,"",Indice_PROBLAM_Estudiante3)</f>
        <v/>
      </c>
      <c r="G197" s="7"/>
      <c r="H197" s="8"/>
      <c r="I197" s="9"/>
      <c r="K197" s="12" t="str" cm="1">
        <f t="array" ref="K197">IF($B197&lt;&gt;"",TRANSPOSE(_xlfn._xlws.FILTER(plan!$C$4:$C$52, ($B197 &gt;= (plan!$J$4:$J$52-Indice_Plan_ExtensionPlazo))*($B197 &lt;= (plan!$K$4:$K$52+Indice_Plan_ExtensionPlazo)), "")), "")</f>
        <v/>
      </c>
      <c r="BH197" s="4"/>
    </row>
    <row r="198" spans="2:60" x14ac:dyDescent="0.3">
      <c r="B198" s="6"/>
      <c r="C198" s="10"/>
      <c r="D198" s="48" t="str">
        <f>IF(Tabla_Registro_Tareas3[[#This Row],[Actividad]]=Indice_Aux_Vacio,"",IFERROR(INDEX(plan!$D$4:$D$52,MATCH(Tabla_Registro_Tareas3[[#This Row],[Actividad]],plan!$C$4:$C$52,0)),""))</f>
        <v/>
      </c>
      <c r="E198" s="48" t="str">
        <f>IFERROR(INDEX(plan!$E$4:$E$52,MATCH(Tabla_Registro_Tareas3[[#This Row],[Actividad]],plan!$C$4:$C$52,0)),"")</f>
        <v/>
      </c>
      <c r="F198" s="49" t="str">
        <f>IF(Tabla_Registro_Tareas3[[#This Row],[Actividad]]=Indice_Aux_Vacio,"",Indice_PROBLAM_Estudiante3)</f>
        <v/>
      </c>
      <c r="G198" s="7"/>
      <c r="H198" s="8"/>
      <c r="I198" s="9"/>
      <c r="K198" s="12" t="str" cm="1">
        <f t="array" ref="K198">IF($B198&lt;&gt;"",TRANSPOSE(_xlfn._xlws.FILTER(plan!$C$4:$C$52, ($B198 &gt;= (plan!$J$4:$J$52-Indice_Plan_ExtensionPlazo))*($B198 &lt;= (plan!$K$4:$K$52+Indice_Plan_ExtensionPlazo)), "")), "")</f>
        <v/>
      </c>
      <c r="BH198" s="4"/>
    </row>
    <row r="199" spans="2:60" x14ac:dyDescent="0.3">
      <c r="B199" s="6"/>
      <c r="C199" s="10"/>
      <c r="D199" s="48" t="str">
        <f>IF(Tabla_Registro_Tareas3[[#This Row],[Actividad]]=Indice_Aux_Vacio,"",IFERROR(INDEX(plan!$D$4:$D$52,MATCH(Tabla_Registro_Tareas3[[#This Row],[Actividad]],plan!$C$4:$C$52,0)),""))</f>
        <v/>
      </c>
      <c r="E199" s="48" t="str">
        <f>IFERROR(INDEX(plan!$E$4:$E$52,MATCH(Tabla_Registro_Tareas3[[#This Row],[Actividad]],plan!$C$4:$C$52,0)),"")</f>
        <v/>
      </c>
      <c r="F199" s="49" t="str">
        <f>IF(Tabla_Registro_Tareas3[[#This Row],[Actividad]]=Indice_Aux_Vacio,"",Indice_PROBLAM_Estudiante3)</f>
        <v/>
      </c>
      <c r="G199" s="7"/>
      <c r="H199" s="8"/>
      <c r="I199" s="9"/>
      <c r="K199" s="12" t="str" cm="1">
        <f t="array" ref="K199">IF($B199&lt;&gt;"",TRANSPOSE(_xlfn._xlws.FILTER(plan!$C$4:$C$52, ($B199 &gt;= (plan!$J$4:$J$52-Indice_Plan_ExtensionPlazo))*($B199 &lt;= (plan!$K$4:$K$52+Indice_Plan_ExtensionPlazo)), "")), "")</f>
        <v/>
      </c>
      <c r="BH199" s="4"/>
    </row>
    <row r="200" spans="2:60" x14ac:dyDescent="0.3">
      <c r="B200" s="6"/>
      <c r="C200" s="10"/>
      <c r="D200" s="48" t="str">
        <f>IF(Tabla_Registro_Tareas3[[#This Row],[Actividad]]=Indice_Aux_Vacio,"",IFERROR(INDEX(plan!$D$4:$D$52,MATCH(Tabla_Registro_Tareas3[[#This Row],[Actividad]],plan!$C$4:$C$52,0)),""))</f>
        <v/>
      </c>
      <c r="E200" s="48" t="str">
        <f>IFERROR(INDEX(plan!$E$4:$E$52,MATCH(Tabla_Registro_Tareas3[[#This Row],[Actividad]],plan!$C$4:$C$52,0)),"")</f>
        <v/>
      </c>
      <c r="F200" s="49" t="str">
        <f>IF(Tabla_Registro_Tareas3[[#This Row],[Actividad]]=Indice_Aux_Vacio,"",Indice_PROBLAM_Estudiante3)</f>
        <v/>
      </c>
      <c r="G200" s="7"/>
      <c r="H200" s="8"/>
      <c r="I200" s="9"/>
      <c r="K200" s="12" t="str" cm="1">
        <f t="array" ref="K200">IF($B200&lt;&gt;"",TRANSPOSE(_xlfn._xlws.FILTER(plan!$C$4:$C$52, ($B200 &gt;= (plan!$J$4:$J$52-Indice_Plan_ExtensionPlazo))*($B200 &lt;= (plan!$K$4:$K$52+Indice_Plan_ExtensionPlazo)), "")), "")</f>
        <v/>
      </c>
      <c r="BH200" s="4"/>
    </row>
    <row r="201" spans="2:60" x14ac:dyDescent="0.3">
      <c r="B201" s="6"/>
      <c r="C201" s="10"/>
      <c r="D201" s="48" t="str">
        <f>IF(Tabla_Registro_Tareas3[[#This Row],[Actividad]]=Indice_Aux_Vacio,"",IFERROR(INDEX(plan!$D$4:$D$52,MATCH(Tabla_Registro_Tareas3[[#This Row],[Actividad]],plan!$C$4:$C$52,0)),""))</f>
        <v/>
      </c>
      <c r="E201" s="48" t="str">
        <f>IFERROR(INDEX(plan!$E$4:$E$52,MATCH(Tabla_Registro_Tareas3[[#This Row],[Actividad]],plan!$C$4:$C$52,0)),"")</f>
        <v/>
      </c>
      <c r="F201" s="49" t="str">
        <f>IF(Tabla_Registro_Tareas3[[#This Row],[Actividad]]=Indice_Aux_Vacio,"",Indice_PROBLAM_Estudiante3)</f>
        <v/>
      </c>
      <c r="G201" s="7"/>
      <c r="H201" s="8"/>
      <c r="I201" s="9"/>
      <c r="K201" s="12" t="str" cm="1">
        <f t="array" ref="K201">IF($B201&lt;&gt;"",TRANSPOSE(_xlfn._xlws.FILTER(plan!$C$4:$C$52, ($B201 &gt;= (plan!$J$4:$J$52-Indice_Plan_ExtensionPlazo))*($B201 &lt;= (plan!$K$4:$K$52+Indice_Plan_ExtensionPlazo)), "")), "")</f>
        <v/>
      </c>
      <c r="BH201" s="4"/>
    </row>
    <row r="202" spans="2:60" x14ac:dyDescent="0.3">
      <c r="B202" s="6"/>
      <c r="C202" s="10"/>
      <c r="D202" s="48" t="str">
        <f>IF(Tabla_Registro_Tareas3[[#This Row],[Actividad]]=Indice_Aux_Vacio,"",IFERROR(INDEX(plan!$D$4:$D$52,MATCH(Tabla_Registro_Tareas3[[#This Row],[Actividad]],plan!$C$4:$C$52,0)),""))</f>
        <v/>
      </c>
      <c r="E202" s="48" t="str">
        <f>IFERROR(INDEX(plan!$E$4:$E$52,MATCH(Tabla_Registro_Tareas3[[#This Row],[Actividad]],plan!$C$4:$C$52,0)),"")</f>
        <v/>
      </c>
      <c r="F202" s="49" t="str">
        <f>IF(Tabla_Registro_Tareas3[[#This Row],[Actividad]]=Indice_Aux_Vacio,"",Indice_PROBLAM_Estudiante3)</f>
        <v/>
      </c>
      <c r="G202" s="7"/>
      <c r="H202" s="8"/>
      <c r="I202" s="9"/>
      <c r="K202" s="12" t="str" cm="1">
        <f t="array" ref="K202">IF($B202&lt;&gt;"",TRANSPOSE(_xlfn._xlws.FILTER(plan!$C$4:$C$52, ($B202 &gt;= (plan!$J$4:$J$52-Indice_Plan_ExtensionPlazo))*($B202 &lt;= (plan!$K$4:$K$52+Indice_Plan_ExtensionPlazo)), "")), "")</f>
        <v/>
      </c>
      <c r="BH202" s="4"/>
    </row>
    <row r="203" spans="2:60" x14ac:dyDescent="0.3">
      <c r="B203" s="6"/>
      <c r="C203" s="10"/>
      <c r="D203" s="48" t="str">
        <f>IF(Tabla_Registro_Tareas3[[#This Row],[Actividad]]=Indice_Aux_Vacio,"",IFERROR(INDEX(plan!$D$4:$D$52,MATCH(Tabla_Registro_Tareas3[[#This Row],[Actividad]],plan!$C$4:$C$52,0)),""))</f>
        <v/>
      </c>
      <c r="E203" s="48" t="str">
        <f>IFERROR(INDEX(plan!$E$4:$E$52,MATCH(Tabla_Registro_Tareas3[[#This Row],[Actividad]],plan!$C$4:$C$52,0)),"")</f>
        <v/>
      </c>
      <c r="F203" s="49" t="str">
        <f>IF(Tabla_Registro_Tareas3[[#This Row],[Actividad]]=Indice_Aux_Vacio,"",Indice_PROBLAM_Estudiante3)</f>
        <v/>
      </c>
      <c r="G203" s="7"/>
      <c r="H203" s="8"/>
      <c r="I203" s="9"/>
      <c r="K203" s="12" t="str" cm="1">
        <f t="array" ref="K203">IF($B203&lt;&gt;"",TRANSPOSE(_xlfn._xlws.FILTER(plan!$C$4:$C$52, ($B203 &gt;= (plan!$J$4:$J$52-Indice_Plan_ExtensionPlazo))*($B203 &lt;= (plan!$K$4:$K$52+Indice_Plan_ExtensionPlazo)), "")), "")</f>
        <v/>
      </c>
      <c r="BH203" s="4"/>
    </row>
    <row r="204" spans="2:60" x14ac:dyDescent="0.3">
      <c r="B204" s="6"/>
      <c r="C204" s="10"/>
      <c r="D204" s="48" t="str">
        <f>IF(Tabla_Registro_Tareas3[[#This Row],[Actividad]]=Indice_Aux_Vacio,"",IFERROR(INDEX(plan!$D$4:$D$52,MATCH(Tabla_Registro_Tareas3[[#This Row],[Actividad]],plan!$C$4:$C$52,0)),""))</f>
        <v/>
      </c>
      <c r="E204" s="48" t="str">
        <f>IFERROR(INDEX(plan!$E$4:$E$52,MATCH(Tabla_Registro_Tareas3[[#This Row],[Actividad]],plan!$C$4:$C$52,0)),"")</f>
        <v/>
      </c>
      <c r="F204" s="49" t="str">
        <f>IF(Tabla_Registro_Tareas3[[#This Row],[Actividad]]=Indice_Aux_Vacio,"",Indice_PROBLAM_Estudiante3)</f>
        <v/>
      </c>
      <c r="G204" s="7"/>
      <c r="H204" s="8"/>
      <c r="I204" s="9"/>
      <c r="K204" s="12" t="str" cm="1">
        <f t="array" ref="K204">IF($B204&lt;&gt;"",TRANSPOSE(_xlfn._xlws.FILTER(plan!$C$4:$C$52, ($B204 &gt;= (plan!$J$4:$J$52-Indice_Plan_ExtensionPlazo))*($B204 &lt;= (plan!$K$4:$K$52+Indice_Plan_ExtensionPlazo)), "")), "")</f>
        <v/>
      </c>
      <c r="BH204" s="4"/>
    </row>
    <row r="205" spans="2:60" x14ac:dyDescent="0.3">
      <c r="B205" s="6"/>
      <c r="C205" s="10"/>
      <c r="D205" s="48" t="str">
        <f>IF(Tabla_Registro_Tareas3[[#This Row],[Actividad]]=Indice_Aux_Vacio,"",IFERROR(INDEX(plan!$D$4:$D$52,MATCH(Tabla_Registro_Tareas3[[#This Row],[Actividad]],plan!$C$4:$C$52,0)),""))</f>
        <v/>
      </c>
      <c r="E205" s="48" t="str">
        <f>IFERROR(INDEX(plan!$E$4:$E$52,MATCH(Tabla_Registro_Tareas3[[#This Row],[Actividad]],plan!$C$4:$C$52,0)),"")</f>
        <v/>
      </c>
      <c r="F205" s="49" t="str">
        <f>IF(Tabla_Registro_Tareas3[[#This Row],[Actividad]]=Indice_Aux_Vacio,"",Indice_PROBLAM_Estudiante3)</f>
        <v/>
      </c>
      <c r="G205" s="7"/>
      <c r="H205" s="8"/>
      <c r="I205" s="9"/>
      <c r="K205" s="12" t="str" cm="1">
        <f t="array" ref="K205">IF($B205&lt;&gt;"",TRANSPOSE(_xlfn._xlws.FILTER(plan!$C$4:$C$52, ($B205 &gt;= (plan!$J$4:$J$52-Indice_Plan_ExtensionPlazo))*($B205 &lt;= (plan!$K$4:$K$52+Indice_Plan_ExtensionPlazo)), "")), "")</f>
        <v/>
      </c>
      <c r="BH205" s="4"/>
    </row>
    <row r="206" spans="2:60" x14ac:dyDescent="0.3">
      <c r="B206" s="6"/>
      <c r="C206" s="10"/>
      <c r="D206" s="48" t="str">
        <f>IF(Tabla_Registro_Tareas3[[#This Row],[Actividad]]=Indice_Aux_Vacio,"",IFERROR(INDEX(plan!$D$4:$D$52,MATCH(Tabla_Registro_Tareas3[[#This Row],[Actividad]],plan!$C$4:$C$52,0)),""))</f>
        <v/>
      </c>
      <c r="E206" s="48" t="str">
        <f>IFERROR(INDEX(plan!$E$4:$E$52,MATCH(Tabla_Registro_Tareas3[[#This Row],[Actividad]],plan!$C$4:$C$52,0)),"")</f>
        <v/>
      </c>
      <c r="F206" s="49" t="str">
        <f>IF(Tabla_Registro_Tareas3[[#This Row],[Actividad]]=Indice_Aux_Vacio,"",Indice_PROBLAM_Estudiante3)</f>
        <v/>
      </c>
      <c r="G206" s="7"/>
      <c r="H206" s="8"/>
      <c r="I206" s="9"/>
      <c r="K206" s="12" t="str" cm="1">
        <f t="array" ref="K206">IF($B206&lt;&gt;"",TRANSPOSE(_xlfn._xlws.FILTER(plan!$C$4:$C$52, ($B206 &gt;= (plan!$J$4:$J$52-Indice_Plan_ExtensionPlazo))*($B206 &lt;= (plan!$K$4:$K$52+Indice_Plan_ExtensionPlazo)), "")), "")</f>
        <v/>
      </c>
      <c r="BH206" s="4"/>
    </row>
    <row r="207" spans="2:60" x14ac:dyDescent="0.3">
      <c r="B207" s="6"/>
      <c r="C207" s="10"/>
      <c r="D207" s="48" t="str">
        <f>IF(Tabla_Registro_Tareas3[[#This Row],[Actividad]]=Indice_Aux_Vacio,"",IFERROR(INDEX(plan!$D$4:$D$52,MATCH(Tabla_Registro_Tareas3[[#This Row],[Actividad]],plan!$C$4:$C$52,0)),""))</f>
        <v/>
      </c>
      <c r="E207" s="48" t="str">
        <f>IFERROR(INDEX(plan!$E$4:$E$52,MATCH(Tabla_Registro_Tareas3[[#This Row],[Actividad]],plan!$C$4:$C$52,0)),"")</f>
        <v/>
      </c>
      <c r="F207" s="49" t="str">
        <f>IF(Tabla_Registro_Tareas3[[#This Row],[Actividad]]=Indice_Aux_Vacio,"",Indice_PROBLAM_Estudiante3)</f>
        <v/>
      </c>
      <c r="G207" s="7"/>
      <c r="H207" s="8"/>
      <c r="I207" s="9"/>
      <c r="K207" s="12" t="str" cm="1">
        <f t="array" ref="K207">IF($B207&lt;&gt;"",TRANSPOSE(_xlfn._xlws.FILTER(plan!$C$4:$C$52, ($B207 &gt;= (plan!$J$4:$J$52-Indice_Plan_ExtensionPlazo))*($B207 &lt;= (plan!$K$4:$K$52+Indice_Plan_ExtensionPlazo)), "")), "")</f>
        <v/>
      </c>
      <c r="BH207" s="4"/>
    </row>
    <row r="208" spans="2:60" x14ac:dyDescent="0.3">
      <c r="B208" s="6"/>
      <c r="C208" s="10"/>
      <c r="D208" s="48" t="str">
        <f>IF(Tabla_Registro_Tareas3[[#This Row],[Actividad]]=Indice_Aux_Vacio,"",IFERROR(INDEX(plan!$D$4:$D$52,MATCH(Tabla_Registro_Tareas3[[#This Row],[Actividad]],plan!$C$4:$C$52,0)),""))</f>
        <v/>
      </c>
      <c r="E208" s="48" t="str">
        <f>IFERROR(INDEX(plan!$E$4:$E$52,MATCH(Tabla_Registro_Tareas3[[#This Row],[Actividad]],plan!$C$4:$C$52,0)),"")</f>
        <v/>
      </c>
      <c r="F208" s="49" t="str">
        <f>IF(Tabla_Registro_Tareas3[[#This Row],[Actividad]]=Indice_Aux_Vacio,"",Indice_PROBLAM_Estudiante3)</f>
        <v/>
      </c>
      <c r="G208" s="7"/>
      <c r="H208" s="8"/>
      <c r="I208" s="9"/>
      <c r="K208" s="12" t="str" cm="1">
        <f t="array" ref="K208">IF($B208&lt;&gt;"",TRANSPOSE(_xlfn._xlws.FILTER(plan!$C$4:$C$52, ($B208 &gt;= (plan!$J$4:$J$52-Indice_Plan_ExtensionPlazo))*($B208 &lt;= (plan!$K$4:$K$52+Indice_Plan_ExtensionPlazo)), "")), "")</f>
        <v/>
      </c>
      <c r="BH208" s="4"/>
    </row>
    <row r="209" spans="2:60" x14ac:dyDescent="0.3">
      <c r="B209" s="6"/>
      <c r="C209" s="10"/>
      <c r="D209" s="48" t="str">
        <f>IF(Tabla_Registro_Tareas3[[#This Row],[Actividad]]=Indice_Aux_Vacio,"",IFERROR(INDEX(plan!$D$4:$D$52,MATCH(Tabla_Registro_Tareas3[[#This Row],[Actividad]],plan!$C$4:$C$52,0)),""))</f>
        <v/>
      </c>
      <c r="E209" s="48" t="str">
        <f>IFERROR(INDEX(plan!$E$4:$E$52,MATCH(Tabla_Registro_Tareas3[[#This Row],[Actividad]],plan!$C$4:$C$52,0)),"")</f>
        <v/>
      </c>
      <c r="F209" s="49" t="str">
        <f>IF(Tabla_Registro_Tareas3[[#This Row],[Actividad]]=Indice_Aux_Vacio,"",Indice_PROBLAM_Estudiante3)</f>
        <v/>
      </c>
      <c r="G209" s="7"/>
      <c r="H209" s="8"/>
      <c r="I209" s="9"/>
      <c r="K209" s="12" t="str" cm="1">
        <f t="array" ref="K209">IF($B209&lt;&gt;"",TRANSPOSE(_xlfn._xlws.FILTER(plan!$C$4:$C$52, ($B209 &gt;= (plan!$J$4:$J$52-Indice_Plan_ExtensionPlazo))*($B209 &lt;= (plan!$K$4:$K$52+Indice_Plan_ExtensionPlazo)), "")), "")</f>
        <v/>
      </c>
      <c r="BH209" s="4"/>
    </row>
    <row r="210" spans="2:60" x14ac:dyDescent="0.3">
      <c r="B210" s="6"/>
      <c r="C210" s="10"/>
      <c r="D210" s="48" t="str">
        <f>IF(Tabla_Registro_Tareas3[[#This Row],[Actividad]]=Indice_Aux_Vacio,"",IFERROR(INDEX(plan!$D$4:$D$52,MATCH(Tabla_Registro_Tareas3[[#This Row],[Actividad]],plan!$C$4:$C$52,0)),""))</f>
        <v/>
      </c>
      <c r="E210" s="48" t="str">
        <f>IFERROR(INDEX(plan!$E$4:$E$52,MATCH(Tabla_Registro_Tareas3[[#This Row],[Actividad]],plan!$C$4:$C$52,0)),"")</f>
        <v/>
      </c>
      <c r="F210" s="49" t="str">
        <f>IF(Tabla_Registro_Tareas3[[#This Row],[Actividad]]=Indice_Aux_Vacio,"",Indice_PROBLAM_Estudiante3)</f>
        <v/>
      </c>
      <c r="G210" s="7"/>
      <c r="H210" s="8"/>
      <c r="I210" s="9"/>
      <c r="K210" s="12" t="str" cm="1">
        <f t="array" ref="K210">IF($B210&lt;&gt;"",TRANSPOSE(_xlfn._xlws.FILTER(plan!$C$4:$C$52, ($B210 &gt;= (plan!$J$4:$J$52-Indice_Plan_ExtensionPlazo))*($B210 &lt;= (plan!$K$4:$K$52+Indice_Plan_ExtensionPlazo)), "")), "")</f>
        <v/>
      </c>
      <c r="BH210" s="4"/>
    </row>
    <row r="211" spans="2:60" x14ac:dyDescent="0.3">
      <c r="B211" s="6"/>
      <c r="C211" s="10"/>
      <c r="D211" s="48" t="str">
        <f>IF(Tabla_Registro_Tareas3[[#This Row],[Actividad]]=Indice_Aux_Vacio,"",IFERROR(INDEX(plan!$D$4:$D$52,MATCH(Tabla_Registro_Tareas3[[#This Row],[Actividad]],plan!$C$4:$C$52,0)),""))</f>
        <v/>
      </c>
      <c r="E211" s="48" t="str">
        <f>IFERROR(INDEX(plan!$E$4:$E$52,MATCH(Tabla_Registro_Tareas3[[#This Row],[Actividad]],plan!$C$4:$C$52,0)),"")</f>
        <v/>
      </c>
      <c r="F211" s="49" t="str">
        <f>IF(Tabla_Registro_Tareas3[[#This Row],[Actividad]]=Indice_Aux_Vacio,"",Indice_PROBLAM_Estudiante3)</f>
        <v/>
      </c>
      <c r="G211" s="7"/>
      <c r="H211" s="8"/>
      <c r="I211" s="9"/>
      <c r="K211" s="12" t="str" cm="1">
        <f t="array" ref="K211">IF($B211&lt;&gt;"",TRANSPOSE(_xlfn._xlws.FILTER(plan!$C$4:$C$52, ($B211 &gt;= (plan!$J$4:$J$52-Indice_Plan_ExtensionPlazo))*($B211 &lt;= (plan!$K$4:$K$52+Indice_Plan_ExtensionPlazo)), "")), "")</f>
        <v/>
      </c>
      <c r="BH211" s="4"/>
    </row>
    <row r="212" spans="2:60" x14ac:dyDescent="0.3">
      <c r="B212" s="6"/>
      <c r="C212" s="10"/>
      <c r="D212" s="48" t="str">
        <f>IF(Tabla_Registro_Tareas3[[#This Row],[Actividad]]=Indice_Aux_Vacio,"",IFERROR(INDEX(plan!$D$4:$D$52,MATCH(Tabla_Registro_Tareas3[[#This Row],[Actividad]],plan!$C$4:$C$52,0)),""))</f>
        <v/>
      </c>
      <c r="E212" s="48" t="str">
        <f>IFERROR(INDEX(plan!$E$4:$E$52,MATCH(Tabla_Registro_Tareas3[[#This Row],[Actividad]],plan!$C$4:$C$52,0)),"")</f>
        <v/>
      </c>
      <c r="F212" s="49" t="str">
        <f>IF(Tabla_Registro_Tareas3[[#This Row],[Actividad]]=Indice_Aux_Vacio,"",Indice_PROBLAM_Estudiante3)</f>
        <v/>
      </c>
      <c r="G212" s="7"/>
      <c r="H212" s="8"/>
      <c r="I212" s="9"/>
      <c r="K212" s="12" t="str" cm="1">
        <f t="array" ref="K212">IF($B212&lt;&gt;"",TRANSPOSE(_xlfn._xlws.FILTER(plan!$C$4:$C$52, ($B212 &gt;= (plan!$J$4:$J$52-Indice_Plan_ExtensionPlazo))*($B212 &lt;= (plan!$K$4:$K$52+Indice_Plan_ExtensionPlazo)), "")), "")</f>
        <v/>
      </c>
      <c r="BH212" s="4"/>
    </row>
    <row r="213" spans="2:60" x14ac:dyDescent="0.3">
      <c r="B213" s="6"/>
      <c r="C213" s="10"/>
      <c r="D213" s="48" t="str">
        <f>IF(Tabla_Registro_Tareas3[[#This Row],[Actividad]]=Indice_Aux_Vacio,"",IFERROR(INDEX(plan!$D$4:$D$52,MATCH(Tabla_Registro_Tareas3[[#This Row],[Actividad]],plan!$C$4:$C$52,0)),""))</f>
        <v/>
      </c>
      <c r="E213" s="48" t="str">
        <f>IFERROR(INDEX(plan!$E$4:$E$52,MATCH(Tabla_Registro_Tareas3[[#This Row],[Actividad]],plan!$C$4:$C$52,0)),"")</f>
        <v/>
      </c>
      <c r="F213" s="49" t="str">
        <f>IF(Tabla_Registro_Tareas3[[#This Row],[Actividad]]=Indice_Aux_Vacio,"",Indice_PROBLAM_Estudiante3)</f>
        <v/>
      </c>
      <c r="G213" s="7"/>
      <c r="H213" s="8"/>
      <c r="I213" s="9"/>
      <c r="K213" s="12" t="str" cm="1">
        <f t="array" ref="K213">IF($B213&lt;&gt;"",TRANSPOSE(_xlfn._xlws.FILTER(plan!$C$4:$C$52, ($B213 &gt;= (plan!$J$4:$J$52-Indice_Plan_ExtensionPlazo))*($B213 &lt;= (plan!$K$4:$K$52+Indice_Plan_ExtensionPlazo)), "")), "")</f>
        <v/>
      </c>
      <c r="BH213" s="4"/>
    </row>
    <row r="214" spans="2:60" x14ac:dyDescent="0.3">
      <c r="B214" s="6"/>
      <c r="C214" s="10"/>
      <c r="D214" s="48" t="str">
        <f>IF(Tabla_Registro_Tareas3[[#This Row],[Actividad]]=Indice_Aux_Vacio,"",IFERROR(INDEX(plan!$D$4:$D$52,MATCH(Tabla_Registro_Tareas3[[#This Row],[Actividad]],plan!$C$4:$C$52,0)),""))</f>
        <v/>
      </c>
      <c r="E214" s="48" t="str">
        <f>IFERROR(INDEX(plan!$E$4:$E$52,MATCH(Tabla_Registro_Tareas3[[#This Row],[Actividad]],plan!$C$4:$C$52,0)),"")</f>
        <v/>
      </c>
      <c r="F214" s="49" t="str">
        <f>IF(Tabla_Registro_Tareas3[[#This Row],[Actividad]]=Indice_Aux_Vacio,"",Indice_PROBLAM_Estudiante3)</f>
        <v/>
      </c>
      <c r="G214" s="7"/>
      <c r="H214" s="8"/>
      <c r="I214" s="9"/>
      <c r="K214" s="12" t="str" cm="1">
        <f t="array" ref="K214">IF($B214&lt;&gt;"",TRANSPOSE(_xlfn._xlws.FILTER(plan!$C$4:$C$52, ($B214 &gt;= (plan!$J$4:$J$52-Indice_Plan_ExtensionPlazo))*($B214 &lt;= (plan!$K$4:$K$52+Indice_Plan_ExtensionPlazo)), "")), "")</f>
        <v/>
      </c>
      <c r="BH214" s="4"/>
    </row>
    <row r="215" spans="2:60" x14ac:dyDescent="0.3">
      <c r="B215" s="6"/>
      <c r="C215" s="10"/>
      <c r="D215" s="48" t="str">
        <f>IF(Tabla_Registro_Tareas3[[#This Row],[Actividad]]=Indice_Aux_Vacio,"",IFERROR(INDEX(plan!$D$4:$D$52,MATCH(Tabla_Registro_Tareas3[[#This Row],[Actividad]],plan!$C$4:$C$52,0)),""))</f>
        <v/>
      </c>
      <c r="E215" s="48" t="str">
        <f>IFERROR(INDEX(plan!$E$4:$E$52,MATCH(Tabla_Registro_Tareas3[[#This Row],[Actividad]],plan!$C$4:$C$52,0)),"")</f>
        <v/>
      </c>
      <c r="F215" s="49" t="str">
        <f>IF(Tabla_Registro_Tareas3[[#This Row],[Actividad]]=Indice_Aux_Vacio,"",Indice_PROBLAM_Estudiante3)</f>
        <v/>
      </c>
      <c r="G215" s="7"/>
      <c r="H215" s="8"/>
      <c r="I215" s="9"/>
      <c r="K215" s="12" t="str" cm="1">
        <f t="array" ref="K215">IF($B215&lt;&gt;"",TRANSPOSE(_xlfn._xlws.FILTER(plan!$C$4:$C$52, ($B215 &gt;= (plan!$J$4:$J$52-Indice_Plan_ExtensionPlazo))*($B215 &lt;= (plan!$K$4:$K$52+Indice_Plan_ExtensionPlazo)), "")), "")</f>
        <v/>
      </c>
      <c r="BH215" s="4"/>
    </row>
    <row r="216" spans="2:60" x14ac:dyDescent="0.3">
      <c r="B216" s="6"/>
      <c r="C216" s="10"/>
      <c r="D216" s="48" t="str">
        <f>IF(Tabla_Registro_Tareas3[[#This Row],[Actividad]]=Indice_Aux_Vacio,"",IFERROR(INDEX(plan!$D$4:$D$52,MATCH(Tabla_Registro_Tareas3[[#This Row],[Actividad]],plan!$C$4:$C$52,0)),""))</f>
        <v/>
      </c>
      <c r="E216" s="48" t="str">
        <f>IFERROR(INDEX(plan!$E$4:$E$52,MATCH(Tabla_Registro_Tareas3[[#This Row],[Actividad]],plan!$C$4:$C$52,0)),"")</f>
        <v/>
      </c>
      <c r="F216" s="49" t="str">
        <f>IF(Tabla_Registro_Tareas3[[#This Row],[Actividad]]=Indice_Aux_Vacio,"",Indice_PROBLAM_Estudiante3)</f>
        <v/>
      </c>
      <c r="G216" s="7"/>
      <c r="H216" s="8"/>
      <c r="I216" s="9"/>
      <c r="K216" s="12" t="str" cm="1">
        <f t="array" ref="K216">IF($B216&lt;&gt;"",TRANSPOSE(_xlfn._xlws.FILTER(plan!$C$4:$C$52, ($B216 &gt;= (plan!$J$4:$J$52-Indice_Plan_ExtensionPlazo))*($B216 &lt;= (plan!$K$4:$K$52+Indice_Plan_ExtensionPlazo)), "")), "")</f>
        <v/>
      </c>
      <c r="BH216" s="4"/>
    </row>
    <row r="217" spans="2:60" x14ac:dyDescent="0.3">
      <c r="B217" s="6"/>
      <c r="C217" s="10"/>
      <c r="D217" s="48" t="str">
        <f>IF(Tabla_Registro_Tareas3[[#This Row],[Actividad]]=Indice_Aux_Vacio,"",IFERROR(INDEX(plan!$D$4:$D$52,MATCH(Tabla_Registro_Tareas3[[#This Row],[Actividad]],plan!$C$4:$C$52,0)),""))</f>
        <v/>
      </c>
      <c r="E217" s="48" t="str">
        <f>IFERROR(INDEX(plan!$E$4:$E$52,MATCH(Tabla_Registro_Tareas3[[#This Row],[Actividad]],plan!$C$4:$C$52,0)),"")</f>
        <v/>
      </c>
      <c r="F217" s="49" t="str">
        <f>IF(Tabla_Registro_Tareas3[[#This Row],[Actividad]]=Indice_Aux_Vacio,"",Indice_PROBLAM_Estudiante3)</f>
        <v/>
      </c>
      <c r="G217" s="7"/>
      <c r="H217" s="8"/>
      <c r="I217" s="9"/>
      <c r="K217" s="12" t="str" cm="1">
        <f t="array" ref="K217">IF($B217&lt;&gt;"",TRANSPOSE(_xlfn._xlws.FILTER(plan!$C$4:$C$52, ($B217 &gt;= (plan!$J$4:$J$52-Indice_Plan_ExtensionPlazo))*($B217 &lt;= (plan!$K$4:$K$52+Indice_Plan_ExtensionPlazo)), "")), "")</f>
        <v/>
      </c>
      <c r="BH217" s="4"/>
    </row>
    <row r="218" spans="2:60" x14ac:dyDescent="0.3">
      <c r="B218" s="6"/>
      <c r="C218" s="10"/>
      <c r="D218" s="48" t="str">
        <f>IF(Tabla_Registro_Tareas3[[#This Row],[Actividad]]=Indice_Aux_Vacio,"",IFERROR(INDEX(plan!$D$4:$D$52,MATCH(Tabla_Registro_Tareas3[[#This Row],[Actividad]],plan!$C$4:$C$52,0)),""))</f>
        <v/>
      </c>
      <c r="E218" s="48" t="str">
        <f>IFERROR(INDEX(plan!$E$4:$E$52,MATCH(Tabla_Registro_Tareas3[[#This Row],[Actividad]],plan!$C$4:$C$52,0)),"")</f>
        <v/>
      </c>
      <c r="F218" s="49" t="str">
        <f>IF(Tabla_Registro_Tareas3[[#This Row],[Actividad]]=Indice_Aux_Vacio,"",Indice_PROBLAM_Estudiante3)</f>
        <v/>
      </c>
      <c r="G218" s="7"/>
      <c r="H218" s="8"/>
      <c r="I218" s="9"/>
      <c r="K218" s="12" t="str" cm="1">
        <f t="array" ref="K218">IF($B218&lt;&gt;"",TRANSPOSE(_xlfn._xlws.FILTER(plan!$C$4:$C$52, ($B218 &gt;= (plan!$J$4:$J$52-Indice_Plan_ExtensionPlazo))*($B218 &lt;= (plan!$K$4:$K$52+Indice_Plan_ExtensionPlazo)), "")), "")</f>
        <v/>
      </c>
      <c r="BH218" s="4"/>
    </row>
    <row r="219" spans="2:60" x14ac:dyDescent="0.3">
      <c r="B219" s="6"/>
      <c r="C219" s="10"/>
      <c r="D219" s="48" t="str">
        <f>IF(Tabla_Registro_Tareas3[[#This Row],[Actividad]]=Indice_Aux_Vacio,"",IFERROR(INDEX(plan!$D$4:$D$52,MATCH(Tabla_Registro_Tareas3[[#This Row],[Actividad]],plan!$C$4:$C$52,0)),""))</f>
        <v/>
      </c>
      <c r="E219" s="48" t="str">
        <f>IFERROR(INDEX(plan!$E$4:$E$52,MATCH(Tabla_Registro_Tareas3[[#This Row],[Actividad]],plan!$C$4:$C$52,0)),"")</f>
        <v/>
      </c>
      <c r="F219" s="49" t="str">
        <f>IF(Tabla_Registro_Tareas3[[#This Row],[Actividad]]=Indice_Aux_Vacio,"",Indice_PROBLAM_Estudiante3)</f>
        <v/>
      </c>
      <c r="G219" s="7"/>
      <c r="H219" s="8"/>
      <c r="I219" s="9"/>
      <c r="K219" s="12" t="str" cm="1">
        <f t="array" ref="K219">IF($B219&lt;&gt;"",TRANSPOSE(_xlfn._xlws.FILTER(plan!$C$4:$C$52, ($B219 &gt;= (plan!$J$4:$J$52-Indice_Plan_ExtensionPlazo))*($B219 &lt;= (plan!$K$4:$K$52+Indice_Plan_ExtensionPlazo)), "")), "")</f>
        <v/>
      </c>
      <c r="BH219" s="4"/>
    </row>
    <row r="220" spans="2:60" x14ac:dyDescent="0.3">
      <c r="B220" s="6"/>
      <c r="C220" s="10"/>
      <c r="D220" s="48" t="str">
        <f>IF(Tabla_Registro_Tareas3[[#This Row],[Actividad]]=Indice_Aux_Vacio,"",IFERROR(INDEX(plan!$D$4:$D$52,MATCH(Tabla_Registro_Tareas3[[#This Row],[Actividad]],plan!$C$4:$C$52,0)),""))</f>
        <v/>
      </c>
      <c r="E220" s="48" t="str">
        <f>IFERROR(INDEX(plan!$E$4:$E$52,MATCH(Tabla_Registro_Tareas3[[#This Row],[Actividad]],plan!$C$4:$C$52,0)),"")</f>
        <v/>
      </c>
      <c r="F220" s="49" t="str">
        <f>IF(Tabla_Registro_Tareas3[[#This Row],[Actividad]]=Indice_Aux_Vacio,"",Indice_PROBLAM_Estudiante3)</f>
        <v/>
      </c>
      <c r="G220" s="7"/>
      <c r="H220" s="8"/>
      <c r="I220" s="9"/>
      <c r="K220" s="12" t="str" cm="1">
        <f t="array" ref="K220">IF($B220&lt;&gt;"",TRANSPOSE(_xlfn._xlws.FILTER(plan!$C$4:$C$52, ($B220 &gt;= (plan!$J$4:$J$52-Indice_Plan_ExtensionPlazo))*($B220 &lt;= (plan!$K$4:$K$52+Indice_Plan_ExtensionPlazo)), "")), "")</f>
        <v/>
      </c>
      <c r="BH220" s="4"/>
    </row>
    <row r="221" spans="2:60" x14ac:dyDescent="0.3">
      <c r="B221" s="6"/>
      <c r="C221" s="10"/>
      <c r="D221" s="48" t="str">
        <f>IF(Tabla_Registro_Tareas3[[#This Row],[Actividad]]=Indice_Aux_Vacio,"",IFERROR(INDEX(plan!$D$4:$D$52,MATCH(Tabla_Registro_Tareas3[[#This Row],[Actividad]],plan!$C$4:$C$52,0)),""))</f>
        <v/>
      </c>
      <c r="E221" s="48" t="str">
        <f>IFERROR(INDEX(plan!$E$4:$E$52,MATCH(Tabla_Registro_Tareas3[[#This Row],[Actividad]],plan!$C$4:$C$52,0)),"")</f>
        <v/>
      </c>
      <c r="F221" s="49" t="str">
        <f>IF(Tabla_Registro_Tareas3[[#This Row],[Actividad]]=Indice_Aux_Vacio,"",Indice_PROBLAM_Estudiante3)</f>
        <v/>
      </c>
      <c r="G221" s="7"/>
      <c r="H221" s="8"/>
      <c r="I221" s="9"/>
      <c r="K221" s="12" t="str" cm="1">
        <f t="array" ref="K221">IF($B221&lt;&gt;"",TRANSPOSE(_xlfn._xlws.FILTER(plan!$C$4:$C$52, ($B221 &gt;= (plan!$J$4:$J$52-Indice_Plan_ExtensionPlazo))*($B221 &lt;= (plan!$K$4:$K$52+Indice_Plan_ExtensionPlazo)), "")), "")</f>
        <v/>
      </c>
      <c r="BH221" s="4"/>
    </row>
    <row r="222" spans="2:60" x14ac:dyDescent="0.3">
      <c r="B222" s="6"/>
      <c r="C222" s="10"/>
      <c r="D222" s="48" t="str">
        <f>IF(Tabla_Registro_Tareas3[[#This Row],[Actividad]]=Indice_Aux_Vacio,"",IFERROR(INDEX(plan!$D$4:$D$52,MATCH(Tabla_Registro_Tareas3[[#This Row],[Actividad]],plan!$C$4:$C$52,0)),""))</f>
        <v/>
      </c>
      <c r="E222" s="48" t="str">
        <f>IFERROR(INDEX(plan!$E$4:$E$52,MATCH(Tabla_Registro_Tareas3[[#This Row],[Actividad]],plan!$C$4:$C$52,0)),"")</f>
        <v/>
      </c>
      <c r="F222" s="49" t="str">
        <f>IF(Tabla_Registro_Tareas3[[#This Row],[Actividad]]=Indice_Aux_Vacio,"",Indice_PROBLAM_Estudiante3)</f>
        <v/>
      </c>
      <c r="G222" s="7"/>
      <c r="H222" s="8"/>
      <c r="I222" s="9"/>
      <c r="K222" s="12" t="str" cm="1">
        <f t="array" ref="K222">IF($B222&lt;&gt;"",TRANSPOSE(_xlfn._xlws.FILTER(plan!$C$4:$C$52, ($B222 &gt;= (plan!$J$4:$J$52-Indice_Plan_ExtensionPlazo))*($B222 &lt;= (plan!$K$4:$K$52+Indice_Plan_ExtensionPlazo)), "")), "")</f>
        <v/>
      </c>
      <c r="BH222" s="4"/>
    </row>
    <row r="223" spans="2:60" x14ac:dyDescent="0.3">
      <c r="B223" s="6"/>
      <c r="C223" s="10"/>
      <c r="D223" s="48" t="str">
        <f>IF(Tabla_Registro_Tareas3[[#This Row],[Actividad]]=Indice_Aux_Vacio,"",IFERROR(INDEX(plan!$D$4:$D$52,MATCH(Tabla_Registro_Tareas3[[#This Row],[Actividad]],plan!$C$4:$C$52,0)),""))</f>
        <v/>
      </c>
      <c r="E223" s="48" t="str">
        <f>IFERROR(INDEX(plan!$E$4:$E$52,MATCH(Tabla_Registro_Tareas3[[#This Row],[Actividad]],plan!$C$4:$C$52,0)),"")</f>
        <v/>
      </c>
      <c r="F223" s="49" t="str">
        <f>IF(Tabla_Registro_Tareas3[[#This Row],[Actividad]]=Indice_Aux_Vacio,"",Indice_PROBLAM_Estudiante3)</f>
        <v/>
      </c>
      <c r="G223" s="7"/>
      <c r="H223" s="8"/>
      <c r="I223" s="9"/>
      <c r="K223" s="12" t="str" cm="1">
        <f t="array" ref="K223">IF($B223&lt;&gt;"",TRANSPOSE(_xlfn._xlws.FILTER(plan!$C$4:$C$52, ($B223 &gt;= (plan!$J$4:$J$52-Indice_Plan_ExtensionPlazo))*($B223 &lt;= (plan!$K$4:$K$52+Indice_Plan_ExtensionPlazo)), "")), "")</f>
        <v/>
      </c>
      <c r="BH223" s="4"/>
    </row>
    <row r="224" spans="2:60" x14ac:dyDescent="0.3">
      <c r="B224" s="6"/>
      <c r="C224" s="10"/>
      <c r="D224" s="48" t="str">
        <f>IF(Tabla_Registro_Tareas3[[#This Row],[Actividad]]=Indice_Aux_Vacio,"",IFERROR(INDEX(plan!$D$4:$D$52,MATCH(Tabla_Registro_Tareas3[[#This Row],[Actividad]],plan!$C$4:$C$52,0)),""))</f>
        <v/>
      </c>
      <c r="E224" s="48" t="str">
        <f>IFERROR(INDEX(plan!$E$4:$E$52,MATCH(Tabla_Registro_Tareas3[[#This Row],[Actividad]],plan!$C$4:$C$52,0)),"")</f>
        <v/>
      </c>
      <c r="F224" s="49" t="str">
        <f>IF(Tabla_Registro_Tareas3[[#This Row],[Actividad]]=Indice_Aux_Vacio,"",Indice_PROBLAM_Estudiante3)</f>
        <v/>
      </c>
      <c r="G224" s="7"/>
      <c r="H224" s="8"/>
      <c r="I224" s="9"/>
      <c r="K224" s="12" t="str" cm="1">
        <f t="array" ref="K224">IF($B224&lt;&gt;"",TRANSPOSE(_xlfn._xlws.FILTER(plan!$C$4:$C$52, ($B224 &gt;= (plan!$J$4:$J$52-Indice_Plan_ExtensionPlazo))*($B224 &lt;= (plan!$K$4:$K$52+Indice_Plan_ExtensionPlazo)), "")), "")</f>
        <v/>
      </c>
      <c r="BH224" s="4"/>
    </row>
    <row r="225" spans="2:60" x14ac:dyDescent="0.3">
      <c r="B225" s="6"/>
      <c r="C225" s="10"/>
      <c r="D225" s="48" t="str">
        <f>IF(Tabla_Registro_Tareas3[[#This Row],[Actividad]]=Indice_Aux_Vacio,"",IFERROR(INDEX(plan!$D$4:$D$52,MATCH(Tabla_Registro_Tareas3[[#This Row],[Actividad]],plan!$C$4:$C$52,0)),""))</f>
        <v/>
      </c>
      <c r="E225" s="48" t="str">
        <f>IFERROR(INDEX(plan!$E$4:$E$52,MATCH(Tabla_Registro_Tareas3[[#This Row],[Actividad]],plan!$C$4:$C$52,0)),"")</f>
        <v/>
      </c>
      <c r="F225" s="49" t="str">
        <f>IF(Tabla_Registro_Tareas3[[#This Row],[Actividad]]=Indice_Aux_Vacio,"",Indice_PROBLAM_Estudiante3)</f>
        <v/>
      </c>
      <c r="G225" s="7"/>
      <c r="H225" s="8"/>
      <c r="I225" s="9"/>
      <c r="K225" s="12" t="str" cm="1">
        <f t="array" ref="K225">IF($B225&lt;&gt;"",TRANSPOSE(_xlfn._xlws.FILTER(plan!$C$4:$C$52, ($B225 &gt;= (plan!$J$4:$J$52-Indice_Plan_ExtensionPlazo))*($B225 &lt;= (plan!$K$4:$K$52+Indice_Plan_ExtensionPlazo)), "")), "")</f>
        <v/>
      </c>
      <c r="BH225" s="4"/>
    </row>
    <row r="226" spans="2:60" x14ac:dyDescent="0.3">
      <c r="B226" s="6"/>
      <c r="C226" s="10"/>
      <c r="D226" s="48" t="str">
        <f>IF(Tabla_Registro_Tareas3[[#This Row],[Actividad]]=Indice_Aux_Vacio,"",IFERROR(INDEX(plan!$D$4:$D$52,MATCH(Tabla_Registro_Tareas3[[#This Row],[Actividad]],plan!$C$4:$C$52,0)),""))</f>
        <v/>
      </c>
      <c r="E226" s="48" t="str">
        <f>IFERROR(INDEX(plan!$E$4:$E$52,MATCH(Tabla_Registro_Tareas3[[#This Row],[Actividad]],plan!$C$4:$C$52,0)),"")</f>
        <v/>
      </c>
      <c r="F226" s="49" t="str">
        <f>IF(Tabla_Registro_Tareas3[[#This Row],[Actividad]]=Indice_Aux_Vacio,"",Indice_PROBLAM_Estudiante3)</f>
        <v/>
      </c>
      <c r="G226" s="7"/>
      <c r="H226" s="8"/>
      <c r="I226" s="9"/>
      <c r="K226" s="12" t="str" cm="1">
        <f t="array" ref="K226">IF($B226&lt;&gt;"",TRANSPOSE(_xlfn._xlws.FILTER(plan!$C$4:$C$52, ($B226 &gt;= (plan!$J$4:$J$52-Indice_Plan_ExtensionPlazo))*($B226 &lt;= (plan!$K$4:$K$52+Indice_Plan_ExtensionPlazo)), "")), "")</f>
        <v/>
      </c>
      <c r="BH226" s="4"/>
    </row>
    <row r="227" spans="2:60" x14ac:dyDescent="0.3">
      <c r="B227" s="6"/>
      <c r="C227" s="10"/>
      <c r="D227" s="48" t="str">
        <f>IF(Tabla_Registro_Tareas3[[#This Row],[Actividad]]=Indice_Aux_Vacio,"",IFERROR(INDEX(plan!$D$4:$D$52,MATCH(Tabla_Registro_Tareas3[[#This Row],[Actividad]],plan!$C$4:$C$52,0)),""))</f>
        <v/>
      </c>
      <c r="E227" s="48" t="str">
        <f>IFERROR(INDEX(plan!$E$4:$E$52,MATCH(Tabla_Registro_Tareas3[[#This Row],[Actividad]],plan!$C$4:$C$52,0)),"")</f>
        <v/>
      </c>
      <c r="F227" s="49" t="str">
        <f>IF(Tabla_Registro_Tareas3[[#This Row],[Actividad]]=Indice_Aux_Vacio,"",Indice_PROBLAM_Estudiante3)</f>
        <v/>
      </c>
      <c r="G227" s="7"/>
      <c r="H227" s="8"/>
      <c r="I227" s="9"/>
      <c r="K227" s="12" t="str" cm="1">
        <f t="array" ref="K227">IF($B227&lt;&gt;"",TRANSPOSE(_xlfn._xlws.FILTER(plan!$C$4:$C$52, ($B227 &gt;= (plan!$J$4:$J$52-Indice_Plan_ExtensionPlazo))*($B227 &lt;= (plan!$K$4:$K$52+Indice_Plan_ExtensionPlazo)), "")), "")</f>
        <v/>
      </c>
      <c r="BH227" s="4"/>
    </row>
    <row r="228" spans="2:60" x14ac:dyDescent="0.3">
      <c r="B228" s="6"/>
      <c r="C228" s="10"/>
      <c r="D228" s="48" t="str">
        <f>IF(Tabla_Registro_Tareas3[[#This Row],[Actividad]]=Indice_Aux_Vacio,"",IFERROR(INDEX(plan!$D$4:$D$52,MATCH(Tabla_Registro_Tareas3[[#This Row],[Actividad]],plan!$C$4:$C$52,0)),""))</f>
        <v/>
      </c>
      <c r="E228" s="48" t="str">
        <f>IFERROR(INDEX(plan!$E$4:$E$52,MATCH(Tabla_Registro_Tareas3[[#This Row],[Actividad]],plan!$C$4:$C$52,0)),"")</f>
        <v/>
      </c>
      <c r="F228" s="49" t="str">
        <f>IF(Tabla_Registro_Tareas3[[#This Row],[Actividad]]=Indice_Aux_Vacio,"",Indice_PROBLAM_Estudiante3)</f>
        <v/>
      </c>
      <c r="G228" s="7"/>
      <c r="H228" s="8"/>
      <c r="I228" s="9"/>
      <c r="K228" s="12" t="str" cm="1">
        <f t="array" ref="K228">IF($B228&lt;&gt;"",TRANSPOSE(_xlfn._xlws.FILTER(plan!$C$4:$C$52, ($B228 &gt;= (plan!$J$4:$J$52-Indice_Plan_ExtensionPlazo))*($B228 &lt;= (plan!$K$4:$K$52+Indice_Plan_ExtensionPlazo)), "")), "")</f>
        <v/>
      </c>
      <c r="BH228" s="4"/>
    </row>
    <row r="229" spans="2:60" x14ac:dyDescent="0.3">
      <c r="B229" s="6"/>
      <c r="C229" s="10"/>
      <c r="D229" s="48" t="str">
        <f>IF(Tabla_Registro_Tareas3[[#This Row],[Actividad]]=Indice_Aux_Vacio,"",IFERROR(INDEX(plan!$D$4:$D$52,MATCH(Tabla_Registro_Tareas3[[#This Row],[Actividad]],plan!$C$4:$C$52,0)),""))</f>
        <v/>
      </c>
      <c r="E229" s="48" t="str">
        <f>IFERROR(INDEX(plan!$E$4:$E$52,MATCH(Tabla_Registro_Tareas3[[#This Row],[Actividad]],plan!$C$4:$C$52,0)),"")</f>
        <v/>
      </c>
      <c r="F229" s="49" t="str">
        <f>IF(Tabla_Registro_Tareas3[[#This Row],[Actividad]]=Indice_Aux_Vacio,"",Indice_PROBLAM_Estudiante3)</f>
        <v/>
      </c>
      <c r="G229" s="7"/>
      <c r="H229" s="8"/>
      <c r="I229" s="9"/>
      <c r="K229" s="12" t="str" cm="1">
        <f t="array" ref="K229">IF($B229&lt;&gt;"",TRANSPOSE(_xlfn._xlws.FILTER(plan!$C$4:$C$52, ($B229 &gt;= (plan!$J$4:$J$52-Indice_Plan_ExtensionPlazo))*($B229 &lt;= (plan!$K$4:$K$52+Indice_Plan_ExtensionPlazo)), "")), "")</f>
        <v/>
      </c>
      <c r="BH229" s="4"/>
    </row>
    <row r="230" spans="2:60" x14ac:dyDescent="0.3">
      <c r="B230" s="6"/>
      <c r="C230" s="10"/>
      <c r="D230" s="48" t="str">
        <f>IF(Tabla_Registro_Tareas3[[#This Row],[Actividad]]=Indice_Aux_Vacio,"",IFERROR(INDEX(plan!$D$4:$D$52,MATCH(Tabla_Registro_Tareas3[[#This Row],[Actividad]],plan!$C$4:$C$52,0)),""))</f>
        <v/>
      </c>
      <c r="E230" s="48" t="str">
        <f>IFERROR(INDEX(plan!$E$4:$E$52,MATCH(Tabla_Registro_Tareas3[[#This Row],[Actividad]],plan!$C$4:$C$52,0)),"")</f>
        <v/>
      </c>
      <c r="F230" s="49" t="str">
        <f>IF(Tabla_Registro_Tareas3[[#This Row],[Actividad]]=Indice_Aux_Vacio,"",Indice_PROBLAM_Estudiante3)</f>
        <v/>
      </c>
      <c r="G230" s="7"/>
      <c r="H230" s="8"/>
      <c r="I230" s="9"/>
      <c r="K230" s="12" t="str" cm="1">
        <f t="array" ref="K230">IF($B230&lt;&gt;"",TRANSPOSE(_xlfn._xlws.FILTER(plan!$C$4:$C$52, ($B230 &gt;= (plan!$J$4:$J$52-Indice_Plan_ExtensionPlazo))*($B230 &lt;= (plan!$K$4:$K$52+Indice_Plan_ExtensionPlazo)), "")), "")</f>
        <v/>
      </c>
      <c r="BH230" s="4"/>
    </row>
    <row r="231" spans="2:60" x14ac:dyDescent="0.3">
      <c r="B231" s="6"/>
      <c r="C231" s="10"/>
      <c r="D231" s="48" t="str">
        <f>IF(Tabla_Registro_Tareas3[[#This Row],[Actividad]]=Indice_Aux_Vacio,"",IFERROR(INDEX(plan!$D$4:$D$52,MATCH(Tabla_Registro_Tareas3[[#This Row],[Actividad]],plan!$C$4:$C$52,0)),""))</f>
        <v/>
      </c>
      <c r="E231" s="48" t="str">
        <f>IFERROR(INDEX(plan!$E$4:$E$52,MATCH(Tabla_Registro_Tareas3[[#This Row],[Actividad]],plan!$C$4:$C$52,0)),"")</f>
        <v/>
      </c>
      <c r="F231" s="49" t="str">
        <f>IF(Tabla_Registro_Tareas3[[#This Row],[Actividad]]=Indice_Aux_Vacio,"",Indice_PROBLAM_Estudiante3)</f>
        <v/>
      </c>
      <c r="G231" s="7"/>
      <c r="H231" s="8"/>
      <c r="I231" s="9"/>
      <c r="K231" s="12" t="str" cm="1">
        <f t="array" ref="K231">IF($B231&lt;&gt;"",TRANSPOSE(_xlfn._xlws.FILTER(plan!$C$4:$C$52, ($B231 &gt;= (plan!$J$4:$J$52-Indice_Plan_ExtensionPlazo))*($B231 &lt;= (plan!$K$4:$K$52+Indice_Plan_ExtensionPlazo)), "")), "")</f>
        <v/>
      </c>
      <c r="BH231" s="4"/>
    </row>
    <row r="232" spans="2:60" x14ac:dyDescent="0.3">
      <c r="B232" s="6"/>
      <c r="C232" s="10"/>
      <c r="D232" s="48" t="str">
        <f>IF(Tabla_Registro_Tareas3[[#This Row],[Actividad]]=Indice_Aux_Vacio,"",IFERROR(INDEX(plan!$D$4:$D$52,MATCH(Tabla_Registro_Tareas3[[#This Row],[Actividad]],plan!$C$4:$C$52,0)),""))</f>
        <v/>
      </c>
      <c r="E232" s="48" t="str">
        <f>IFERROR(INDEX(plan!$E$4:$E$52,MATCH(Tabla_Registro_Tareas3[[#This Row],[Actividad]],plan!$C$4:$C$52,0)),"")</f>
        <v/>
      </c>
      <c r="F232" s="49" t="str">
        <f>IF(Tabla_Registro_Tareas3[[#This Row],[Actividad]]=Indice_Aux_Vacio,"",Indice_PROBLAM_Estudiante3)</f>
        <v/>
      </c>
      <c r="G232" s="7"/>
      <c r="H232" s="8"/>
      <c r="I232" s="9"/>
      <c r="K232" s="12" t="str" cm="1">
        <f t="array" ref="K232">IF($B232&lt;&gt;"",TRANSPOSE(_xlfn._xlws.FILTER(plan!$C$4:$C$52, ($B232 &gt;= (plan!$J$4:$J$52-Indice_Plan_ExtensionPlazo))*($B232 &lt;= (plan!$K$4:$K$52+Indice_Plan_ExtensionPlazo)), "")), "")</f>
        <v/>
      </c>
      <c r="BH232" s="4"/>
    </row>
    <row r="233" spans="2:60" x14ac:dyDescent="0.3">
      <c r="B233" s="6"/>
      <c r="C233" s="10"/>
      <c r="D233" s="48" t="str">
        <f>IF(Tabla_Registro_Tareas3[[#This Row],[Actividad]]=Indice_Aux_Vacio,"",IFERROR(INDEX(plan!$D$4:$D$52,MATCH(Tabla_Registro_Tareas3[[#This Row],[Actividad]],plan!$C$4:$C$52,0)),""))</f>
        <v/>
      </c>
      <c r="E233" s="48" t="str">
        <f>IFERROR(INDEX(plan!$E$4:$E$52,MATCH(Tabla_Registro_Tareas3[[#This Row],[Actividad]],plan!$C$4:$C$52,0)),"")</f>
        <v/>
      </c>
      <c r="F233" s="49" t="str">
        <f>IF(Tabla_Registro_Tareas3[[#This Row],[Actividad]]=Indice_Aux_Vacio,"",Indice_PROBLAM_Estudiante3)</f>
        <v/>
      </c>
      <c r="G233" s="7"/>
      <c r="H233" s="8"/>
      <c r="I233" s="9"/>
      <c r="K233" s="12" t="str" cm="1">
        <f t="array" ref="K233">IF($B233&lt;&gt;"",TRANSPOSE(_xlfn._xlws.FILTER(plan!$C$4:$C$52, ($B233 &gt;= (plan!$J$4:$J$52-Indice_Plan_ExtensionPlazo))*($B233 &lt;= (plan!$K$4:$K$52+Indice_Plan_ExtensionPlazo)), "")), "")</f>
        <v/>
      </c>
      <c r="BH233" s="4"/>
    </row>
    <row r="234" spans="2:60" x14ac:dyDescent="0.3">
      <c r="B234" s="6"/>
      <c r="C234" s="10"/>
      <c r="D234" s="48" t="str">
        <f>IF(Tabla_Registro_Tareas3[[#This Row],[Actividad]]=Indice_Aux_Vacio,"",IFERROR(INDEX(plan!$D$4:$D$52,MATCH(Tabla_Registro_Tareas3[[#This Row],[Actividad]],plan!$C$4:$C$52,0)),""))</f>
        <v/>
      </c>
      <c r="E234" s="48" t="str">
        <f>IFERROR(INDEX(plan!$E$4:$E$52,MATCH(Tabla_Registro_Tareas3[[#This Row],[Actividad]],plan!$C$4:$C$52,0)),"")</f>
        <v/>
      </c>
      <c r="F234" s="49" t="str">
        <f>IF(Tabla_Registro_Tareas3[[#This Row],[Actividad]]=Indice_Aux_Vacio,"",Indice_PROBLAM_Estudiante3)</f>
        <v/>
      </c>
      <c r="G234" s="7"/>
      <c r="H234" s="8"/>
      <c r="I234" s="9"/>
      <c r="K234" s="12" t="str" cm="1">
        <f t="array" ref="K234">IF($B234&lt;&gt;"",TRANSPOSE(_xlfn._xlws.FILTER(plan!$C$4:$C$52, ($B234 &gt;= (plan!$J$4:$J$52-Indice_Plan_ExtensionPlazo))*($B234 &lt;= (plan!$K$4:$K$52+Indice_Plan_ExtensionPlazo)), "")), "")</f>
        <v/>
      </c>
      <c r="BH234" s="4"/>
    </row>
    <row r="235" spans="2:60" x14ac:dyDescent="0.3">
      <c r="B235" s="6"/>
      <c r="C235" s="10"/>
      <c r="D235" s="48" t="str">
        <f>IF(Tabla_Registro_Tareas3[[#This Row],[Actividad]]=Indice_Aux_Vacio,"",IFERROR(INDEX(plan!$D$4:$D$52,MATCH(Tabla_Registro_Tareas3[[#This Row],[Actividad]],plan!$C$4:$C$52,0)),""))</f>
        <v/>
      </c>
      <c r="E235" s="48" t="str">
        <f>IFERROR(INDEX(plan!$E$4:$E$52,MATCH(Tabla_Registro_Tareas3[[#This Row],[Actividad]],plan!$C$4:$C$52,0)),"")</f>
        <v/>
      </c>
      <c r="F235" s="49" t="str">
        <f>IF(Tabla_Registro_Tareas3[[#This Row],[Actividad]]=Indice_Aux_Vacio,"",Indice_PROBLAM_Estudiante3)</f>
        <v/>
      </c>
      <c r="G235" s="7"/>
      <c r="H235" s="8"/>
      <c r="I235" s="9"/>
      <c r="K235" s="12" t="str" cm="1">
        <f t="array" ref="K235">IF($B235&lt;&gt;"",TRANSPOSE(_xlfn._xlws.FILTER(plan!$C$4:$C$52, ($B235 &gt;= (plan!$J$4:$J$52-Indice_Plan_ExtensionPlazo))*($B235 &lt;= (plan!$K$4:$K$52+Indice_Plan_ExtensionPlazo)), "")), "")</f>
        <v/>
      </c>
      <c r="BH235" s="4"/>
    </row>
    <row r="236" spans="2:60" x14ac:dyDescent="0.3">
      <c r="B236" s="6"/>
      <c r="C236" s="10"/>
      <c r="D236" s="48" t="str">
        <f>IF(Tabla_Registro_Tareas3[[#This Row],[Actividad]]=Indice_Aux_Vacio,"",IFERROR(INDEX(plan!$D$4:$D$52,MATCH(Tabla_Registro_Tareas3[[#This Row],[Actividad]],plan!$C$4:$C$52,0)),""))</f>
        <v/>
      </c>
      <c r="E236" s="48" t="str">
        <f>IFERROR(INDEX(plan!$E$4:$E$52,MATCH(Tabla_Registro_Tareas3[[#This Row],[Actividad]],plan!$C$4:$C$52,0)),"")</f>
        <v/>
      </c>
      <c r="F236" s="49" t="str">
        <f>IF(Tabla_Registro_Tareas3[[#This Row],[Actividad]]=Indice_Aux_Vacio,"",Indice_PROBLAM_Estudiante3)</f>
        <v/>
      </c>
      <c r="G236" s="7"/>
      <c r="H236" s="8"/>
      <c r="I236" s="9"/>
      <c r="K236" s="12" t="str" cm="1">
        <f t="array" ref="K236">IF($B236&lt;&gt;"",TRANSPOSE(_xlfn._xlws.FILTER(plan!$C$4:$C$52, ($B236 &gt;= (plan!$J$4:$J$52-Indice_Plan_ExtensionPlazo))*($B236 &lt;= (plan!$K$4:$K$52+Indice_Plan_ExtensionPlazo)), "")), "")</f>
        <v/>
      </c>
      <c r="BH236" s="4"/>
    </row>
    <row r="237" spans="2:60" x14ac:dyDescent="0.3">
      <c r="B237" s="6"/>
      <c r="C237" s="10"/>
      <c r="D237" s="48" t="str">
        <f>IF(Tabla_Registro_Tareas3[[#This Row],[Actividad]]=Indice_Aux_Vacio,"",IFERROR(INDEX(plan!$D$4:$D$52,MATCH(Tabla_Registro_Tareas3[[#This Row],[Actividad]],plan!$C$4:$C$52,0)),""))</f>
        <v/>
      </c>
      <c r="E237" s="48" t="str">
        <f>IFERROR(INDEX(plan!$E$4:$E$52,MATCH(Tabla_Registro_Tareas3[[#This Row],[Actividad]],plan!$C$4:$C$52,0)),"")</f>
        <v/>
      </c>
      <c r="F237" s="49" t="str">
        <f>IF(Tabla_Registro_Tareas3[[#This Row],[Actividad]]=Indice_Aux_Vacio,"",Indice_PROBLAM_Estudiante3)</f>
        <v/>
      </c>
      <c r="G237" s="7"/>
      <c r="H237" s="8"/>
      <c r="I237" s="9"/>
      <c r="K237" s="12" t="str" cm="1">
        <f t="array" ref="K237">IF($B237&lt;&gt;"",TRANSPOSE(_xlfn._xlws.FILTER(plan!$C$4:$C$52, ($B237 &gt;= (plan!$J$4:$J$52-Indice_Plan_ExtensionPlazo))*($B237 &lt;= (plan!$K$4:$K$52+Indice_Plan_ExtensionPlazo)), "")), "")</f>
        <v/>
      </c>
      <c r="BH237" s="4"/>
    </row>
    <row r="238" spans="2:60" x14ac:dyDescent="0.3">
      <c r="B238" s="6"/>
      <c r="C238" s="10"/>
      <c r="D238" s="48" t="str">
        <f>IF(Tabla_Registro_Tareas3[[#This Row],[Actividad]]=Indice_Aux_Vacio,"",IFERROR(INDEX(plan!$D$4:$D$52,MATCH(Tabla_Registro_Tareas3[[#This Row],[Actividad]],plan!$C$4:$C$52,0)),""))</f>
        <v/>
      </c>
      <c r="E238" s="48" t="str">
        <f>IFERROR(INDEX(plan!$E$4:$E$52,MATCH(Tabla_Registro_Tareas3[[#This Row],[Actividad]],plan!$C$4:$C$52,0)),"")</f>
        <v/>
      </c>
      <c r="F238" s="49" t="str">
        <f>IF(Tabla_Registro_Tareas3[[#This Row],[Actividad]]=Indice_Aux_Vacio,"",Indice_PROBLAM_Estudiante3)</f>
        <v/>
      </c>
      <c r="G238" s="7"/>
      <c r="H238" s="8"/>
      <c r="I238" s="9"/>
      <c r="K238" s="12" t="str" cm="1">
        <f t="array" ref="K238">IF($B238&lt;&gt;"",TRANSPOSE(_xlfn._xlws.FILTER(plan!$C$4:$C$52, ($B238 &gt;= (plan!$J$4:$J$52-Indice_Plan_ExtensionPlazo))*($B238 &lt;= (plan!$K$4:$K$52+Indice_Plan_ExtensionPlazo)), "")), "")</f>
        <v/>
      </c>
      <c r="BH238" s="4"/>
    </row>
    <row r="239" spans="2:60" x14ac:dyDescent="0.3">
      <c r="B239" s="6"/>
      <c r="C239" s="10"/>
      <c r="D239" s="48" t="str">
        <f>IF(Tabla_Registro_Tareas3[[#This Row],[Actividad]]=Indice_Aux_Vacio,"",IFERROR(INDEX(plan!$D$4:$D$52,MATCH(Tabla_Registro_Tareas3[[#This Row],[Actividad]],plan!$C$4:$C$52,0)),""))</f>
        <v/>
      </c>
      <c r="E239" s="48" t="str">
        <f>IFERROR(INDEX(plan!$E$4:$E$52,MATCH(Tabla_Registro_Tareas3[[#This Row],[Actividad]],plan!$C$4:$C$52,0)),"")</f>
        <v/>
      </c>
      <c r="F239" s="49" t="str">
        <f>IF(Tabla_Registro_Tareas3[[#This Row],[Actividad]]=Indice_Aux_Vacio,"",Indice_PROBLAM_Estudiante3)</f>
        <v/>
      </c>
      <c r="G239" s="7"/>
      <c r="H239" s="8"/>
      <c r="I239" s="9"/>
      <c r="K239" s="12" t="str" cm="1">
        <f t="array" ref="K239">IF($B239&lt;&gt;"",TRANSPOSE(_xlfn._xlws.FILTER(plan!$C$4:$C$52, ($B239 &gt;= (plan!$J$4:$J$52-Indice_Plan_ExtensionPlazo))*($B239 &lt;= (plan!$K$4:$K$52+Indice_Plan_ExtensionPlazo)), "")), "")</f>
        <v/>
      </c>
      <c r="BH239" s="4"/>
    </row>
    <row r="240" spans="2:60" x14ac:dyDescent="0.3">
      <c r="B240" s="6"/>
      <c r="C240" s="10"/>
      <c r="D240" s="48" t="str">
        <f>IF(Tabla_Registro_Tareas3[[#This Row],[Actividad]]=Indice_Aux_Vacio,"",IFERROR(INDEX(plan!$D$4:$D$52,MATCH(Tabla_Registro_Tareas3[[#This Row],[Actividad]],plan!$C$4:$C$52,0)),""))</f>
        <v/>
      </c>
      <c r="E240" s="48" t="str">
        <f>IFERROR(INDEX(plan!$E$4:$E$52,MATCH(Tabla_Registro_Tareas3[[#This Row],[Actividad]],plan!$C$4:$C$52,0)),"")</f>
        <v/>
      </c>
      <c r="F240" s="49" t="str">
        <f>IF(Tabla_Registro_Tareas3[[#This Row],[Actividad]]=Indice_Aux_Vacio,"",Indice_PROBLAM_Estudiante3)</f>
        <v/>
      </c>
      <c r="G240" s="7"/>
      <c r="H240" s="8"/>
      <c r="I240" s="9"/>
      <c r="K240" s="12" t="str" cm="1">
        <f t="array" ref="K240">IF($B240&lt;&gt;"",TRANSPOSE(_xlfn._xlws.FILTER(plan!$C$4:$C$52, ($B240 &gt;= (plan!$J$4:$J$52-Indice_Plan_ExtensionPlazo))*($B240 &lt;= (plan!$K$4:$K$52+Indice_Plan_ExtensionPlazo)), "")), "")</f>
        <v/>
      </c>
      <c r="BH240" s="4"/>
    </row>
    <row r="241" spans="2:60" x14ac:dyDescent="0.3">
      <c r="B241" s="6"/>
      <c r="C241" s="10"/>
      <c r="D241" s="48" t="str">
        <f>IF(Tabla_Registro_Tareas3[[#This Row],[Actividad]]=Indice_Aux_Vacio,"",IFERROR(INDEX(plan!$D$4:$D$52,MATCH(Tabla_Registro_Tareas3[[#This Row],[Actividad]],plan!$C$4:$C$52,0)),""))</f>
        <v/>
      </c>
      <c r="E241" s="48" t="str">
        <f>IFERROR(INDEX(plan!$E$4:$E$52,MATCH(Tabla_Registro_Tareas3[[#This Row],[Actividad]],plan!$C$4:$C$52,0)),"")</f>
        <v/>
      </c>
      <c r="F241" s="49" t="str">
        <f>IF(Tabla_Registro_Tareas3[[#This Row],[Actividad]]=Indice_Aux_Vacio,"",Indice_PROBLAM_Estudiante3)</f>
        <v/>
      </c>
      <c r="G241" s="7"/>
      <c r="H241" s="8"/>
      <c r="I241" s="9"/>
      <c r="K241" s="12" t="str" cm="1">
        <f t="array" ref="K241">IF($B241&lt;&gt;"",TRANSPOSE(_xlfn._xlws.FILTER(plan!$C$4:$C$52, ($B241 &gt;= (plan!$J$4:$J$52-Indice_Plan_ExtensionPlazo))*($B241 &lt;= (plan!$K$4:$K$52+Indice_Plan_ExtensionPlazo)), "")), "")</f>
        <v/>
      </c>
      <c r="BH241" s="4"/>
    </row>
    <row r="242" spans="2:60" x14ac:dyDescent="0.3">
      <c r="B242" s="6"/>
      <c r="C242" s="10"/>
      <c r="D242" s="48" t="str">
        <f>IF(Tabla_Registro_Tareas3[[#This Row],[Actividad]]=Indice_Aux_Vacio,"",IFERROR(INDEX(plan!$D$4:$D$52,MATCH(Tabla_Registro_Tareas3[[#This Row],[Actividad]],plan!$C$4:$C$52,0)),""))</f>
        <v/>
      </c>
      <c r="E242" s="48" t="str">
        <f>IFERROR(INDEX(plan!$E$4:$E$52,MATCH(Tabla_Registro_Tareas3[[#This Row],[Actividad]],plan!$C$4:$C$52,0)),"")</f>
        <v/>
      </c>
      <c r="F242" s="49" t="str">
        <f>IF(Tabla_Registro_Tareas3[[#This Row],[Actividad]]=Indice_Aux_Vacio,"",Indice_PROBLAM_Estudiante3)</f>
        <v/>
      </c>
      <c r="G242" s="7"/>
      <c r="H242" s="8"/>
      <c r="I242" s="9"/>
      <c r="K242" s="12" t="str" cm="1">
        <f t="array" ref="K242">IF($B242&lt;&gt;"",TRANSPOSE(_xlfn._xlws.FILTER(plan!$C$4:$C$52, ($B242 &gt;= (plan!$J$4:$J$52-Indice_Plan_ExtensionPlazo))*($B242 &lt;= (plan!$K$4:$K$52+Indice_Plan_ExtensionPlazo)), "")), "")</f>
        <v/>
      </c>
      <c r="BH242" s="4"/>
    </row>
    <row r="243" spans="2:60" x14ac:dyDescent="0.3">
      <c r="B243" s="6"/>
      <c r="C243" s="10"/>
      <c r="D243" s="48" t="str">
        <f>IF(Tabla_Registro_Tareas3[[#This Row],[Actividad]]=Indice_Aux_Vacio,"",IFERROR(INDEX(plan!$D$4:$D$52,MATCH(Tabla_Registro_Tareas3[[#This Row],[Actividad]],plan!$C$4:$C$52,0)),""))</f>
        <v/>
      </c>
      <c r="E243" s="48" t="str">
        <f>IFERROR(INDEX(plan!$E$4:$E$52,MATCH(Tabla_Registro_Tareas3[[#This Row],[Actividad]],plan!$C$4:$C$52,0)),"")</f>
        <v/>
      </c>
      <c r="F243" s="49" t="str">
        <f>IF(Tabla_Registro_Tareas3[[#This Row],[Actividad]]=Indice_Aux_Vacio,"",Indice_PROBLAM_Estudiante3)</f>
        <v/>
      </c>
      <c r="G243" s="7"/>
      <c r="H243" s="8"/>
      <c r="I243" s="9"/>
      <c r="K243" s="12" t="str" cm="1">
        <f t="array" ref="K243">IF($B243&lt;&gt;"",TRANSPOSE(_xlfn._xlws.FILTER(plan!$C$4:$C$52, ($B243 &gt;= (plan!$J$4:$J$52-Indice_Plan_ExtensionPlazo))*($B243 &lt;= (plan!$K$4:$K$52+Indice_Plan_ExtensionPlazo)), "")), "")</f>
        <v/>
      </c>
      <c r="BH243" s="4"/>
    </row>
    <row r="244" spans="2:60" x14ac:dyDescent="0.3">
      <c r="B244" s="6"/>
      <c r="C244" s="10"/>
      <c r="D244" s="48" t="str">
        <f>IF(Tabla_Registro_Tareas3[[#This Row],[Actividad]]=Indice_Aux_Vacio,"",IFERROR(INDEX(plan!$D$4:$D$52,MATCH(Tabla_Registro_Tareas3[[#This Row],[Actividad]],plan!$C$4:$C$52,0)),""))</f>
        <v/>
      </c>
      <c r="E244" s="48" t="str">
        <f>IFERROR(INDEX(plan!$E$4:$E$52,MATCH(Tabla_Registro_Tareas3[[#This Row],[Actividad]],plan!$C$4:$C$52,0)),"")</f>
        <v/>
      </c>
      <c r="F244" s="49" t="str">
        <f>IF(Tabla_Registro_Tareas3[[#This Row],[Actividad]]=Indice_Aux_Vacio,"",Indice_PROBLAM_Estudiante3)</f>
        <v/>
      </c>
      <c r="G244" s="7"/>
      <c r="H244" s="8"/>
      <c r="I244" s="9"/>
      <c r="K244" s="12" t="str" cm="1">
        <f t="array" ref="K244">IF($B244&lt;&gt;"",TRANSPOSE(_xlfn._xlws.FILTER(plan!$C$4:$C$52, ($B244 &gt;= (plan!$J$4:$J$52-Indice_Plan_ExtensionPlazo))*($B244 &lt;= (plan!$K$4:$K$52+Indice_Plan_ExtensionPlazo)), "")), "")</f>
        <v/>
      </c>
      <c r="BH244" s="4"/>
    </row>
    <row r="245" spans="2:60" x14ac:dyDescent="0.3">
      <c r="B245" s="6"/>
      <c r="C245" s="10"/>
      <c r="D245" s="48" t="str">
        <f>IF(Tabla_Registro_Tareas3[[#This Row],[Actividad]]=Indice_Aux_Vacio,"",IFERROR(INDEX(plan!$D$4:$D$52,MATCH(Tabla_Registro_Tareas3[[#This Row],[Actividad]],plan!$C$4:$C$52,0)),""))</f>
        <v/>
      </c>
      <c r="E245" s="48" t="str">
        <f>IFERROR(INDEX(plan!$E$4:$E$52,MATCH(Tabla_Registro_Tareas3[[#This Row],[Actividad]],plan!$C$4:$C$52,0)),"")</f>
        <v/>
      </c>
      <c r="F245" s="49" t="str">
        <f>IF(Tabla_Registro_Tareas3[[#This Row],[Actividad]]=Indice_Aux_Vacio,"",Indice_PROBLAM_Estudiante3)</f>
        <v/>
      </c>
      <c r="G245" s="7"/>
      <c r="H245" s="8"/>
      <c r="I245" s="9"/>
      <c r="K245" s="12" t="str" cm="1">
        <f t="array" ref="K245">IF($B245&lt;&gt;"",TRANSPOSE(_xlfn._xlws.FILTER(plan!$C$4:$C$52, ($B245 &gt;= (plan!$J$4:$J$52-Indice_Plan_ExtensionPlazo))*($B245 &lt;= (plan!$K$4:$K$52+Indice_Plan_ExtensionPlazo)), "")), "")</f>
        <v/>
      </c>
      <c r="BH245" s="4"/>
    </row>
    <row r="246" spans="2:60" x14ac:dyDescent="0.3">
      <c r="B246" s="6"/>
      <c r="C246" s="10"/>
      <c r="D246" s="48" t="str">
        <f>IF(Tabla_Registro_Tareas3[[#This Row],[Actividad]]=Indice_Aux_Vacio,"",IFERROR(INDEX(plan!$D$4:$D$52,MATCH(Tabla_Registro_Tareas3[[#This Row],[Actividad]],plan!$C$4:$C$52,0)),""))</f>
        <v/>
      </c>
      <c r="E246" s="48" t="str">
        <f>IFERROR(INDEX(plan!$E$4:$E$52,MATCH(Tabla_Registro_Tareas3[[#This Row],[Actividad]],plan!$C$4:$C$52,0)),"")</f>
        <v/>
      </c>
      <c r="F246" s="49" t="str">
        <f>IF(Tabla_Registro_Tareas3[[#This Row],[Actividad]]=Indice_Aux_Vacio,"",Indice_PROBLAM_Estudiante3)</f>
        <v/>
      </c>
      <c r="G246" s="7"/>
      <c r="H246" s="8"/>
      <c r="I246" s="9"/>
      <c r="K246" s="12" t="str" cm="1">
        <f t="array" ref="K246">IF($B246&lt;&gt;"",TRANSPOSE(_xlfn._xlws.FILTER(plan!$C$4:$C$52, ($B246 &gt;= (plan!$J$4:$J$52-Indice_Plan_ExtensionPlazo))*($B246 &lt;= (plan!$K$4:$K$52+Indice_Plan_ExtensionPlazo)), "")), "")</f>
        <v/>
      </c>
      <c r="BH246" s="4"/>
    </row>
    <row r="247" spans="2:60" x14ac:dyDescent="0.3">
      <c r="B247" s="6"/>
      <c r="C247" s="10"/>
      <c r="D247" s="48" t="str">
        <f>IF(Tabla_Registro_Tareas3[[#This Row],[Actividad]]=Indice_Aux_Vacio,"",IFERROR(INDEX(plan!$D$4:$D$52,MATCH(Tabla_Registro_Tareas3[[#This Row],[Actividad]],plan!$C$4:$C$52,0)),""))</f>
        <v/>
      </c>
      <c r="E247" s="48" t="str">
        <f>IFERROR(INDEX(plan!$E$4:$E$52,MATCH(Tabla_Registro_Tareas3[[#This Row],[Actividad]],plan!$C$4:$C$52,0)),"")</f>
        <v/>
      </c>
      <c r="F247" s="49" t="str">
        <f>IF(Tabla_Registro_Tareas3[[#This Row],[Actividad]]=Indice_Aux_Vacio,"",Indice_PROBLAM_Estudiante3)</f>
        <v/>
      </c>
      <c r="G247" s="7"/>
      <c r="H247" s="8"/>
      <c r="I247" s="9"/>
      <c r="K247" s="12" t="str" cm="1">
        <f t="array" ref="K247">IF($B247&lt;&gt;"",TRANSPOSE(_xlfn._xlws.FILTER(plan!$C$4:$C$52, ($B247 &gt;= (plan!$J$4:$J$52-Indice_Plan_ExtensionPlazo))*($B247 &lt;= (plan!$K$4:$K$52+Indice_Plan_ExtensionPlazo)), "")), "")</f>
        <v/>
      </c>
      <c r="BH247" s="4"/>
    </row>
    <row r="248" spans="2:60" x14ac:dyDescent="0.3">
      <c r="B248" s="6"/>
      <c r="C248" s="10"/>
      <c r="D248" s="48" t="str">
        <f>IF(Tabla_Registro_Tareas3[[#This Row],[Actividad]]=Indice_Aux_Vacio,"",IFERROR(INDEX(plan!$D$4:$D$52,MATCH(Tabla_Registro_Tareas3[[#This Row],[Actividad]],plan!$C$4:$C$52,0)),""))</f>
        <v/>
      </c>
      <c r="E248" s="48" t="str">
        <f>IFERROR(INDEX(plan!$E$4:$E$52,MATCH(Tabla_Registro_Tareas3[[#This Row],[Actividad]],plan!$C$4:$C$52,0)),"")</f>
        <v/>
      </c>
      <c r="F248" s="49" t="str">
        <f>IF(Tabla_Registro_Tareas3[[#This Row],[Actividad]]=Indice_Aux_Vacio,"",Indice_PROBLAM_Estudiante3)</f>
        <v/>
      </c>
      <c r="G248" s="7"/>
      <c r="H248" s="8"/>
      <c r="I248" s="9"/>
      <c r="K248" s="12" t="str" cm="1">
        <f t="array" ref="K248">IF($B248&lt;&gt;"",TRANSPOSE(_xlfn._xlws.FILTER(plan!$C$4:$C$52, ($B248 &gt;= (plan!$J$4:$J$52-Indice_Plan_ExtensionPlazo))*($B248 &lt;= (plan!$K$4:$K$52+Indice_Plan_ExtensionPlazo)), "")), "")</f>
        <v/>
      </c>
      <c r="BH248" s="4"/>
    </row>
    <row r="249" spans="2:60" x14ac:dyDescent="0.3">
      <c r="B249" s="6"/>
      <c r="C249" s="10"/>
      <c r="D249" s="48" t="str">
        <f>IF(Tabla_Registro_Tareas3[[#This Row],[Actividad]]=Indice_Aux_Vacio,"",IFERROR(INDEX(plan!$D$4:$D$52,MATCH(Tabla_Registro_Tareas3[[#This Row],[Actividad]],plan!$C$4:$C$52,0)),""))</f>
        <v/>
      </c>
      <c r="E249" s="48" t="str">
        <f>IFERROR(INDEX(plan!$E$4:$E$52,MATCH(Tabla_Registro_Tareas3[[#This Row],[Actividad]],plan!$C$4:$C$52,0)),"")</f>
        <v/>
      </c>
      <c r="F249" s="49" t="str">
        <f>IF(Tabla_Registro_Tareas3[[#This Row],[Actividad]]=Indice_Aux_Vacio,"",Indice_PROBLAM_Estudiante3)</f>
        <v/>
      </c>
      <c r="G249" s="7"/>
      <c r="H249" s="8"/>
      <c r="I249" s="9"/>
      <c r="K249" s="12" t="str" cm="1">
        <f t="array" ref="K249">IF($B249&lt;&gt;"",TRANSPOSE(_xlfn._xlws.FILTER(plan!$C$4:$C$52, ($B249 &gt;= (plan!$J$4:$J$52-Indice_Plan_ExtensionPlazo))*($B249 &lt;= (plan!$K$4:$K$52+Indice_Plan_ExtensionPlazo)), "")), "")</f>
        <v/>
      </c>
      <c r="BH249" s="4"/>
    </row>
    <row r="250" spans="2:60" x14ac:dyDescent="0.3">
      <c r="B250" s="6"/>
      <c r="C250" s="10"/>
      <c r="D250" s="48" t="str">
        <f>IF(Tabla_Registro_Tareas3[[#This Row],[Actividad]]=Indice_Aux_Vacio,"",IFERROR(INDEX(plan!$D$4:$D$52,MATCH(Tabla_Registro_Tareas3[[#This Row],[Actividad]],plan!$C$4:$C$52,0)),""))</f>
        <v/>
      </c>
      <c r="E250" s="48" t="str">
        <f>IFERROR(INDEX(plan!$E$4:$E$52,MATCH(Tabla_Registro_Tareas3[[#This Row],[Actividad]],plan!$C$4:$C$52,0)),"")</f>
        <v/>
      </c>
      <c r="F250" s="49" t="str">
        <f>IF(Tabla_Registro_Tareas3[[#This Row],[Actividad]]=Indice_Aux_Vacio,"",Indice_PROBLAM_Estudiante3)</f>
        <v/>
      </c>
      <c r="G250" s="7"/>
      <c r="H250" s="8"/>
      <c r="I250" s="9"/>
      <c r="K250" s="12" t="str" cm="1">
        <f t="array" ref="K250">IF($B250&lt;&gt;"",TRANSPOSE(_xlfn._xlws.FILTER(plan!$C$4:$C$52, ($B250 &gt;= (plan!$J$4:$J$52-Indice_Plan_ExtensionPlazo))*($B250 &lt;= (plan!$K$4:$K$52+Indice_Plan_ExtensionPlazo)), "")), "")</f>
        <v/>
      </c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4"/>
    </row>
  </sheetData>
  <sheetProtection algorithmName="SHA-512" hashValue="BplWvgVfYoqMpuO4TfKw8vuDllbfVOv1JY8jmpt7yKjCe4HvMB1stnajhfo5x/3jZwUqBjkbGOEqXOEFHGm2Rw==" saltValue="zu3g5Z0Er1YxpNfCxyK9EA==" spinCount="100000" sheet="1" selectLockedCells="1"/>
  <conditionalFormatting sqref="B3:C250">
    <cfRule type="containsBlanks" dxfId="13" priority="1">
      <formula>LEN(TRIM(B3))=0</formula>
    </cfRule>
  </conditionalFormatting>
  <conditionalFormatting sqref="F3 I3:I6 F4:G6 F7:I250">
    <cfRule type="containsBlanks" dxfId="12" priority="5">
      <formula>LEN(TRIM(F3))=0</formula>
    </cfRule>
  </conditionalFormatting>
  <conditionalFormatting sqref="G3:H3">
    <cfRule type="containsBlanks" dxfId="11" priority="2">
      <formula>LEN(TRIM(G3))=0</formula>
    </cfRule>
  </conditionalFormatting>
  <conditionalFormatting sqref="H4:H6">
    <cfRule type="containsBlanks" dxfId="10" priority="3">
      <formula>LEN(TRIM(H4))=0</formula>
    </cfRule>
  </conditionalFormatting>
  <dataValidations count="6">
    <dataValidation type="custom" operator="greaterThan" allowBlank="1" showInputMessage="1" showErrorMessage="1" error="La tarea no puede tener una duración inferior a 1 minuto." sqref="H4" xr:uid="{CD180158-36CA-4FB7-9AB6-A4B9D6C04DAC}">
      <formula1>OR($C4="",AND(ISNUMBER($H4),$H4&lt;&gt;""))</formula1>
    </dataValidation>
    <dataValidation type="list" allowBlank="1" showInputMessage="1" showErrorMessage="1" sqref="C3:C250" xr:uid="{EB4E44CD-1850-4024-8D31-9CE36D918832}">
      <formula1>IF($B3&lt;&gt;"",_xlfn.ANCHORARRAY($K3),Indice_Aux_Vacio)</formula1>
    </dataValidation>
    <dataValidation allowBlank="1" showInputMessage="1" showErrorMessage="1" error="El valor indicado no se corresponde con ninguno de los tipos soportados en esta columna." sqref="D3:D250" xr:uid="{3CBF0D8F-68F8-49C0-8C50-BF172557CC28}"/>
    <dataValidation type="date" allowBlank="1" showInputMessage="1" showErrorMessage="1" error="La fecha está fuera del periodo temporal planificado en este sprint." sqref="B3:B250" xr:uid="{82CF8EFF-5F79-4F14-8154-8EA6E2C15BF0}">
      <formula1>Indice_Plan_FechaInicio</formula1>
      <formula2>Indice_Plan_FechaFin</formula2>
    </dataValidation>
    <dataValidation type="whole" operator="greaterThan" allowBlank="1" showInputMessage="1" showErrorMessage="1" error="La tarea no puede tener una duración inferior a 1 minuto." sqref="H5:H250" xr:uid="{9CD7745F-8AAE-4466-915F-638F110405CE}">
      <formula1>0</formula1>
    </dataValidation>
    <dataValidation type="custom" operator="greaterThan" showInputMessage="1" showErrorMessage="1" error="No puedes asignar tiempo a una actividad no definida o el tiempo asignado es inferior a 1 minuto." sqref="H3" xr:uid="{70541FA2-780D-4DD9-BD16-CB392C2A600A}">
      <formula1>IF($C3="",ISBLANK(H3),ISNUMBER(H3))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E4893-AB93-4DFE-BBDE-4AC2CA28B205}">
  <dimension ref="B1:BH250"/>
  <sheetViews>
    <sheetView workbookViewId="0">
      <selection activeCell="B4" sqref="B4"/>
    </sheetView>
  </sheetViews>
  <sheetFormatPr baseColWidth="10" defaultColWidth="11.44140625" defaultRowHeight="15.05" x14ac:dyDescent="0.3"/>
  <cols>
    <col min="1" max="1" width="2.5546875" style="2" customWidth="1"/>
    <col min="2" max="2" width="11.44140625" style="2"/>
    <col min="3" max="3" width="33.88671875" style="2" customWidth="1"/>
    <col min="4" max="4" width="15.109375" style="2" hidden="1" customWidth="1"/>
    <col min="5" max="5" width="16.6640625" style="2" hidden="1" customWidth="1"/>
    <col min="6" max="6" width="24.6640625" style="2" customWidth="1"/>
    <col min="7" max="7" width="38.5546875" style="2" customWidth="1"/>
    <col min="8" max="8" width="16.5546875" style="2" customWidth="1"/>
    <col min="9" max="9" width="60.109375" style="2" customWidth="1"/>
    <col min="10" max="10" width="2.5546875" style="2" customWidth="1"/>
    <col min="11" max="11" width="19.5546875" style="2" hidden="1" customWidth="1"/>
    <col min="12" max="60" width="11.44140625" style="2" hidden="1" customWidth="1"/>
    <col min="61" max="16384" width="11.44140625" style="2"/>
  </cols>
  <sheetData>
    <row r="1" spans="2:60" x14ac:dyDescent="0.3"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</row>
    <row r="2" spans="2:60" x14ac:dyDescent="0.3">
      <c r="B2" s="5" t="s">
        <v>0</v>
      </c>
      <c r="C2" s="5" t="s">
        <v>11</v>
      </c>
      <c r="D2" s="5" t="s">
        <v>49</v>
      </c>
      <c r="E2" s="5" t="s">
        <v>50</v>
      </c>
      <c r="F2" s="5" t="s">
        <v>45</v>
      </c>
      <c r="G2" s="5" t="s">
        <v>14</v>
      </c>
      <c r="H2" s="5" t="s">
        <v>1</v>
      </c>
      <c r="I2" s="5" t="s">
        <v>52</v>
      </c>
      <c r="K2" s="12"/>
      <c r="BH2" s="4"/>
    </row>
    <row r="3" spans="2:60" hidden="1" x14ac:dyDescent="0.3">
      <c r="B3" s="6">
        <v>46062</v>
      </c>
      <c r="C3" s="10" t="s">
        <v>116</v>
      </c>
      <c r="D3" s="48" t="str">
        <f>IF(Tabla_Registro_Tareas4[[#This Row],[Actividad]]=Indice_Aux_Vacio,"",IFERROR(INDEX(plan!$D$4:$D$52,MATCH(Tabla_Registro_Tareas4[[#This Row],[Actividad]],plan!$C$4:$C$52,0)),""))</f>
        <v>Equipo</v>
      </c>
      <c r="E3" s="48" t="str">
        <f>IFERROR(INDEX(plan!$E$4:$E$52,MATCH(Tabla_Registro_Tareas4[[#This Row],[Actividad]],plan!$C$4:$C$52,0)),"")</f>
        <v>Ficticia #4</v>
      </c>
      <c r="F3" s="49" t="str">
        <f>IF(Tabla_Registro_Tareas4[[#This Row],[Actividad]]=Indice_Aux_Vacio,"",Indice_PROBLAM_Estudiante4)</f>
        <v>Nombre#4 Apellido#41 Apellido#42</v>
      </c>
      <c r="G3" s="7" t="s">
        <v>96</v>
      </c>
      <c r="H3" s="8">
        <v>0</v>
      </c>
      <c r="I3" s="9"/>
      <c r="K3" s="12" t="str" cm="1">
        <f t="array" ref="K3">IF($B3&lt;&gt;"",TRANSPOSE(_xlfn._xlws.FILTER(plan!$C$4:$C$52, ($B3 &gt;= (plan!$J$4:$J$52-Indice_Plan_ExtensionPlazo))*($B3 &lt;= (plan!$K$4:$K$52+Indice_Plan_ExtensionPlazo)), "")), "")</f>
        <v/>
      </c>
      <c r="BH3" s="4"/>
    </row>
    <row r="4" spans="2:60" x14ac:dyDescent="0.3">
      <c r="B4" s="6"/>
      <c r="C4" s="10"/>
      <c r="D4" s="48" t="str">
        <f>IF(Tabla_Registro_Tareas4[[#This Row],[Actividad]]=Indice_Aux_Vacio,"",IFERROR(INDEX(plan!$D$4:$D$52,MATCH(Tabla_Registro_Tareas4[[#This Row],[Actividad]],plan!$C$4:$C$52,0)),""))</f>
        <v/>
      </c>
      <c r="E4" s="48" t="str">
        <f>IFERROR(INDEX(plan!$E$4:$E$52,MATCH(Tabla_Registro_Tareas4[[#This Row],[Actividad]],plan!$C$4:$C$52,0)),"")</f>
        <v/>
      </c>
      <c r="F4" s="49" t="str">
        <f>IF(Tabla_Registro_Tareas4[[#This Row],[Actividad]]=Indice_Aux_Vacio,"",Indice_PROBLAM_Estudiante4)</f>
        <v/>
      </c>
      <c r="G4" s="7"/>
      <c r="H4" s="8"/>
      <c r="I4" s="9"/>
      <c r="K4" s="12" t="str" cm="1">
        <f t="array" ref="K4">IF($B4&lt;&gt;"",TRANSPOSE(_xlfn._xlws.FILTER(plan!$C$4:$C$52, ($B4 &gt;= (plan!$J$4:$J$52-Indice_Plan_ExtensionPlazo))*($B4 &lt;= (plan!$K$4:$K$52+Indice_Plan_ExtensionPlazo)), "")), "")</f>
        <v/>
      </c>
      <c r="BH4" s="4"/>
    </row>
    <row r="5" spans="2:60" x14ac:dyDescent="0.3">
      <c r="B5" s="6"/>
      <c r="C5" s="10"/>
      <c r="D5" s="48" t="str">
        <f>IF(Tabla_Registro_Tareas4[[#This Row],[Actividad]]=Indice_Aux_Vacio,"",IFERROR(INDEX(plan!$D$4:$D$52,MATCH(Tabla_Registro_Tareas4[[#This Row],[Actividad]],plan!$C$4:$C$52,0)),""))</f>
        <v/>
      </c>
      <c r="E5" s="48" t="str">
        <f>IFERROR(INDEX(plan!$E$4:$E$52,MATCH(Tabla_Registro_Tareas4[[#This Row],[Actividad]],plan!$C$4:$C$52,0)),"")</f>
        <v/>
      </c>
      <c r="F5" s="49" t="str">
        <f>IF(Tabla_Registro_Tareas4[[#This Row],[Actividad]]=Indice_Aux_Vacio,"",Indice_PROBLAM_Estudiante4)</f>
        <v/>
      </c>
      <c r="G5" s="7"/>
      <c r="H5" s="8"/>
      <c r="I5" s="9"/>
      <c r="K5" s="12" t="str" cm="1">
        <f t="array" ref="K5">IF($B5&lt;&gt;"",TRANSPOSE(_xlfn._xlws.FILTER(plan!$C$4:$C$52, ($B5 &gt;= (plan!$J$4:$J$52-Indice_Plan_ExtensionPlazo))*($B5 &lt;= (plan!$K$4:$K$52+Indice_Plan_ExtensionPlazo)), "")), "")</f>
        <v/>
      </c>
      <c r="BH5" s="4"/>
    </row>
    <row r="6" spans="2:60" x14ac:dyDescent="0.3">
      <c r="B6" s="6"/>
      <c r="C6" s="10"/>
      <c r="D6" s="48" t="str">
        <f>IF(Tabla_Registro_Tareas4[[#This Row],[Actividad]]=Indice_Aux_Vacio,"",IFERROR(INDEX(plan!$D$4:$D$52,MATCH(Tabla_Registro_Tareas4[[#This Row],[Actividad]],plan!$C$4:$C$52,0)),""))</f>
        <v/>
      </c>
      <c r="E6" s="48" t="str">
        <f>IFERROR(INDEX(plan!$E$4:$E$52,MATCH(Tabla_Registro_Tareas4[[#This Row],[Actividad]],plan!$C$4:$C$52,0)),"")</f>
        <v/>
      </c>
      <c r="F6" s="49" t="str">
        <f>IF(Tabla_Registro_Tareas4[[#This Row],[Actividad]]=Indice_Aux_Vacio,"",Indice_PROBLAM_Estudiante4)</f>
        <v/>
      </c>
      <c r="G6" s="7"/>
      <c r="H6" s="8"/>
      <c r="I6" s="9"/>
      <c r="K6" s="12" t="str" cm="1">
        <f t="array" ref="K6">IF($B6&lt;&gt;"",TRANSPOSE(_xlfn._xlws.FILTER(plan!$C$4:$C$52, ($B6 &gt;= (plan!$J$4:$J$52-Indice_Plan_ExtensionPlazo))*($B6 &lt;= (plan!$K$4:$K$52+Indice_Plan_ExtensionPlazo)), "")), "")</f>
        <v/>
      </c>
      <c r="BH6" s="4"/>
    </row>
    <row r="7" spans="2:60" x14ac:dyDescent="0.3">
      <c r="B7" s="6"/>
      <c r="C7" s="10"/>
      <c r="D7" s="48" t="str">
        <f>IF(Tabla_Registro_Tareas4[[#This Row],[Actividad]]=Indice_Aux_Vacio,"",IFERROR(INDEX(plan!$D$4:$D$52,MATCH(Tabla_Registro_Tareas4[[#This Row],[Actividad]],plan!$C$4:$C$52,0)),""))</f>
        <v/>
      </c>
      <c r="E7" s="48" t="str">
        <f>IFERROR(INDEX(plan!$E$4:$E$52,MATCH(Tabla_Registro_Tareas4[[#This Row],[Actividad]],plan!$C$4:$C$52,0)),"")</f>
        <v/>
      </c>
      <c r="F7" s="49" t="str">
        <f>IF(Tabla_Registro_Tareas4[[#This Row],[Actividad]]=Indice_Aux_Vacio,"",Indice_PROBLAM_Estudiante4)</f>
        <v/>
      </c>
      <c r="G7" s="7"/>
      <c r="H7" s="8"/>
      <c r="I7" s="9"/>
      <c r="K7" s="12" t="str" cm="1">
        <f t="array" ref="K7">IF($B7&lt;&gt;"",TRANSPOSE(_xlfn._xlws.FILTER(plan!$C$4:$C$52, ($B7 &gt;= (plan!$J$4:$J$52-Indice_Plan_ExtensionPlazo))*($B7 &lt;= (plan!$K$4:$K$52+Indice_Plan_ExtensionPlazo)), "")), "")</f>
        <v/>
      </c>
      <c r="BH7" s="4"/>
    </row>
    <row r="8" spans="2:60" x14ac:dyDescent="0.3">
      <c r="B8" s="6"/>
      <c r="C8" s="10"/>
      <c r="D8" s="48" t="str">
        <f>IF(Tabla_Registro_Tareas4[[#This Row],[Actividad]]=Indice_Aux_Vacio,"",IFERROR(INDEX(plan!$D$4:$D$52,MATCH(Tabla_Registro_Tareas4[[#This Row],[Actividad]],plan!$C$4:$C$52,0)),""))</f>
        <v/>
      </c>
      <c r="E8" s="48" t="str">
        <f>IFERROR(INDEX(plan!$E$4:$E$52,MATCH(Tabla_Registro_Tareas4[[#This Row],[Actividad]],plan!$C$4:$C$52,0)),"")</f>
        <v/>
      </c>
      <c r="F8" s="49" t="str">
        <f>IF(Tabla_Registro_Tareas4[[#This Row],[Actividad]]=Indice_Aux_Vacio,"",Indice_PROBLAM_Estudiante4)</f>
        <v/>
      </c>
      <c r="G8" s="7"/>
      <c r="H8" s="8"/>
      <c r="I8" s="9"/>
      <c r="K8" s="12" t="str" cm="1">
        <f t="array" ref="K8">IF($B8&lt;&gt;"",TRANSPOSE(_xlfn._xlws.FILTER(plan!$C$4:$C$52, ($B8 &gt;= (plan!$J$4:$J$52-Indice_Plan_ExtensionPlazo))*($B8 &lt;= (plan!$K$4:$K$52+Indice_Plan_ExtensionPlazo)), "")), "")</f>
        <v/>
      </c>
      <c r="BH8" s="4"/>
    </row>
    <row r="9" spans="2:60" x14ac:dyDescent="0.3">
      <c r="B9" s="6"/>
      <c r="C9" s="10"/>
      <c r="D9" s="48" t="str">
        <f>IF(Tabla_Registro_Tareas4[[#This Row],[Actividad]]=Indice_Aux_Vacio,"",IFERROR(INDEX(plan!$D$4:$D$52,MATCH(Tabla_Registro_Tareas4[[#This Row],[Actividad]],plan!$C$4:$C$52,0)),""))</f>
        <v/>
      </c>
      <c r="E9" s="48" t="str">
        <f>IFERROR(INDEX(plan!$E$4:$E$52,MATCH(Tabla_Registro_Tareas4[[#This Row],[Actividad]],plan!$C$4:$C$52,0)),"")</f>
        <v/>
      </c>
      <c r="F9" s="49" t="str">
        <f>IF(Tabla_Registro_Tareas4[[#This Row],[Actividad]]=Indice_Aux_Vacio,"",Indice_PROBLAM_Estudiante4)</f>
        <v/>
      </c>
      <c r="G9" s="7"/>
      <c r="H9" s="8"/>
      <c r="I9" s="9"/>
      <c r="K9" s="12" t="str" cm="1">
        <f t="array" ref="K9">IF($B9&lt;&gt;"",TRANSPOSE(_xlfn._xlws.FILTER(plan!$C$4:$C$52, ($B9 &gt;= (plan!$J$4:$J$52-Indice_Plan_ExtensionPlazo))*($B9 &lt;= (plan!$K$4:$K$52+Indice_Plan_ExtensionPlazo)), "")), "")</f>
        <v/>
      </c>
      <c r="BH9" s="4"/>
    </row>
    <row r="10" spans="2:60" x14ac:dyDescent="0.3">
      <c r="B10" s="6"/>
      <c r="C10" s="10"/>
      <c r="D10" s="48" t="str">
        <f>IF(Tabla_Registro_Tareas4[[#This Row],[Actividad]]=Indice_Aux_Vacio,"",IFERROR(INDEX(plan!$D$4:$D$52,MATCH(Tabla_Registro_Tareas4[[#This Row],[Actividad]],plan!$C$4:$C$52,0)),""))</f>
        <v/>
      </c>
      <c r="E10" s="48" t="str">
        <f>IFERROR(INDEX(plan!$E$4:$E$52,MATCH(Tabla_Registro_Tareas4[[#This Row],[Actividad]],plan!$C$4:$C$52,0)),"")</f>
        <v/>
      </c>
      <c r="F10" s="49" t="str">
        <f>IF(Tabla_Registro_Tareas4[[#This Row],[Actividad]]=Indice_Aux_Vacio,"",Indice_PROBLAM_Estudiante4)</f>
        <v/>
      </c>
      <c r="G10" s="7"/>
      <c r="H10" s="8"/>
      <c r="I10" s="9"/>
      <c r="K10" s="12" t="str" cm="1">
        <f t="array" ref="K10">IF($B10&lt;&gt;"",TRANSPOSE(_xlfn._xlws.FILTER(plan!$C$4:$C$52, ($B10 &gt;= (plan!$J$4:$J$52-Indice_Plan_ExtensionPlazo))*($B10 &lt;= (plan!$K$4:$K$52+Indice_Plan_ExtensionPlazo)), "")), "")</f>
        <v/>
      </c>
      <c r="BH10" s="4"/>
    </row>
    <row r="11" spans="2:60" x14ac:dyDescent="0.3">
      <c r="B11" s="6"/>
      <c r="C11" s="10"/>
      <c r="D11" s="48" t="str">
        <f>IF(Tabla_Registro_Tareas4[[#This Row],[Actividad]]=Indice_Aux_Vacio,"",IFERROR(INDEX(plan!$D$4:$D$52,MATCH(Tabla_Registro_Tareas4[[#This Row],[Actividad]],plan!$C$4:$C$52,0)),""))</f>
        <v/>
      </c>
      <c r="E11" s="48" t="str">
        <f>IFERROR(INDEX(plan!$E$4:$E$52,MATCH(Tabla_Registro_Tareas4[[#This Row],[Actividad]],plan!$C$4:$C$52,0)),"")</f>
        <v/>
      </c>
      <c r="F11" s="49" t="str">
        <f>IF(Tabla_Registro_Tareas4[[#This Row],[Actividad]]=Indice_Aux_Vacio,"",Indice_PROBLAM_Estudiante4)</f>
        <v/>
      </c>
      <c r="G11" s="7"/>
      <c r="H11" s="8"/>
      <c r="I11" s="9"/>
      <c r="K11" s="12" t="str" cm="1">
        <f t="array" ref="K11">IF($B11&lt;&gt;"",TRANSPOSE(_xlfn._xlws.FILTER(plan!$C$4:$C$52, ($B11 &gt;= (plan!$J$4:$J$52-Indice_Plan_ExtensionPlazo))*($B11 &lt;= (plan!$K$4:$K$52+Indice_Plan_ExtensionPlazo)), "")), "")</f>
        <v/>
      </c>
      <c r="BH11" s="4"/>
    </row>
    <row r="12" spans="2:60" x14ac:dyDescent="0.3">
      <c r="B12" s="6"/>
      <c r="C12" s="10"/>
      <c r="D12" s="48" t="str">
        <f>IF(Tabla_Registro_Tareas4[[#This Row],[Actividad]]=Indice_Aux_Vacio,"",IFERROR(INDEX(plan!$D$4:$D$52,MATCH(Tabla_Registro_Tareas4[[#This Row],[Actividad]],plan!$C$4:$C$52,0)),""))</f>
        <v/>
      </c>
      <c r="E12" s="48" t="str">
        <f>IFERROR(INDEX(plan!$E$4:$E$52,MATCH(Tabla_Registro_Tareas4[[#This Row],[Actividad]],plan!$C$4:$C$52,0)),"")</f>
        <v/>
      </c>
      <c r="F12" s="49" t="str">
        <f>IF(Tabla_Registro_Tareas4[[#This Row],[Actividad]]=Indice_Aux_Vacio,"",Indice_PROBLAM_Estudiante4)</f>
        <v/>
      </c>
      <c r="G12" s="7"/>
      <c r="H12" s="8"/>
      <c r="I12" s="9"/>
      <c r="K12" s="12" t="str" cm="1">
        <f t="array" ref="K12">IF($B12&lt;&gt;"",TRANSPOSE(_xlfn._xlws.FILTER(plan!$C$4:$C$52, ($B12 &gt;= (plan!$J$4:$J$52-Indice_Plan_ExtensionPlazo))*($B12 &lt;= (plan!$K$4:$K$52+Indice_Plan_ExtensionPlazo)), "")), "")</f>
        <v/>
      </c>
      <c r="BH12" s="4"/>
    </row>
    <row r="13" spans="2:60" x14ac:dyDescent="0.3">
      <c r="B13" s="6"/>
      <c r="C13" s="10"/>
      <c r="D13" s="48" t="str">
        <f>IF(Tabla_Registro_Tareas4[[#This Row],[Actividad]]=Indice_Aux_Vacio,"",IFERROR(INDEX(plan!$D$4:$D$52,MATCH(Tabla_Registro_Tareas4[[#This Row],[Actividad]],plan!$C$4:$C$52,0)),""))</f>
        <v/>
      </c>
      <c r="E13" s="48" t="str">
        <f>IFERROR(INDEX(plan!$E$4:$E$52,MATCH(Tabla_Registro_Tareas4[[#This Row],[Actividad]],plan!$C$4:$C$52,0)),"")</f>
        <v/>
      </c>
      <c r="F13" s="49" t="str">
        <f>IF(Tabla_Registro_Tareas4[[#This Row],[Actividad]]=Indice_Aux_Vacio,"",Indice_PROBLAM_Estudiante4)</f>
        <v/>
      </c>
      <c r="G13" s="7"/>
      <c r="H13" s="8"/>
      <c r="I13" s="9"/>
      <c r="K13" s="12" t="str" cm="1">
        <f t="array" ref="K13">IF($B13&lt;&gt;"",TRANSPOSE(_xlfn._xlws.FILTER(plan!$C$4:$C$52, ($B13 &gt;= (plan!$J$4:$J$52-Indice_Plan_ExtensionPlazo))*($B13 &lt;= (plan!$K$4:$K$52+Indice_Plan_ExtensionPlazo)), "")), "")</f>
        <v/>
      </c>
      <c r="BH13" s="4"/>
    </row>
    <row r="14" spans="2:60" x14ac:dyDescent="0.3">
      <c r="B14" s="6"/>
      <c r="C14" s="10"/>
      <c r="D14" s="48" t="str">
        <f>IF(Tabla_Registro_Tareas4[[#This Row],[Actividad]]=Indice_Aux_Vacio,"",IFERROR(INDEX(plan!$D$4:$D$52,MATCH(Tabla_Registro_Tareas4[[#This Row],[Actividad]],plan!$C$4:$C$52,0)),""))</f>
        <v/>
      </c>
      <c r="E14" s="48" t="str">
        <f>IFERROR(INDEX(plan!$E$4:$E$52,MATCH(Tabla_Registro_Tareas4[[#This Row],[Actividad]],plan!$C$4:$C$52,0)),"")</f>
        <v/>
      </c>
      <c r="F14" s="49" t="str">
        <f>IF(Tabla_Registro_Tareas4[[#This Row],[Actividad]]=Indice_Aux_Vacio,"",Indice_PROBLAM_Estudiante4)</f>
        <v/>
      </c>
      <c r="G14" s="7"/>
      <c r="H14" s="8"/>
      <c r="I14" s="9"/>
      <c r="K14" s="12" t="str" cm="1">
        <f t="array" ref="K14">IF($B14&lt;&gt;"",TRANSPOSE(_xlfn._xlws.FILTER(plan!$C$4:$C$52, ($B14 &gt;= (plan!$J$4:$J$52-Indice_Plan_ExtensionPlazo))*($B14 &lt;= (plan!$K$4:$K$52+Indice_Plan_ExtensionPlazo)), "")), "")</f>
        <v/>
      </c>
      <c r="BH14" s="4"/>
    </row>
    <row r="15" spans="2:60" x14ac:dyDescent="0.3">
      <c r="B15" s="6"/>
      <c r="C15" s="10"/>
      <c r="D15" s="48" t="str">
        <f>IF(Tabla_Registro_Tareas4[[#This Row],[Actividad]]=Indice_Aux_Vacio,"",IFERROR(INDEX(plan!$D$4:$D$52,MATCH(Tabla_Registro_Tareas4[[#This Row],[Actividad]],plan!$C$4:$C$52,0)),""))</f>
        <v/>
      </c>
      <c r="E15" s="48" t="str">
        <f>IFERROR(INDEX(plan!$E$4:$E$52,MATCH(Tabla_Registro_Tareas4[[#This Row],[Actividad]],plan!$C$4:$C$52,0)),"")</f>
        <v/>
      </c>
      <c r="F15" s="49" t="str">
        <f>IF(Tabla_Registro_Tareas4[[#This Row],[Actividad]]=Indice_Aux_Vacio,"",Indice_PROBLAM_Estudiante4)</f>
        <v/>
      </c>
      <c r="G15" s="7"/>
      <c r="H15" s="8"/>
      <c r="I15" s="9"/>
      <c r="K15" s="12" t="str" cm="1">
        <f t="array" ref="K15">IF($B15&lt;&gt;"",TRANSPOSE(_xlfn._xlws.FILTER(plan!$C$4:$C$52, ($B15 &gt;= (plan!$J$4:$J$52-Indice_Plan_ExtensionPlazo))*($B15 &lt;= (plan!$K$4:$K$52+Indice_Plan_ExtensionPlazo)), "")), "")</f>
        <v/>
      </c>
      <c r="BH15" s="4"/>
    </row>
    <row r="16" spans="2:60" x14ac:dyDescent="0.3">
      <c r="B16" s="6"/>
      <c r="C16" s="10"/>
      <c r="D16" s="48" t="str">
        <f>IF(Tabla_Registro_Tareas4[[#This Row],[Actividad]]=Indice_Aux_Vacio,"",IFERROR(INDEX(plan!$D$4:$D$52,MATCH(Tabla_Registro_Tareas4[[#This Row],[Actividad]],plan!$C$4:$C$52,0)),""))</f>
        <v/>
      </c>
      <c r="E16" s="48" t="str">
        <f>IFERROR(INDEX(plan!$E$4:$E$52,MATCH(Tabla_Registro_Tareas4[[#This Row],[Actividad]],plan!$C$4:$C$52,0)),"")</f>
        <v/>
      </c>
      <c r="F16" s="49" t="str">
        <f>IF(Tabla_Registro_Tareas4[[#This Row],[Actividad]]=Indice_Aux_Vacio,"",Indice_PROBLAM_Estudiante4)</f>
        <v/>
      </c>
      <c r="G16" s="7"/>
      <c r="H16" s="8"/>
      <c r="I16" s="9"/>
      <c r="K16" s="12" t="str" cm="1">
        <f t="array" ref="K16">IF($B16&lt;&gt;"",TRANSPOSE(_xlfn._xlws.FILTER(plan!$C$4:$C$52, ($B16 &gt;= (plan!$J$4:$J$52-Indice_Plan_ExtensionPlazo))*($B16 &lt;= (plan!$K$4:$K$52+Indice_Plan_ExtensionPlazo)), "")), "")</f>
        <v/>
      </c>
      <c r="BH16" s="4"/>
    </row>
    <row r="17" spans="2:60" x14ac:dyDescent="0.3">
      <c r="B17" s="6"/>
      <c r="C17" s="10"/>
      <c r="D17" s="48" t="str">
        <f>IF(Tabla_Registro_Tareas4[[#This Row],[Actividad]]=Indice_Aux_Vacio,"",IFERROR(INDEX(plan!$D$4:$D$52,MATCH(Tabla_Registro_Tareas4[[#This Row],[Actividad]],plan!$C$4:$C$52,0)),""))</f>
        <v/>
      </c>
      <c r="E17" s="48" t="str">
        <f>IFERROR(INDEX(plan!$E$4:$E$52,MATCH(Tabla_Registro_Tareas4[[#This Row],[Actividad]],plan!$C$4:$C$52,0)),"")</f>
        <v/>
      </c>
      <c r="F17" s="49" t="str">
        <f>IF(Tabla_Registro_Tareas4[[#This Row],[Actividad]]=Indice_Aux_Vacio,"",Indice_PROBLAM_Estudiante4)</f>
        <v/>
      </c>
      <c r="G17" s="7"/>
      <c r="H17" s="8"/>
      <c r="I17" s="9"/>
      <c r="K17" s="12" t="str" cm="1">
        <f t="array" ref="K17">IF($B17&lt;&gt;"",TRANSPOSE(_xlfn._xlws.FILTER(plan!$C$4:$C$52, ($B17 &gt;= (plan!$J$4:$J$52-Indice_Plan_ExtensionPlazo))*($B17 &lt;= (plan!$K$4:$K$52+Indice_Plan_ExtensionPlazo)), "")), "")</f>
        <v/>
      </c>
      <c r="BH17" s="4"/>
    </row>
    <row r="18" spans="2:60" x14ac:dyDescent="0.3">
      <c r="B18" s="6"/>
      <c r="C18" s="10"/>
      <c r="D18" s="48" t="str">
        <f>IF(Tabla_Registro_Tareas4[[#This Row],[Actividad]]=Indice_Aux_Vacio,"",IFERROR(INDEX(plan!$D$4:$D$52,MATCH(Tabla_Registro_Tareas4[[#This Row],[Actividad]],plan!$C$4:$C$52,0)),""))</f>
        <v/>
      </c>
      <c r="E18" s="48" t="str">
        <f>IFERROR(INDEX(plan!$E$4:$E$52,MATCH(Tabla_Registro_Tareas4[[#This Row],[Actividad]],plan!$C$4:$C$52,0)),"")</f>
        <v/>
      </c>
      <c r="F18" s="49" t="str">
        <f>IF(Tabla_Registro_Tareas4[[#This Row],[Actividad]]=Indice_Aux_Vacio,"",Indice_PROBLAM_Estudiante4)</f>
        <v/>
      </c>
      <c r="G18" s="7"/>
      <c r="H18" s="8"/>
      <c r="I18" s="9"/>
      <c r="K18" s="12" t="str" cm="1">
        <f t="array" ref="K18">IF($B18&lt;&gt;"",TRANSPOSE(_xlfn._xlws.FILTER(plan!$C$4:$C$52, ($B18 &gt;= (plan!$J$4:$J$52-Indice_Plan_ExtensionPlazo))*($B18 &lt;= (plan!$K$4:$K$52+Indice_Plan_ExtensionPlazo)), "")), "")</f>
        <v/>
      </c>
      <c r="BH18" s="4"/>
    </row>
    <row r="19" spans="2:60" x14ac:dyDescent="0.3">
      <c r="B19" s="6"/>
      <c r="C19" s="10"/>
      <c r="D19" s="48" t="str">
        <f>IF(Tabla_Registro_Tareas4[[#This Row],[Actividad]]=Indice_Aux_Vacio,"",IFERROR(INDEX(plan!$D$4:$D$52,MATCH(Tabla_Registro_Tareas4[[#This Row],[Actividad]],plan!$C$4:$C$52,0)),""))</f>
        <v/>
      </c>
      <c r="E19" s="48" t="str">
        <f>IFERROR(INDEX(plan!$E$4:$E$52,MATCH(Tabla_Registro_Tareas4[[#This Row],[Actividad]],plan!$C$4:$C$52,0)),"")</f>
        <v/>
      </c>
      <c r="F19" s="49" t="str">
        <f>IF(Tabla_Registro_Tareas4[[#This Row],[Actividad]]=Indice_Aux_Vacio,"",Indice_PROBLAM_Estudiante4)</f>
        <v/>
      </c>
      <c r="G19" s="7"/>
      <c r="H19" s="8"/>
      <c r="I19" s="9"/>
      <c r="K19" s="12" t="str" cm="1">
        <f t="array" ref="K19">IF($B19&lt;&gt;"",TRANSPOSE(_xlfn._xlws.FILTER(plan!$C$4:$C$52, ($B19 &gt;= (plan!$J$4:$J$52-Indice_Plan_ExtensionPlazo))*($B19 &lt;= (plan!$K$4:$K$52+Indice_Plan_ExtensionPlazo)), "")), "")</f>
        <v/>
      </c>
      <c r="BH19" s="4"/>
    </row>
    <row r="20" spans="2:60" x14ac:dyDescent="0.3">
      <c r="B20" s="6"/>
      <c r="C20" s="10"/>
      <c r="D20" s="48" t="str">
        <f>IF(Tabla_Registro_Tareas4[[#This Row],[Actividad]]=Indice_Aux_Vacio,"",IFERROR(INDEX(plan!$D$4:$D$52,MATCH(Tabla_Registro_Tareas4[[#This Row],[Actividad]],plan!$C$4:$C$52,0)),""))</f>
        <v/>
      </c>
      <c r="E20" s="48" t="str">
        <f>IFERROR(INDEX(plan!$E$4:$E$52,MATCH(Tabla_Registro_Tareas4[[#This Row],[Actividad]],plan!$C$4:$C$52,0)),"")</f>
        <v/>
      </c>
      <c r="F20" s="49" t="str">
        <f>IF(Tabla_Registro_Tareas4[[#This Row],[Actividad]]=Indice_Aux_Vacio,"",Indice_PROBLAM_Estudiante4)</f>
        <v/>
      </c>
      <c r="G20" s="7"/>
      <c r="H20" s="8"/>
      <c r="I20" s="9"/>
      <c r="K20" s="12" t="str" cm="1">
        <f t="array" ref="K20">IF($B20&lt;&gt;"",TRANSPOSE(_xlfn._xlws.FILTER(plan!$C$4:$C$52, ($B20 &gt;= (plan!$J$4:$J$52-Indice_Plan_ExtensionPlazo))*($B20 &lt;= (plan!$K$4:$K$52+Indice_Plan_ExtensionPlazo)), "")), "")</f>
        <v/>
      </c>
      <c r="BH20" s="4"/>
    </row>
    <row r="21" spans="2:60" x14ac:dyDescent="0.3">
      <c r="B21" s="6"/>
      <c r="C21" s="10"/>
      <c r="D21" s="48" t="str">
        <f>IF(Tabla_Registro_Tareas4[[#This Row],[Actividad]]=Indice_Aux_Vacio,"",IFERROR(INDEX(plan!$D$4:$D$52,MATCH(Tabla_Registro_Tareas4[[#This Row],[Actividad]],plan!$C$4:$C$52,0)),""))</f>
        <v/>
      </c>
      <c r="E21" s="48" t="str">
        <f>IFERROR(INDEX(plan!$E$4:$E$52,MATCH(Tabla_Registro_Tareas4[[#This Row],[Actividad]],plan!$C$4:$C$52,0)),"")</f>
        <v/>
      </c>
      <c r="F21" s="49" t="str">
        <f>IF(Tabla_Registro_Tareas4[[#This Row],[Actividad]]=Indice_Aux_Vacio,"",Indice_PROBLAM_Estudiante4)</f>
        <v/>
      </c>
      <c r="G21" s="7"/>
      <c r="H21" s="8"/>
      <c r="I21" s="9"/>
      <c r="K21" s="12" t="str" cm="1">
        <f t="array" ref="K21">IF($B21&lt;&gt;"",TRANSPOSE(_xlfn._xlws.FILTER(plan!$C$4:$C$52, ($B21 &gt;= (plan!$J$4:$J$52-Indice_Plan_ExtensionPlazo))*($B21 &lt;= (plan!$K$4:$K$52+Indice_Plan_ExtensionPlazo)), "")), "")</f>
        <v/>
      </c>
      <c r="BH21" s="4"/>
    </row>
    <row r="22" spans="2:60" x14ac:dyDescent="0.3">
      <c r="B22" s="6"/>
      <c r="C22" s="10"/>
      <c r="D22" s="48" t="str">
        <f>IF(Tabla_Registro_Tareas4[[#This Row],[Actividad]]=Indice_Aux_Vacio,"",IFERROR(INDEX(plan!$D$4:$D$52,MATCH(Tabla_Registro_Tareas4[[#This Row],[Actividad]],plan!$C$4:$C$52,0)),""))</f>
        <v/>
      </c>
      <c r="E22" s="48" t="str">
        <f>IFERROR(INDEX(plan!$E$4:$E$52,MATCH(Tabla_Registro_Tareas4[[#This Row],[Actividad]],plan!$C$4:$C$52,0)),"")</f>
        <v/>
      </c>
      <c r="F22" s="49" t="str">
        <f>IF(Tabla_Registro_Tareas4[[#This Row],[Actividad]]=Indice_Aux_Vacio,"",Indice_PROBLAM_Estudiante4)</f>
        <v/>
      </c>
      <c r="G22" s="7"/>
      <c r="H22" s="8"/>
      <c r="I22" s="9"/>
      <c r="K22" s="12" t="str" cm="1">
        <f t="array" ref="K22">IF($B22&lt;&gt;"",TRANSPOSE(_xlfn._xlws.FILTER(plan!$C$4:$C$52, ($B22 &gt;= (plan!$J$4:$J$52-Indice_Plan_ExtensionPlazo))*($B22 &lt;= (plan!$K$4:$K$52+Indice_Plan_ExtensionPlazo)), "")), "")</f>
        <v/>
      </c>
      <c r="BH22" s="4"/>
    </row>
    <row r="23" spans="2:60" x14ac:dyDescent="0.3">
      <c r="B23" s="6"/>
      <c r="C23" s="10"/>
      <c r="D23" s="48" t="str">
        <f>IF(Tabla_Registro_Tareas4[[#This Row],[Actividad]]=Indice_Aux_Vacio,"",IFERROR(INDEX(plan!$D$4:$D$52,MATCH(Tabla_Registro_Tareas4[[#This Row],[Actividad]],plan!$C$4:$C$52,0)),""))</f>
        <v/>
      </c>
      <c r="E23" s="48" t="str">
        <f>IFERROR(INDEX(plan!$E$4:$E$52,MATCH(Tabla_Registro_Tareas4[[#This Row],[Actividad]],plan!$C$4:$C$52,0)),"")</f>
        <v/>
      </c>
      <c r="F23" s="49" t="str">
        <f>IF(Tabla_Registro_Tareas4[[#This Row],[Actividad]]=Indice_Aux_Vacio,"",Indice_PROBLAM_Estudiante4)</f>
        <v/>
      </c>
      <c r="G23" s="7"/>
      <c r="H23" s="8"/>
      <c r="I23" s="9"/>
      <c r="K23" s="12" t="str" cm="1">
        <f t="array" ref="K23">IF($B23&lt;&gt;"",TRANSPOSE(_xlfn._xlws.FILTER(plan!$C$4:$C$52, ($B23 &gt;= (plan!$J$4:$J$52-Indice_Plan_ExtensionPlazo))*($B23 &lt;= (plan!$K$4:$K$52+Indice_Plan_ExtensionPlazo)), "")), "")</f>
        <v/>
      </c>
      <c r="BH23" s="4"/>
    </row>
    <row r="24" spans="2:60" x14ac:dyDescent="0.3">
      <c r="B24" s="6"/>
      <c r="C24" s="10"/>
      <c r="D24" s="48" t="str">
        <f>IF(Tabla_Registro_Tareas4[[#This Row],[Actividad]]=Indice_Aux_Vacio,"",IFERROR(INDEX(plan!$D$4:$D$52,MATCH(Tabla_Registro_Tareas4[[#This Row],[Actividad]],plan!$C$4:$C$52,0)),""))</f>
        <v/>
      </c>
      <c r="E24" s="48" t="str">
        <f>IFERROR(INDEX(plan!$E$4:$E$52,MATCH(Tabla_Registro_Tareas4[[#This Row],[Actividad]],plan!$C$4:$C$52,0)),"")</f>
        <v/>
      </c>
      <c r="F24" s="49" t="str">
        <f>IF(Tabla_Registro_Tareas4[[#This Row],[Actividad]]=Indice_Aux_Vacio,"",Indice_PROBLAM_Estudiante4)</f>
        <v/>
      </c>
      <c r="G24" s="7"/>
      <c r="H24" s="8"/>
      <c r="I24" s="9"/>
      <c r="K24" s="12" t="str" cm="1">
        <f t="array" ref="K24">IF($B24&lt;&gt;"",TRANSPOSE(_xlfn._xlws.FILTER(plan!$C$4:$C$52, ($B24 &gt;= (plan!$J$4:$J$52-Indice_Plan_ExtensionPlazo))*($B24 &lt;= (plan!$K$4:$K$52+Indice_Plan_ExtensionPlazo)), "")), "")</f>
        <v/>
      </c>
      <c r="BH24" s="4"/>
    </row>
    <row r="25" spans="2:60" x14ac:dyDescent="0.3">
      <c r="B25" s="6"/>
      <c r="C25" s="10"/>
      <c r="D25" s="48" t="str">
        <f>IF(Tabla_Registro_Tareas4[[#This Row],[Actividad]]=Indice_Aux_Vacio,"",IFERROR(INDEX(plan!$D$4:$D$52,MATCH(Tabla_Registro_Tareas4[[#This Row],[Actividad]],plan!$C$4:$C$52,0)),""))</f>
        <v/>
      </c>
      <c r="E25" s="48" t="str">
        <f>IFERROR(INDEX(plan!$E$4:$E$52,MATCH(Tabla_Registro_Tareas4[[#This Row],[Actividad]],plan!$C$4:$C$52,0)),"")</f>
        <v/>
      </c>
      <c r="F25" s="49" t="str">
        <f>IF(Tabla_Registro_Tareas4[[#This Row],[Actividad]]=Indice_Aux_Vacio,"",Indice_PROBLAM_Estudiante4)</f>
        <v/>
      </c>
      <c r="G25" s="7"/>
      <c r="H25" s="8"/>
      <c r="I25" s="9"/>
      <c r="K25" s="12" t="str" cm="1">
        <f t="array" ref="K25">IF($B25&lt;&gt;"",TRANSPOSE(_xlfn._xlws.FILTER(plan!$C$4:$C$52, ($B25 &gt;= (plan!$J$4:$J$52-Indice_Plan_ExtensionPlazo))*($B25 &lt;= (plan!$K$4:$K$52+Indice_Plan_ExtensionPlazo)), "")), "")</f>
        <v/>
      </c>
      <c r="BH25" s="4"/>
    </row>
    <row r="26" spans="2:60" x14ac:dyDescent="0.3">
      <c r="B26" s="6"/>
      <c r="C26" s="10"/>
      <c r="D26" s="48" t="str">
        <f>IF(Tabla_Registro_Tareas4[[#This Row],[Actividad]]=Indice_Aux_Vacio,"",IFERROR(INDEX(plan!$D$4:$D$52,MATCH(Tabla_Registro_Tareas4[[#This Row],[Actividad]],plan!$C$4:$C$52,0)),""))</f>
        <v/>
      </c>
      <c r="E26" s="48" t="str">
        <f>IFERROR(INDEX(plan!$E$4:$E$52,MATCH(Tabla_Registro_Tareas4[[#This Row],[Actividad]],plan!$C$4:$C$52,0)),"")</f>
        <v/>
      </c>
      <c r="F26" s="49" t="str">
        <f>IF(Tabla_Registro_Tareas4[[#This Row],[Actividad]]=Indice_Aux_Vacio,"",Indice_PROBLAM_Estudiante4)</f>
        <v/>
      </c>
      <c r="G26" s="7"/>
      <c r="H26" s="8"/>
      <c r="I26" s="9"/>
      <c r="K26" s="12" t="str" cm="1">
        <f t="array" ref="K26">IF($B26&lt;&gt;"",TRANSPOSE(_xlfn._xlws.FILTER(plan!$C$4:$C$52, ($B26 &gt;= (plan!$J$4:$J$52-Indice_Plan_ExtensionPlazo))*($B26 &lt;= (plan!$K$4:$K$52+Indice_Plan_ExtensionPlazo)), "")), "")</f>
        <v/>
      </c>
      <c r="BH26" s="4"/>
    </row>
    <row r="27" spans="2:60" x14ac:dyDescent="0.3">
      <c r="B27" s="6"/>
      <c r="C27" s="10"/>
      <c r="D27" s="48" t="str">
        <f>IF(Tabla_Registro_Tareas4[[#This Row],[Actividad]]=Indice_Aux_Vacio,"",IFERROR(INDEX(plan!$D$4:$D$52,MATCH(Tabla_Registro_Tareas4[[#This Row],[Actividad]],plan!$C$4:$C$52,0)),""))</f>
        <v/>
      </c>
      <c r="E27" s="48" t="str">
        <f>IFERROR(INDEX(plan!$E$4:$E$52,MATCH(Tabla_Registro_Tareas4[[#This Row],[Actividad]],plan!$C$4:$C$52,0)),"")</f>
        <v/>
      </c>
      <c r="F27" s="49" t="str">
        <f>IF(Tabla_Registro_Tareas4[[#This Row],[Actividad]]=Indice_Aux_Vacio,"",Indice_PROBLAM_Estudiante4)</f>
        <v/>
      </c>
      <c r="G27" s="7"/>
      <c r="H27" s="8"/>
      <c r="I27" s="9"/>
      <c r="K27" s="12" t="str" cm="1">
        <f t="array" ref="K27">IF($B27&lt;&gt;"",TRANSPOSE(_xlfn._xlws.FILTER(plan!$C$4:$C$52, ($B27 &gt;= (plan!$J$4:$J$52-Indice_Plan_ExtensionPlazo))*($B27 &lt;= (plan!$K$4:$K$52+Indice_Plan_ExtensionPlazo)), "")), "")</f>
        <v/>
      </c>
      <c r="BH27" s="4"/>
    </row>
    <row r="28" spans="2:60" x14ac:dyDescent="0.3">
      <c r="B28" s="6"/>
      <c r="C28" s="10"/>
      <c r="D28" s="48" t="str">
        <f>IF(Tabla_Registro_Tareas4[[#This Row],[Actividad]]=Indice_Aux_Vacio,"",IFERROR(INDEX(plan!$D$4:$D$52,MATCH(Tabla_Registro_Tareas4[[#This Row],[Actividad]],plan!$C$4:$C$52,0)),""))</f>
        <v/>
      </c>
      <c r="E28" s="48" t="str">
        <f>IFERROR(INDEX(plan!$E$4:$E$52,MATCH(Tabla_Registro_Tareas4[[#This Row],[Actividad]],plan!$C$4:$C$52,0)),"")</f>
        <v/>
      </c>
      <c r="F28" s="49" t="str">
        <f>IF(Tabla_Registro_Tareas4[[#This Row],[Actividad]]=Indice_Aux_Vacio,"",Indice_PROBLAM_Estudiante4)</f>
        <v/>
      </c>
      <c r="G28" s="7"/>
      <c r="H28" s="8"/>
      <c r="I28" s="9"/>
      <c r="K28" s="12" t="str" cm="1">
        <f t="array" ref="K28">IF($B28&lt;&gt;"",TRANSPOSE(_xlfn._xlws.FILTER(plan!$C$4:$C$52, ($B28 &gt;= (plan!$J$4:$J$52-Indice_Plan_ExtensionPlazo))*($B28 &lt;= (plan!$K$4:$K$52+Indice_Plan_ExtensionPlazo)), "")), "")</f>
        <v/>
      </c>
      <c r="BH28" s="4"/>
    </row>
    <row r="29" spans="2:60" x14ac:dyDescent="0.3">
      <c r="B29" s="6"/>
      <c r="C29" s="10"/>
      <c r="D29" s="48" t="str">
        <f>IF(Tabla_Registro_Tareas4[[#This Row],[Actividad]]=Indice_Aux_Vacio,"",IFERROR(INDEX(plan!$D$4:$D$52,MATCH(Tabla_Registro_Tareas4[[#This Row],[Actividad]],plan!$C$4:$C$52,0)),""))</f>
        <v/>
      </c>
      <c r="E29" s="48" t="str">
        <f>IFERROR(INDEX(plan!$E$4:$E$52,MATCH(Tabla_Registro_Tareas4[[#This Row],[Actividad]],plan!$C$4:$C$52,0)),"")</f>
        <v/>
      </c>
      <c r="F29" s="49" t="str">
        <f>IF(Tabla_Registro_Tareas4[[#This Row],[Actividad]]=Indice_Aux_Vacio,"",Indice_PROBLAM_Estudiante4)</f>
        <v/>
      </c>
      <c r="G29" s="7"/>
      <c r="H29" s="8"/>
      <c r="I29" s="9"/>
      <c r="K29" s="12" t="str" cm="1">
        <f t="array" ref="K29">IF($B29&lt;&gt;"",TRANSPOSE(_xlfn._xlws.FILTER(plan!$C$4:$C$52, ($B29 &gt;= (plan!$J$4:$J$52-Indice_Plan_ExtensionPlazo))*($B29 &lt;= (plan!$K$4:$K$52+Indice_Plan_ExtensionPlazo)), "")), "")</f>
        <v/>
      </c>
      <c r="BH29" s="4"/>
    </row>
    <row r="30" spans="2:60" x14ac:dyDescent="0.3">
      <c r="B30" s="6"/>
      <c r="C30" s="10"/>
      <c r="D30" s="48" t="str">
        <f>IF(Tabla_Registro_Tareas4[[#This Row],[Actividad]]=Indice_Aux_Vacio,"",IFERROR(INDEX(plan!$D$4:$D$52,MATCH(Tabla_Registro_Tareas4[[#This Row],[Actividad]],plan!$C$4:$C$52,0)),""))</f>
        <v/>
      </c>
      <c r="E30" s="48" t="str">
        <f>IFERROR(INDEX(plan!$E$4:$E$52,MATCH(Tabla_Registro_Tareas4[[#This Row],[Actividad]],plan!$C$4:$C$52,0)),"")</f>
        <v/>
      </c>
      <c r="F30" s="49" t="str">
        <f>IF(Tabla_Registro_Tareas4[[#This Row],[Actividad]]=Indice_Aux_Vacio,"",Indice_PROBLAM_Estudiante4)</f>
        <v/>
      </c>
      <c r="G30" s="7"/>
      <c r="H30" s="8"/>
      <c r="I30" s="9"/>
      <c r="K30" s="12" t="str" cm="1">
        <f t="array" ref="K30">IF($B30&lt;&gt;"",TRANSPOSE(_xlfn._xlws.FILTER(plan!$C$4:$C$52, ($B30 &gt;= (plan!$J$4:$J$52-Indice_Plan_ExtensionPlazo))*($B30 &lt;= (plan!$K$4:$K$52+Indice_Plan_ExtensionPlazo)), "")), "")</f>
        <v/>
      </c>
      <c r="BH30" s="4"/>
    </row>
    <row r="31" spans="2:60" x14ac:dyDescent="0.3">
      <c r="B31" s="6"/>
      <c r="C31" s="10"/>
      <c r="D31" s="48" t="str">
        <f>IF(Tabla_Registro_Tareas4[[#This Row],[Actividad]]=Indice_Aux_Vacio,"",IFERROR(INDEX(plan!$D$4:$D$52,MATCH(Tabla_Registro_Tareas4[[#This Row],[Actividad]],plan!$C$4:$C$52,0)),""))</f>
        <v/>
      </c>
      <c r="E31" s="48" t="str">
        <f>IFERROR(INDEX(plan!$E$4:$E$52,MATCH(Tabla_Registro_Tareas4[[#This Row],[Actividad]],plan!$C$4:$C$52,0)),"")</f>
        <v/>
      </c>
      <c r="F31" s="49" t="str">
        <f>IF(Tabla_Registro_Tareas4[[#This Row],[Actividad]]=Indice_Aux_Vacio,"",Indice_PROBLAM_Estudiante4)</f>
        <v/>
      </c>
      <c r="G31" s="7"/>
      <c r="H31" s="8"/>
      <c r="I31" s="9"/>
      <c r="K31" s="12" t="str" cm="1">
        <f t="array" ref="K31">IF($B31&lt;&gt;"",TRANSPOSE(_xlfn._xlws.FILTER(plan!$C$4:$C$52, ($B31 &gt;= (plan!$J$4:$J$52-Indice_Plan_ExtensionPlazo))*($B31 &lt;= (plan!$K$4:$K$52+Indice_Plan_ExtensionPlazo)), "")), "")</f>
        <v/>
      </c>
      <c r="BH31" s="4"/>
    </row>
    <row r="32" spans="2:60" x14ac:dyDescent="0.3">
      <c r="B32" s="6"/>
      <c r="C32" s="10"/>
      <c r="D32" s="48" t="str">
        <f>IF(Tabla_Registro_Tareas4[[#This Row],[Actividad]]=Indice_Aux_Vacio,"",IFERROR(INDEX(plan!$D$4:$D$52,MATCH(Tabla_Registro_Tareas4[[#This Row],[Actividad]],plan!$C$4:$C$52,0)),""))</f>
        <v/>
      </c>
      <c r="E32" s="48" t="str">
        <f>IFERROR(INDEX(plan!$E$4:$E$52,MATCH(Tabla_Registro_Tareas4[[#This Row],[Actividad]],plan!$C$4:$C$52,0)),"")</f>
        <v/>
      </c>
      <c r="F32" s="49" t="str">
        <f>IF(Tabla_Registro_Tareas4[[#This Row],[Actividad]]=Indice_Aux_Vacio,"",Indice_PROBLAM_Estudiante4)</f>
        <v/>
      </c>
      <c r="G32" s="7"/>
      <c r="H32" s="8"/>
      <c r="I32" s="9"/>
      <c r="K32" s="12" t="str" cm="1">
        <f t="array" ref="K32">IF($B32&lt;&gt;"",TRANSPOSE(_xlfn._xlws.FILTER(plan!$C$4:$C$52, ($B32 &gt;= (plan!$J$4:$J$52-Indice_Plan_ExtensionPlazo))*($B32 &lt;= (plan!$K$4:$K$52+Indice_Plan_ExtensionPlazo)), "")), "")</f>
        <v/>
      </c>
      <c r="BH32" s="4"/>
    </row>
    <row r="33" spans="2:60" x14ac:dyDescent="0.3">
      <c r="B33" s="6"/>
      <c r="C33" s="10"/>
      <c r="D33" s="48" t="str">
        <f>IF(Tabla_Registro_Tareas4[[#This Row],[Actividad]]=Indice_Aux_Vacio,"",IFERROR(INDEX(plan!$D$4:$D$52,MATCH(Tabla_Registro_Tareas4[[#This Row],[Actividad]],plan!$C$4:$C$52,0)),""))</f>
        <v/>
      </c>
      <c r="E33" s="48" t="str">
        <f>IFERROR(INDEX(plan!$E$4:$E$52,MATCH(Tabla_Registro_Tareas4[[#This Row],[Actividad]],plan!$C$4:$C$52,0)),"")</f>
        <v/>
      </c>
      <c r="F33" s="49" t="str">
        <f>IF(Tabla_Registro_Tareas4[[#This Row],[Actividad]]=Indice_Aux_Vacio,"",Indice_PROBLAM_Estudiante4)</f>
        <v/>
      </c>
      <c r="G33" s="7"/>
      <c r="H33" s="8"/>
      <c r="I33" s="9"/>
      <c r="K33" s="12" t="str" cm="1">
        <f t="array" ref="K33">IF($B33&lt;&gt;"",TRANSPOSE(_xlfn._xlws.FILTER(plan!$C$4:$C$52, ($B33 &gt;= (plan!$J$4:$J$52-Indice_Plan_ExtensionPlazo))*($B33 &lt;= (plan!$K$4:$K$52+Indice_Plan_ExtensionPlazo)), "")), "")</f>
        <v/>
      </c>
      <c r="BH33" s="4"/>
    </row>
    <row r="34" spans="2:60" x14ac:dyDescent="0.3">
      <c r="B34" s="6"/>
      <c r="C34" s="10"/>
      <c r="D34" s="48" t="str">
        <f>IF(Tabla_Registro_Tareas4[[#This Row],[Actividad]]=Indice_Aux_Vacio,"",IFERROR(INDEX(plan!$D$4:$D$52,MATCH(Tabla_Registro_Tareas4[[#This Row],[Actividad]],plan!$C$4:$C$52,0)),""))</f>
        <v/>
      </c>
      <c r="E34" s="48" t="str">
        <f>IFERROR(INDEX(plan!$E$4:$E$52,MATCH(Tabla_Registro_Tareas4[[#This Row],[Actividad]],plan!$C$4:$C$52,0)),"")</f>
        <v/>
      </c>
      <c r="F34" s="49" t="str">
        <f>IF(Tabla_Registro_Tareas4[[#This Row],[Actividad]]=Indice_Aux_Vacio,"",Indice_PROBLAM_Estudiante4)</f>
        <v/>
      </c>
      <c r="G34" s="7"/>
      <c r="H34" s="8"/>
      <c r="I34" s="9"/>
      <c r="K34" s="12" t="str" cm="1">
        <f t="array" ref="K34">IF($B34&lt;&gt;"",TRANSPOSE(_xlfn._xlws.FILTER(plan!$C$4:$C$52, ($B34 &gt;= (plan!$J$4:$J$52-Indice_Plan_ExtensionPlazo))*($B34 &lt;= (plan!$K$4:$K$52+Indice_Plan_ExtensionPlazo)), "")), "")</f>
        <v/>
      </c>
      <c r="BH34" s="4"/>
    </row>
    <row r="35" spans="2:60" x14ac:dyDescent="0.3">
      <c r="B35" s="6"/>
      <c r="C35" s="10"/>
      <c r="D35" s="48" t="str">
        <f>IF(Tabla_Registro_Tareas4[[#This Row],[Actividad]]=Indice_Aux_Vacio,"",IFERROR(INDEX(plan!$D$4:$D$52,MATCH(Tabla_Registro_Tareas4[[#This Row],[Actividad]],plan!$C$4:$C$52,0)),""))</f>
        <v/>
      </c>
      <c r="E35" s="48" t="str">
        <f>IFERROR(INDEX(plan!$E$4:$E$52,MATCH(Tabla_Registro_Tareas4[[#This Row],[Actividad]],plan!$C$4:$C$52,0)),"")</f>
        <v/>
      </c>
      <c r="F35" s="49" t="str">
        <f>IF(Tabla_Registro_Tareas4[[#This Row],[Actividad]]=Indice_Aux_Vacio,"",Indice_PROBLAM_Estudiante4)</f>
        <v/>
      </c>
      <c r="G35" s="7"/>
      <c r="H35" s="8"/>
      <c r="I35" s="9"/>
      <c r="K35" s="12" t="str" cm="1">
        <f t="array" ref="K35">IF($B35&lt;&gt;"",TRANSPOSE(_xlfn._xlws.FILTER(plan!$C$4:$C$52, ($B35 &gt;= (plan!$J$4:$J$52-Indice_Plan_ExtensionPlazo))*($B35 &lt;= (plan!$K$4:$K$52+Indice_Plan_ExtensionPlazo)), "")), "")</f>
        <v/>
      </c>
      <c r="BH35" s="4"/>
    </row>
    <row r="36" spans="2:60" x14ac:dyDescent="0.3">
      <c r="B36" s="6"/>
      <c r="C36" s="10"/>
      <c r="D36" s="48" t="str">
        <f>IF(Tabla_Registro_Tareas4[[#This Row],[Actividad]]=Indice_Aux_Vacio,"",IFERROR(INDEX(plan!$D$4:$D$52,MATCH(Tabla_Registro_Tareas4[[#This Row],[Actividad]],plan!$C$4:$C$52,0)),""))</f>
        <v/>
      </c>
      <c r="E36" s="48" t="str">
        <f>IFERROR(INDEX(plan!$E$4:$E$52,MATCH(Tabla_Registro_Tareas4[[#This Row],[Actividad]],plan!$C$4:$C$52,0)),"")</f>
        <v/>
      </c>
      <c r="F36" s="49" t="str">
        <f>IF(Tabla_Registro_Tareas4[[#This Row],[Actividad]]=Indice_Aux_Vacio,"",Indice_PROBLAM_Estudiante4)</f>
        <v/>
      </c>
      <c r="G36" s="7"/>
      <c r="H36" s="8"/>
      <c r="I36" s="9"/>
      <c r="K36" s="12" t="str" cm="1">
        <f t="array" ref="K36">IF($B36&lt;&gt;"",TRANSPOSE(_xlfn._xlws.FILTER(plan!$C$4:$C$52, ($B36 &gt;= (plan!$J$4:$J$52-Indice_Plan_ExtensionPlazo))*($B36 &lt;= (plan!$K$4:$K$52+Indice_Plan_ExtensionPlazo)), "")), "")</f>
        <v/>
      </c>
      <c r="BH36" s="4"/>
    </row>
    <row r="37" spans="2:60" x14ac:dyDescent="0.3">
      <c r="B37" s="6"/>
      <c r="C37" s="10"/>
      <c r="D37" s="48" t="str">
        <f>IF(Tabla_Registro_Tareas4[[#This Row],[Actividad]]=Indice_Aux_Vacio,"",IFERROR(INDEX(plan!$D$4:$D$52,MATCH(Tabla_Registro_Tareas4[[#This Row],[Actividad]],plan!$C$4:$C$52,0)),""))</f>
        <v/>
      </c>
      <c r="E37" s="48" t="str">
        <f>IFERROR(INDEX(plan!$E$4:$E$52,MATCH(Tabla_Registro_Tareas4[[#This Row],[Actividad]],plan!$C$4:$C$52,0)),"")</f>
        <v/>
      </c>
      <c r="F37" s="49" t="str">
        <f>IF(Tabla_Registro_Tareas4[[#This Row],[Actividad]]=Indice_Aux_Vacio,"",Indice_PROBLAM_Estudiante4)</f>
        <v/>
      </c>
      <c r="G37" s="7"/>
      <c r="H37" s="8"/>
      <c r="I37" s="9"/>
      <c r="K37" s="12" t="str" cm="1">
        <f t="array" ref="K37">IF($B37&lt;&gt;"",TRANSPOSE(_xlfn._xlws.FILTER(plan!$C$4:$C$52, ($B37 &gt;= (plan!$J$4:$J$52-Indice_Plan_ExtensionPlazo))*($B37 &lt;= (plan!$K$4:$K$52+Indice_Plan_ExtensionPlazo)), "")), "")</f>
        <v/>
      </c>
      <c r="BH37" s="4"/>
    </row>
    <row r="38" spans="2:60" x14ac:dyDescent="0.3">
      <c r="B38" s="6"/>
      <c r="C38" s="10"/>
      <c r="D38" s="48" t="str">
        <f>IF(Tabla_Registro_Tareas4[[#This Row],[Actividad]]=Indice_Aux_Vacio,"",IFERROR(INDEX(plan!$D$4:$D$52,MATCH(Tabla_Registro_Tareas4[[#This Row],[Actividad]],plan!$C$4:$C$52,0)),""))</f>
        <v/>
      </c>
      <c r="E38" s="48" t="str">
        <f>IFERROR(INDEX(plan!$E$4:$E$52,MATCH(Tabla_Registro_Tareas4[[#This Row],[Actividad]],plan!$C$4:$C$52,0)),"")</f>
        <v/>
      </c>
      <c r="F38" s="49" t="str">
        <f>IF(Tabla_Registro_Tareas4[[#This Row],[Actividad]]=Indice_Aux_Vacio,"",Indice_PROBLAM_Estudiante4)</f>
        <v/>
      </c>
      <c r="G38" s="7"/>
      <c r="H38" s="8"/>
      <c r="I38" s="9"/>
      <c r="K38" s="12" t="str" cm="1">
        <f t="array" ref="K38">IF($B38&lt;&gt;"",TRANSPOSE(_xlfn._xlws.FILTER(plan!$C$4:$C$52, ($B38 &gt;= (plan!$J$4:$J$52-Indice_Plan_ExtensionPlazo))*($B38 &lt;= (plan!$K$4:$K$52+Indice_Plan_ExtensionPlazo)), "")), "")</f>
        <v/>
      </c>
      <c r="BH38" s="4"/>
    </row>
    <row r="39" spans="2:60" x14ac:dyDescent="0.3">
      <c r="B39" s="6"/>
      <c r="C39" s="10"/>
      <c r="D39" s="48" t="str">
        <f>IF(Tabla_Registro_Tareas4[[#This Row],[Actividad]]=Indice_Aux_Vacio,"",IFERROR(INDEX(plan!$D$4:$D$52,MATCH(Tabla_Registro_Tareas4[[#This Row],[Actividad]],plan!$C$4:$C$52,0)),""))</f>
        <v/>
      </c>
      <c r="E39" s="48" t="str">
        <f>IFERROR(INDEX(plan!$E$4:$E$52,MATCH(Tabla_Registro_Tareas4[[#This Row],[Actividad]],plan!$C$4:$C$52,0)),"")</f>
        <v/>
      </c>
      <c r="F39" s="49" t="str">
        <f>IF(Tabla_Registro_Tareas4[[#This Row],[Actividad]]=Indice_Aux_Vacio,"",Indice_PROBLAM_Estudiante4)</f>
        <v/>
      </c>
      <c r="G39" s="7"/>
      <c r="H39" s="8"/>
      <c r="I39" s="9"/>
      <c r="K39" s="12" t="str" cm="1">
        <f t="array" ref="K39">IF($B39&lt;&gt;"",TRANSPOSE(_xlfn._xlws.FILTER(plan!$C$4:$C$52, ($B39 &gt;= (plan!$J$4:$J$52-Indice_Plan_ExtensionPlazo))*($B39 &lt;= (plan!$K$4:$K$52+Indice_Plan_ExtensionPlazo)), "")), "")</f>
        <v/>
      </c>
      <c r="BH39" s="4"/>
    </row>
    <row r="40" spans="2:60" x14ac:dyDescent="0.3">
      <c r="B40" s="6"/>
      <c r="C40" s="10"/>
      <c r="D40" s="48" t="str">
        <f>IF(Tabla_Registro_Tareas4[[#This Row],[Actividad]]=Indice_Aux_Vacio,"",IFERROR(INDEX(plan!$D$4:$D$52,MATCH(Tabla_Registro_Tareas4[[#This Row],[Actividad]],plan!$C$4:$C$52,0)),""))</f>
        <v/>
      </c>
      <c r="E40" s="48" t="str">
        <f>IFERROR(INDEX(plan!$E$4:$E$52,MATCH(Tabla_Registro_Tareas4[[#This Row],[Actividad]],plan!$C$4:$C$52,0)),"")</f>
        <v/>
      </c>
      <c r="F40" s="49" t="str">
        <f>IF(Tabla_Registro_Tareas4[[#This Row],[Actividad]]=Indice_Aux_Vacio,"",Indice_PROBLAM_Estudiante4)</f>
        <v/>
      </c>
      <c r="G40" s="7"/>
      <c r="H40" s="8"/>
      <c r="I40" s="9"/>
      <c r="K40" s="12" t="str" cm="1">
        <f t="array" ref="K40">IF($B40&lt;&gt;"",TRANSPOSE(_xlfn._xlws.FILTER(plan!$C$4:$C$52, ($B40 &gt;= (plan!$J$4:$J$52-Indice_Plan_ExtensionPlazo))*($B40 &lt;= (plan!$K$4:$K$52+Indice_Plan_ExtensionPlazo)), "")), "")</f>
        <v/>
      </c>
      <c r="BH40" s="4"/>
    </row>
    <row r="41" spans="2:60" x14ac:dyDescent="0.3">
      <c r="B41" s="6"/>
      <c r="C41" s="10"/>
      <c r="D41" s="48" t="str">
        <f>IF(Tabla_Registro_Tareas4[[#This Row],[Actividad]]=Indice_Aux_Vacio,"",IFERROR(INDEX(plan!$D$4:$D$52,MATCH(Tabla_Registro_Tareas4[[#This Row],[Actividad]],plan!$C$4:$C$52,0)),""))</f>
        <v/>
      </c>
      <c r="E41" s="48" t="str">
        <f>IFERROR(INDEX(plan!$E$4:$E$52,MATCH(Tabla_Registro_Tareas4[[#This Row],[Actividad]],plan!$C$4:$C$52,0)),"")</f>
        <v/>
      </c>
      <c r="F41" s="49" t="str">
        <f>IF(Tabla_Registro_Tareas4[[#This Row],[Actividad]]=Indice_Aux_Vacio,"",Indice_PROBLAM_Estudiante4)</f>
        <v/>
      </c>
      <c r="G41" s="7"/>
      <c r="H41" s="8"/>
      <c r="I41" s="9"/>
      <c r="K41" s="12" t="str" cm="1">
        <f t="array" ref="K41">IF($B41&lt;&gt;"",TRANSPOSE(_xlfn._xlws.FILTER(plan!$C$4:$C$52, ($B41 &gt;= (plan!$J$4:$J$52-Indice_Plan_ExtensionPlazo))*($B41 &lt;= (plan!$K$4:$K$52+Indice_Plan_ExtensionPlazo)), "")), "")</f>
        <v/>
      </c>
      <c r="BH41" s="4"/>
    </row>
    <row r="42" spans="2:60" x14ac:dyDescent="0.3">
      <c r="B42" s="6"/>
      <c r="C42" s="10"/>
      <c r="D42" s="48" t="str">
        <f>IF(Tabla_Registro_Tareas4[[#This Row],[Actividad]]=Indice_Aux_Vacio,"",IFERROR(INDEX(plan!$D$4:$D$52,MATCH(Tabla_Registro_Tareas4[[#This Row],[Actividad]],plan!$C$4:$C$52,0)),""))</f>
        <v/>
      </c>
      <c r="E42" s="48" t="str">
        <f>IFERROR(INDEX(plan!$E$4:$E$52,MATCH(Tabla_Registro_Tareas4[[#This Row],[Actividad]],plan!$C$4:$C$52,0)),"")</f>
        <v/>
      </c>
      <c r="F42" s="49" t="str">
        <f>IF(Tabla_Registro_Tareas4[[#This Row],[Actividad]]=Indice_Aux_Vacio,"",Indice_PROBLAM_Estudiante4)</f>
        <v/>
      </c>
      <c r="G42" s="7"/>
      <c r="H42" s="8"/>
      <c r="I42" s="9"/>
      <c r="K42" s="12" t="str" cm="1">
        <f t="array" ref="K42">IF($B42&lt;&gt;"",TRANSPOSE(_xlfn._xlws.FILTER(plan!$C$4:$C$52, ($B42 &gt;= (plan!$J$4:$J$52-Indice_Plan_ExtensionPlazo))*($B42 &lt;= (plan!$K$4:$K$52+Indice_Plan_ExtensionPlazo)), "")), "")</f>
        <v/>
      </c>
      <c r="BH42" s="4"/>
    </row>
    <row r="43" spans="2:60" x14ac:dyDescent="0.3">
      <c r="B43" s="6"/>
      <c r="C43" s="10"/>
      <c r="D43" s="48" t="str">
        <f>IF(Tabla_Registro_Tareas4[[#This Row],[Actividad]]=Indice_Aux_Vacio,"",IFERROR(INDEX(plan!$D$4:$D$52,MATCH(Tabla_Registro_Tareas4[[#This Row],[Actividad]],plan!$C$4:$C$52,0)),""))</f>
        <v/>
      </c>
      <c r="E43" s="48" t="str">
        <f>IFERROR(INDEX(plan!$E$4:$E$52,MATCH(Tabla_Registro_Tareas4[[#This Row],[Actividad]],plan!$C$4:$C$52,0)),"")</f>
        <v/>
      </c>
      <c r="F43" s="49" t="str">
        <f>IF(Tabla_Registro_Tareas4[[#This Row],[Actividad]]=Indice_Aux_Vacio,"",Indice_PROBLAM_Estudiante4)</f>
        <v/>
      </c>
      <c r="G43" s="7"/>
      <c r="H43" s="8"/>
      <c r="I43" s="9"/>
      <c r="K43" s="12" t="str" cm="1">
        <f t="array" ref="K43">IF($B43&lt;&gt;"",TRANSPOSE(_xlfn._xlws.FILTER(plan!$C$4:$C$52, ($B43 &gt;= (plan!$J$4:$J$52-Indice_Plan_ExtensionPlazo))*($B43 &lt;= (plan!$K$4:$K$52+Indice_Plan_ExtensionPlazo)), "")), "")</f>
        <v/>
      </c>
      <c r="BH43" s="4"/>
    </row>
    <row r="44" spans="2:60" x14ac:dyDescent="0.3">
      <c r="B44" s="6"/>
      <c r="C44" s="10"/>
      <c r="D44" s="48" t="str">
        <f>IF(Tabla_Registro_Tareas4[[#This Row],[Actividad]]=Indice_Aux_Vacio,"",IFERROR(INDEX(plan!$D$4:$D$52,MATCH(Tabla_Registro_Tareas4[[#This Row],[Actividad]],plan!$C$4:$C$52,0)),""))</f>
        <v/>
      </c>
      <c r="E44" s="48" t="str">
        <f>IFERROR(INDEX(plan!$E$4:$E$52,MATCH(Tabla_Registro_Tareas4[[#This Row],[Actividad]],plan!$C$4:$C$52,0)),"")</f>
        <v/>
      </c>
      <c r="F44" s="49" t="str">
        <f>IF(Tabla_Registro_Tareas4[[#This Row],[Actividad]]=Indice_Aux_Vacio,"",Indice_PROBLAM_Estudiante4)</f>
        <v/>
      </c>
      <c r="G44" s="7"/>
      <c r="H44" s="8"/>
      <c r="I44" s="9"/>
      <c r="K44" s="12" t="str" cm="1">
        <f t="array" ref="K44">IF($B44&lt;&gt;"",TRANSPOSE(_xlfn._xlws.FILTER(plan!$C$4:$C$52, ($B44 &gt;= (plan!$J$4:$J$52-Indice_Plan_ExtensionPlazo))*($B44 &lt;= (plan!$K$4:$K$52+Indice_Plan_ExtensionPlazo)), "")), "")</f>
        <v/>
      </c>
      <c r="BH44" s="4"/>
    </row>
    <row r="45" spans="2:60" x14ac:dyDescent="0.3">
      <c r="B45" s="6"/>
      <c r="C45" s="10"/>
      <c r="D45" s="48" t="str">
        <f>IF(Tabla_Registro_Tareas4[[#This Row],[Actividad]]=Indice_Aux_Vacio,"",IFERROR(INDEX(plan!$D$4:$D$52,MATCH(Tabla_Registro_Tareas4[[#This Row],[Actividad]],plan!$C$4:$C$52,0)),""))</f>
        <v/>
      </c>
      <c r="E45" s="48" t="str">
        <f>IFERROR(INDEX(plan!$E$4:$E$52,MATCH(Tabla_Registro_Tareas4[[#This Row],[Actividad]],plan!$C$4:$C$52,0)),"")</f>
        <v/>
      </c>
      <c r="F45" s="49" t="str">
        <f>IF(Tabla_Registro_Tareas4[[#This Row],[Actividad]]=Indice_Aux_Vacio,"",Indice_PROBLAM_Estudiante4)</f>
        <v/>
      </c>
      <c r="G45" s="7"/>
      <c r="H45" s="8"/>
      <c r="I45" s="9"/>
      <c r="K45" s="12" t="str" cm="1">
        <f t="array" ref="K45">IF($B45&lt;&gt;"",TRANSPOSE(_xlfn._xlws.FILTER(plan!$C$4:$C$52, ($B45 &gt;= (plan!$J$4:$J$52-Indice_Plan_ExtensionPlazo))*($B45 &lt;= (plan!$K$4:$K$52+Indice_Plan_ExtensionPlazo)), "")), "")</f>
        <v/>
      </c>
      <c r="BH45" s="4"/>
    </row>
    <row r="46" spans="2:60" x14ac:dyDescent="0.3">
      <c r="B46" s="6"/>
      <c r="C46" s="10"/>
      <c r="D46" s="48" t="str">
        <f>IF(Tabla_Registro_Tareas4[[#This Row],[Actividad]]=Indice_Aux_Vacio,"",IFERROR(INDEX(plan!$D$4:$D$52,MATCH(Tabla_Registro_Tareas4[[#This Row],[Actividad]],plan!$C$4:$C$52,0)),""))</f>
        <v/>
      </c>
      <c r="E46" s="48" t="str">
        <f>IFERROR(INDEX(plan!$E$4:$E$52,MATCH(Tabla_Registro_Tareas4[[#This Row],[Actividad]],plan!$C$4:$C$52,0)),"")</f>
        <v/>
      </c>
      <c r="F46" s="49" t="str">
        <f>IF(Tabla_Registro_Tareas4[[#This Row],[Actividad]]=Indice_Aux_Vacio,"",Indice_PROBLAM_Estudiante4)</f>
        <v/>
      </c>
      <c r="G46" s="7"/>
      <c r="H46" s="8"/>
      <c r="I46" s="9"/>
      <c r="K46" s="12" t="str" cm="1">
        <f t="array" ref="K46">IF($B46&lt;&gt;"",TRANSPOSE(_xlfn._xlws.FILTER(plan!$C$4:$C$52, ($B46 &gt;= (plan!$J$4:$J$52-Indice_Plan_ExtensionPlazo))*($B46 &lt;= (plan!$K$4:$K$52+Indice_Plan_ExtensionPlazo)), "")), "")</f>
        <v/>
      </c>
      <c r="BH46" s="4"/>
    </row>
    <row r="47" spans="2:60" x14ac:dyDescent="0.3">
      <c r="B47" s="6"/>
      <c r="C47" s="10"/>
      <c r="D47" s="48" t="str">
        <f>IF(Tabla_Registro_Tareas4[[#This Row],[Actividad]]=Indice_Aux_Vacio,"",IFERROR(INDEX(plan!$D$4:$D$52,MATCH(Tabla_Registro_Tareas4[[#This Row],[Actividad]],plan!$C$4:$C$52,0)),""))</f>
        <v/>
      </c>
      <c r="E47" s="48" t="str">
        <f>IFERROR(INDEX(plan!$E$4:$E$52,MATCH(Tabla_Registro_Tareas4[[#This Row],[Actividad]],plan!$C$4:$C$52,0)),"")</f>
        <v/>
      </c>
      <c r="F47" s="49" t="str">
        <f>IF(Tabla_Registro_Tareas4[[#This Row],[Actividad]]=Indice_Aux_Vacio,"",Indice_PROBLAM_Estudiante4)</f>
        <v/>
      </c>
      <c r="G47" s="7"/>
      <c r="H47" s="8"/>
      <c r="I47" s="9"/>
      <c r="K47" s="12" t="str" cm="1">
        <f t="array" ref="K47">IF($B47&lt;&gt;"",TRANSPOSE(_xlfn._xlws.FILTER(plan!$C$4:$C$52, ($B47 &gt;= (plan!$J$4:$J$52-Indice_Plan_ExtensionPlazo))*($B47 &lt;= (plan!$K$4:$K$52+Indice_Plan_ExtensionPlazo)), "")), "")</f>
        <v/>
      </c>
      <c r="BH47" s="4"/>
    </row>
    <row r="48" spans="2:60" x14ac:dyDescent="0.3">
      <c r="B48" s="6"/>
      <c r="C48" s="10"/>
      <c r="D48" s="48" t="str">
        <f>IF(Tabla_Registro_Tareas4[[#This Row],[Actividad]]=Indice_Aux_Vacio,"",IFERROR(INDEX(plan!$D$4:$D$52,MATCH(Tabla_Registro_Tareas4[[#This Row],[Actividad]],plan!$C$4:$C$52,0)),""))</f>
        <v/>
      </c>
      <c r="E48" s="48" t="str">
        <f>IFERROR(INDEX(plan!$E$4:$E$52,MATCH(Tabla_Registro_Tareas4[[#This Row],[Actividad]],plan!$C$4:$C$52,0)),"")</f>
        <v/>
      </c>
      <c r="F48" s="49" t="str">
        <f>IF(Tabla_Registro_Tareas4[[#This Row],[Actividad]]=Indice_Aux_Vacio,"",Indice_PROBLAM_Estudiante4)</f>
        <v/>
      </c>
      <c r="G48" s="7"/>
      <c r="H48" s="8"/>
      <c r="I48" s="9"/>
      <c r="K48" s="12" t="str" cm="1">
        <f t="array" ref="K48">IF($B48&lt;&gt;"",TRANSPOSE(_xlfn._xlws.FILTER(plan!$C$4:$C$52, ($B48 &gt;= (plan!$J$4:$J$52-Indice_Plan_ExtensionPlazo))*($B48 &lt;= (plan!$K$4:$K$52+Indice_Plan_ExtensionPlazo)), "")), "")</f>
        <v/>
      </c>
      <c r="BH48" s="4"/>
    </row>
    <row r="49" spans="2:60" x14ac:dyDescent="0.3">
      <c r="B49" s="6"/>
      <c r="C49" s="10"/>
      <c r="D49" s="48" t="str">
        <f>IF(Tabla_Registro_Tareas4[[#This Row],[Actividad]]=Indice_Aux_Vacio,"",IFERROR(INDEX(plan!$D$4:$D$52,MATCH(Tabla_Registro_Tareas4[[#This Row],[Actividad]],plan!$C$4:$C$52,0)),""))</f>
        <v/>
      </c>
      <c r="E49" s="48" t="str">
        <f>IFERROR(INDEX(plan!$E$4:$E$52,MATCH(Tabla_Registro_Tareas4[[#This Row],[Actividad]],plan!$C$4:$C$52,0)),"")</f>
        <v/>
      </c>
      <c r="F49" s="49" t="str">
        <f>IF(Tabla_Registro_Tareas4[[#This Row],[Actividad]]=Indice_Aux_Vacio,"",Indice_PROBLAM_Estudiante4)</f>
        <v/>
      </c>
      <c r="G49" s="7"/>
      <c r="H49" s="8"/>
      <c r="I49" s="9"/>
      <c r="K49" s="12" t="str" cm="1">
        <f t="array" ref="K49">IF($B49&lt;&gt;"",TRANSPOSE(_xlfn._xlws.FILTER(plan!$C$4:$C$52, ($B49 &gt;= (plan!$J$4:$J$52-Indice_Plan_ExtensionPlazo))*($B49 &lt;= (plan!$K$4:$K$52+Indice_Plan_ExtensionPlazo)), "")), "")</f>
        <v/>
      </c>
      <c r="BH49" s="4"/>
    </row>
    <row r="50" spans="2:60" x14ac:dyDescent="0.3">
      <c r="B50" s="6"/>
      <c r="C50" s="10"/>
      <c r="D50" s="48" t="str">
        <f>IF(Tabla_Registro_Tareas4[[#This Row],[Actividad]]=Indice_Aux_Vacio,"",IFERROR(INDEX(plan!$D$4:$D$52,MATCH(Tabla_Registro_Tareas4[[#This Row],[Actividad]],plan!$C$4:$C$52,0)),""))</f>
        <v/>
      </c>
      <c r="E50" s="48" t="str">
        <f>IFERROR(INDEX(plan!$E$4:$E$52,MATCH(Tabla_Registro_Tareas4[[#This Row],[Actividad]],plan!$C$4:$C$52,0)),"")</f>
        <v/>
      </c>
      <c r="F50" s="49" t="str">
        <f>IF(Tabla_Registro_Tareas4[[#This Row],[Actividad]]=Indice_Aux_Vacio,"",Indice_PROBLAM_Estudiante4)</f>
        <v/>
      </c>
      <c r="G50" s="7"/>
      <c r="H50" s="8"/>
      <c r="I50" s="9"/>
      <c r="K50" s="12" t="str" cm="1">
        <f t="array" ref="K50">IF($B50&lt;&gt;"",TRANSPOSE(_xlfn._xlws.FILTER(plan!$C$4:$C$52, ($B50 &gt;= (plan!$J$4:$J$52-Indice_Plan_ExtensionPlazo))*($B50 &lt;= (plan!$K$4:$K$52+Indice_Plan_ExtensionPlazo)), "")), "")</f>
        <v/>
      </c>
      <c r="BH50" s="4"/>
    </row>
    <row r="51" spans="2:60" x14ac:dyDescent="0.3">
      <c r="B51" s="6"/>
      <c r="C51" s="10"/>
      <c r="D51" s="48" t="str">
        <f>IF(Tabla_Registro_Tareas4[[#This Row],[Actividad]]=Indice_Aux_Vacio,"",IFERROR(INDEX(plan!$D$4:$D$52,MATCH(Tabla_Registro_Tareas4[[#This Row],[Actividad]],plan!$C$4:$C$52,0)),""))</f>
        <v/>
      </c>
      <c r="E51" s="48" t="str">
        <f>IFERROR(INDEX(plan!$E$4:$E$52,MATCH(Tabla_Registro_Tareas4[[#This Row],[Actividad]],plan!$C$4:$C$52,0)),"")</f>
        <v/>
      </c>
      <c r="F51" s="49" t="str">
        <f>IF(Tabla_Registro_Tareas4[[#This Row],[Actividad]]=Indice_Aux_Vacio,"",Indice_PROBLAM_Estudiante4)</f>
        <v/>
      </c>
      <c r="G51" s="7"/>
      <c r="H51" s="8"/>
      <c r="I51" s="9"/>
      <c r="K51" s="12" t="str" cm="1">
        <f t="array" ref="K51">IF($B51&lt;&gt;"",TRANSPOSE(_xlfn._xlws.FILTER(plan!$C$4:$C$52, ($B51 &gt;= (plan!$J$4:$J$52-Indice_Plan_ExtensionPlazo))*($B51 &lt;= (plan!$K$4:$K$52+Indice_Plan_ExtensionPlazo)), "")), "")</f>
        <v/>
      </c>
      <c r="BH51" s="4"/>
    </row>
    <row r="52" spans="2:60" x14ac:dyDescent="0.3">
      <c r="B52" s="6"/>
      <c r="C52" s="10"/>
      <c r="D52" s="48" t="str">
        <f>IF(Tabla_Registro_Tareas4[[#This Row],[Actividad]]=Indice_Aux_Vacio,"",IFERROR(INDEX(plan!$D$4:$D$52,MATCH(Tabla_Registro_Tareas4[[#This Row],[Actividad]],plan!$C$4:$C$52,0)),""))</f>
        <v/>
      </c>
      <c r="E52" s="48" t="str">
        <f>IFERROR(INDEX(plan!$E$4:$E$52,MATCH(Tabla_Registro_Tareas4[[#This Row],[Actividad]],plan!$C$4:$C$52,0)),"")</f>
        <v/>
      </c>
      <c r="F52" s="49" t="str">
        <f>IF(Tabla_Registro_Tareas4[[#This Row],[Actividad]]=Indice_Aux_Vacio,"",Indice_PROBLAM_Estudiante4)</f>
        <v/>
      </c>
      <c r="G52" s="7"/>
      <c r="H52" s="8"/>
      <c r="I52" s="9"/>
      <c r="K52" s="12" t="str" cm="1">
        <f t="array" ref="K52">IF($B52&lt;&gt;"",TRANSPOSE(_xlfn._xlws.FILTER(plan!$C$4:$C$52, ($B52 &gt;= (plan!$J$4:$J$52-Indice_Plan_ExtensionPlazo))*($B52 &lt;= (plan!$K$4:$K$52+Indice_Plan_ExtensionPlazo)), "")), "")</f>
        <v/>
      </c>
      <c r="BH52" s="4"/>
    </row>
    <row r="53" spans="2:60" x14ac:dyDescent="0.3">
      <c r="B53" s="6"/>
      <c r="C53" s="10"/>
      <c r="D53" s="48" t="str">
        <f>IF(Tabla_Registro_Tareas4[[#This Row],[Actividad]]=Indice_Aux_Vacio,"",IFERROR(INDEX(plan!$D$4:$D$52,MATCH(Tabla_Registro_Tareas4[[#This Row],[Actividad]],plan!$C$4:$C$52,0)),""))</f>
        <v/>
      </c>
      <c r="E53" s="48" t="str">
        <f>IFERROR(INDEX(plan!$E$4:$E$52,MATCH(Tabla_Registro_Tareas4[[#This Row],[Actividad]],plan!$C$4:$C$52,0)),"")</f>
        <v/>
      </c>
      <c r="F53" s="49" t="str">
        <f>IF(Tabla_Registro_Tareas4[[#This Row],[Actividad]]=Indice_Aux_Vacio,"",Indice_PROBLAM_Estudiante4)</f>
        <v/>
      </c>
      <c r="G53" s="7"/>
      <c r="H53" s="8"/>
      <c r="I53" s="9"/>
      <c r="K53" s="12" t="str" cm="1">
        <f t="array" ref="K53">IF($B53&lt;&gt;"",TRANSPOSE(_xlfn._xlws.FILTER(plan!$C$4:$C$52, ($B53 &gt;= (plan!$J$4:$J$52-Indice_Plan_ExtensionPlazo))*($B53 &lt;= (plan!$K$4:$K$52+Indice_Plan_ExtensionPlazo)), "")), "")</f>
        <v/>
      </c>
      <c r="BH53" s="4"/>
    </row>
    <row r="54" spans="2:60" x14ac:dyDescent="0.3">
      <c r="B54" s="6"/>
      <c r="C54" s="10"/>
      <c r="D54" s="48" t="str">
        <f>IF(Tabla_Registro_Tareas4[[#This Row],[Actividad]]=Indice_Aux_Vacio,"",IFERROR(INDEX(plan!$D$4:$D$52,MATCH(Tabla_Registro_Tareas4[[#This Row],[Actividad]],plan!$C$4:$C$52,0)),""))</f>
        <v/>
      </c>
      <c r="E54" s="48" t="str">
        <f>IFERROR(INDEX(plan!$E$4:$E$52,MATCH(Tabla_Registro_Tareas4[[#This Row],[Actividad]],plan!$C$4:$C$52,0)),"")</f>
        <v/>
      </c>
      <c r="F54" s="49" t="str">
        <f>IF(Tabla_Registro_Tareas4[[#This Row],[Actividad]]=Indice_Aux_Vacio,"",Indice_PROBLAM_Estudiante4)</f>
        <v/>
      </c>
      <c r="G54" s="7"/>
      <c r="H54" s="8"/>
      <c r="I54" s="9"/>
      <c r="K54" s="12" t="str" cm="1">
        <f t="array" ref="K54">IF($B54&lt;&gt;"",TRANSPOSE(_xlfn._xlws.FILTER(plan!$C$4:$C$52, ($B54 &gt;= (plan!$J$4:$J$52-Indice_Plan_ExtensionPlazo))*($B54 &lt;= (plan!$K$4:$K$52+Indice_Plan_ExtensionPlazo)), "")), "")</f>
        <v/>
      </c>
      <c r="BH54" s="4"/>
    </row>
    <row r="55" spans="2:60" x14ac:dyDescent="0.3">
      <c r="B55" s="6"/>
      <c r="C55" s="10"/>
      <c r="D55" s="48" t="str">
        <f>IF(Tabla_Registro_Tareas4[[#This Row],[Actividad]]=Indice_Aux_Vacio,"",IFERROR(INDEX(plan!$D$4:$D$52,MATCH(Tabla_Registro_Tareas4[[#This Row],[Actividad]],plan!$C$4:$C$52,0)),""))</f>
        <v/>
      </c>
      <c r="E55" s="48" t="str">
        <f>IFERROR(INDEX(plan!$E$4:$E$52,MATCH(Tabla_Registro_Tareas4[[#This Row],[Actividad]],plan!$C$4:$C$52,0)),"")</f>
        <v/>
      </c>
      <c r="F55" s="49" t="str">
        <f>IF(Tabla_Registro_Tareas4[[#This Row],[Actividad]]=Indice_Aux_Vacio,"",Indice_PROBLAM_Estudiante4)</f>
        <v/>
      </c>
      <c r="G55" s="7"/>
      <c r="H55" s="8"/>
      <c r="I55" s="9"/>
      <c r="K55" s="12" t="str" cm="1">
        <f t="array" ref="K55">IF($B55&lt;&gt;"",TRANSPOSE(_xlfn._xlws.FILTER(plan!$C$4:$C$52, ($B55 &gt;= (plan!$J$4:$J$52-Indice_Plan_ExtensionPlazo))*($B55 &lt;= (plan!$K$4:$K$52+Indice_Plan_ExtensionPlazo)), "")), "")</f>
        <v/>
      </c>
      <c r="BH55" s="4"/>
    </row>
    <row r="56" spans="2:60" x14ac:dyDescent="0.3">
      <c r="B56" s="6"/>
      <c r="C56" s="10"/>
      <c r="D56" s="48" t="str">
        <f>IF(Tabla_Registro_Tareas4[[#This Row],[Actividad]]=Indice_Aux_Vacio,"",IFERROR(INDEX(plan!$D$4:$D$52,MATCH(Tabla_Registro_Tareas4[[#This Row],[Actividad]],plan!$C$4:$C$52,0)),""))</f>
        <v/>
      </c>
      <c r="E56" s="48" t="str">
        <f>IFERROR(INDEX(plan!$E$4:$E$52,MATCH(Tabla_Registro_Tareas4[[#This Row],[Actividad]],plan!$C$4:$C$52,0)),"")</f>
        <v/>
      </c>
      <c r="F56" s="49" t="str">
        <f>IF(Tabla_Registro_Tareas4[[#This Row],[Actividad]]=Indice_Aux_Vacio,"",Indice_PROBLAM_Estudiante4)</f>
        <v/>
      </c>
      <c r="G56" s="7"/>
      <c r="H56" s="8"/>
      <c r="I56" s="9"/>
      <c r="K56" s="12" t="str" cm="1">
        <f t="array" ref="K56">IF($B56&lt;&gt;"",TRANSPOSE(_xlfn._xlws.FILTER(plan!$C$4:$C$52, ($B56 &gt;= (plan!$J$4:$J$52-Indice_Plan_ExtensionPlazo))*($B56 &lt;= (plan!$K$4:$K$52+Indice_Plan_ExtensionPlazo)), "")), "")</f>
        <v/>
      </c>
      <c r="BH56" s="4"/>
    </row>
    <row r="57" spans="2:60" x14ac:dyDescent="0.3">
      <c r="B57" s="6"/>
      <c r="C57" s="10"/>
      <c r="D57" s="48" t="str">
        <f>IF(Tabla_Registro_Tareas4[[#This Row],[Actividad]]=Indice_Aux_Vacio,"",IFERROR(INDEX(plan!$D$4:$D$52,MATCH(Tabla_Registro_Tareas4[[#This Row],[Actividad]],plan!$C$4:$C$52,0)),""))</f>
        <v/>
      </c>
      <c r="E57" s="48" t="str">
        <f>IFERROR(INDEX(plan!$E$4:$E$52,MATCH(Tabla_Registro_Tareas4[[#This Row],[Actividad]],plan!$C$4:$C$52,0)),"")</f>
        <v/>
      </c>
      <c r="F57" s="49" t="str">
        <f>IF(Tabla_Registro_Tareas4[[#This Row],[Actividad]]=Indice_Aux_Vacio,"",Indice_PROBLAM_Estudiante4)</f>
        <v/>
      </c>
      <c r="G57" s="7"/>
      <c r="H57" s="8"/>
      <c r="I57" s="9"/>
      <c r="K57" s="12" t="str" cm="1">
        <f t="array" ref="K57">IF($B57&lt;&gt;"",TRANSPOSE(_xlfn._xlws.FILTER(plan!$C$4:$C$52, ($B57 &gt;= (plan!$J$4:$J$52-Indice_Plan_ExtensionPlazo))*($B57 &lt;= (plan!$K$4:$K$52+Indice_Plan_ExtensionPlazo)), "")), "")</f>
        <v/>
      </c>
      <c r="BH57" s="4"/>
    </row>
    <row r="58" spans="2:60" x14ac:dyDescent="0.3">
      <c r="B58" s="6"/>
      <c r="C58" s="10"/>
      <c r="D58" s="48" t="str">
        <f>IF(Tabla_Registro_Tareas4[[#This Row],[Actividad]]=Indice_Aux_Vacio,"",IFERROR(INDEX(plan!$D$4:$D$52,MATCH(Tabla_Registro_Tareas4[[#This Row],[Actividad]],plan!$C$4:$C$52,0)),""))</f>
        <v/>
      </c>
      <c r="E58" s="48" t="str">
        <f>IFERROR(INDEX(plan!$E$4:$E$52,MATCH(Tabla_Registro_Tareas4[[#This Row],[Actividad]],plan!$C$4:$C$52,0)),"")</f>
        <v/>
      </c>
      <c r="F58" s="49" t="str">
        <f>IF(Tabla_Registro_Tareas4[[#This Row],[Actividad]]=Indice_Aux_Vacio,"",Indice_PROBLAM_Estudiante4)</f>
        <v/>
      </c>
      <c r="G58" s="7"/>
      <c r="H58" s="8"/>
      <c r="I58" s="9"/>
      <c r="K58" s="12" t="str" cm="1">
        <f t="array" ref="K58">IF($B58&lt;&gt;"",TRANSPOSE(_xlfn._xlws.FILTER(plan!$C$4:$C$52, ($B58 &gt;= (plan!$J$4:$J$52-Indice_Plan_ExtensionPlazo))*($B58 &lt;= (plan!$K$4:$K$52+Indice_Plan_ExtensionPlazo)), "")), "")</f>
        <v/>
      </c>
      <c r="BH58" s="4"/>
    </row>
    <row r="59" spans="2:60" x14ac:dyDescent="0.3">
      <c r="B59" s="6"/>
      <c r="C59" s="10"/>
      <c r="D59" s="48" t="str">
        <f>IF(Tabla_Registro_Tareas4[[#This Row],[Actividad]]=Indice_Aux_Vacio,"",IFERROR(INDEX(plan!$D$4:$D$52,MATCH(Tabla_Registro_Tareas4[[#This Row],[Actividad]],plan!$C$4:$C$52,0)),""))</f>
        <v/>
      </c>
      <c r="E59" s="48" t="str">
        <f>IFERROR(INDEX(plan!$E$4:$E$52,MATCH(Tabla_Registro_Tareas4[[#This Row],[Actividad]],plan!$C$4:$C$52,0)),"")</f>
        <v/>
      </c>
      <c r="F59" s="49" t="str">
        <f>IF(Tabla_Registro_Tareas4[[#This Row],[Actividad]]=Indice_Aux_Vacio,"",Indice_PROBLAM_Estudiante4)</f>
        <v/>
      </c>
      <c r="G59" s="7"/>
      <c r="H59" s="8"/>
      <c r="I59" s="9"/>
      <c r="K59" s="12" t="str" cm="1">
        <f t="array" ref="K59">IF($B59&lt;&gt;"",TRANSPOSE(_xlfn._xlws.FILTER(plan!$C$4:$C$52, ($B59 &gt;= (plan!$J$4:$J$52-Indice_Plan_ExtensionPlazo))*($B59 &lt;= (plan!$K$4:$K$52+Indice_Plan_ExtensionPlazo)), "")), "")</f>
        <v/>
      </c>
      <c r="BH59" s="4"/>
    </row>
    <row r="60" spans="2:60" x14ac:dyDescent="0.3">
      <c r="B60" s="6"/>
      <c r="C60" s="10"/>
      <c r="D60" s="48" t="str">
        <f>IF(Tabla_Registro_Tareas4[[#This Row],[Actividad]]=Indice_Aux_Vacio,"",IFERROR(INDEX(plan!$D$4:$D$52,MATCH(Tabla_Registro_Tareas4[[#This Row],[Actividad]],plan!$C$4:$C$52,0)),""))</f>
        <v/>
      </c>
      <c r="E60" s="48" t="str">
        <f>IFERROR(INDEX(plan!$E$4:$E$52,MATCH(Tabla_Registro_Tareas4[[#This Row],[Actividad]],plan!$C$4:$C$52,0)),"")</f>
        <v/>
      </c>
      <c r="F60" s="49" t="str">
        <f>IF(Tabla_Registro_Tareas4[[#This Row],[Actividad]]=Indice_Aux_Vacio,"",Indice_PROBLAM_Estudiante4)</f>
        <v/>
      </c>
      <c r="G60" s="7"/>
      <c r="H60" s="8"/>
      <c r="I60" s="9"/>
      <c r="K60" s="12" t="str" cm="1">
        <f t="array" ref="K60">IF($B60&lt;&gt;"",TRANSPOSE(_xlfn._xlws.FILTER(plan!$C$4:$C$52, ($B60 &gt;= (plan!$J$4:$J$52-Indice_Plan_ExtensionPlazo))*($B60 &lt;= (plan!$K$4:$K$52+Indice_Plan_ExtensionPlazo)), "")), "")</f>
        <v/>
      </c>
      <c r="BH60" s="4"/>
    </row>
    <row r="61" spans="2:60" x14ac:dyDescent="0.3">
      <c r="B61" s="6"/>
      <c r="C61" s="10"/>
      <c r="D61" s="48" t="str">
        <f>IF(Tabla_Registro_Tareas4[[#This Row],[Actividad]]=Indice_Aux_Vacio,"",IFERROR(INDEX(plan!$D$4:$D$52,MATCH(Tabla_Registro_Tareas4[[#This Row],[Actividad]],plan!$C$4:$C$52,0)),""))</f>
        <v/>
      </c>
      <c r="E61" s="48" t="str">
        <f>IFERROR(INDEX(plan!$E$4:$E$52,MATCH(Tabla_Registro_Tareas4[[#This Row],[Actividad]],plan!$C$4:$C$52,0)),"")</f>
        <v/>
      </c>
      <c r="F61" s="49" t="str">
        <f>IF(Tabla_Registro_Tareas4[[#This Row],[Actividad]]=Indice_Aux_Vacio,"",Indice_PROBLAM_Estudiante4)</f>
        <v/>
      </c>
      <c r="G61" s="7"/>
      <c r="H61" s="8"/>
      <c r="I61" s="9"/>
      <c r="K61" s="12" t="str" cm="1">
        <f t="array" ref="K61">IF($B61&lt;&gt;"",TRANSPOSE(_xlfn._xlws.FILTER(plan!$C$4:$C$52, ($B61 &gt;= (plan!$J$4:$J$52-Indice_Plan_ExtensionPlazo))*($B61 &lt;= (plan!$K$4:$K$52+Indice_Plan_ExtensionPlazo)), "")), "")</f>
        <v/>
      </c>
      <c r="BH61" s="4"/>
    </row>
    <row r="62" spans="2:60" x14ac:dyDescent="0.3">
      <c r="B62" s="6"/>
      <c r="C62" s="10"/>
      <c r="D62" s="48" t="str">
        <f>IF(Tabla_Registro_Tareas4[[#This Row],[Actividad]]=Indice_Aux_Vacio,"",IFERROR(INDEX(plan!$D$4:$D$52,MATCH(Tabla_Registro_Tareas4[[#This Row],[Actividad]],plan!$C$4:$C$52,0)),""))</f>
        <v/>
      </c>
      <c r="E62" s="48" t="str">
        <f>IFERROR(INDEX(plan!$E$4:$E$52,MATCH(Tabla_Registro_Tareas4[[#This Row],[Actividad]],plan!$C$4:$C$52,0)),"")</f>
        <v/>
      </c>
      <c r="F62" s="49" t="str">
        <f>IF(Tabla_Registro_Tareas4[[#This Row],[Actividad]]=Indice_Aux_Vacio,"",Indice_PROBLAM_Estudiante4)</f>
        <v/>
      </c>
      <c r="G62" s="7"/>
      <c r="H62" s="8"/>
      <c r="I62" s="9"/>
      <c r="K62" s="12" t="str" cm="1">
        <f t="array" ref="K62">IF($B62&lt;&gt;"",TRANSPOSE(_xlfn._xlws.FILTER(plan!$C$4:$C$52, ($B62 &gt;= (plan!$J$4:$J$52-Indice_Plan_ExtensionPlazo))*($B62 &lt;= (plan!$K$4:$K$52+Indice_Plan_ExtensionPlazo)), "")), "")</f>
        <v/>
      </c>
      <c r="BH62" s="4"/>
    </row>
    <row r="63" spans="2:60" x14ac:dyDescent="0.3">
      <c r="B63" s="6"/>
      <c r="C63" s="10"/>
      <c r="D63" s="48" t="str">
        <f>IF(Tabla_Registro_Tareas4[[#This Row],[Actividad]]=Indice_Aux_Vacio,"",IFERROR(INDEX(plan!$D$4:$D$52,MATCH(Tabla_Registro_Tareas4[[#This Row],[Actividad]],plan!$C$4:$C$52,0)),""))</f>
        <v/>
      </c>
      <c r="E63" s="48" t="str">
        <f>IFERROR(INDEX(plan!$E$4:$E$52,MATCH(Tabla_Registro_Tareas4[[#This Row],[Actividad]],plan!$C$4:$C$52,0)),"")</f>
        <v/>
      </c>
      <c r="F63" s="49" t="str">
        <f>IF(Tabla_Registro_Tareas4[[#This Row],[Actividad]]=Indice_Aux_Vacio,"",Indice_PROBLAM_Estudiante4)</f>
        <v/>
      </c>
      <c r="G63" s="7"/>
      <c r="H63" s="8"/>
      <c r="I63" s="9"/>
      <c r="K63" s="12" t="str" cm="1">
        <f t="array" ref="K63">IF($B63&lt;&gt;"",TRANSPOSE(_xlfn._xlws.FILTER(plan!$C$4:$C$52, ($B63 &gt;= (plan!$J$4:$J$52-Indice_Plan_ExtensionPlazo))*($B63 &lt;= (plan!$K$4:$K$52+Indice_Plan_ExtensionPlazo)), "")), "")</f>
        <v/>
      </c>
      <c r="BH63" s="4"/>
    </row>
    <row r="64" spans="2:60" x14ac:dyDescent="0.3">
      <c r="B64" s="6"/>
      <c r="C64" s="10"/>
      <c r="D64" s="48" t="str">
        <f>IF(Tabla_Registro_Tareas4[[#This Row],[Actividad]]=Indice_Aux_Vacio,"",IFERROR(INDEX(plan!$D$4:$D$52,MATCH(Tabla_Registro_Tareas4[[#This Row],[Actividad]],plan!$C$4:$C$52,0)),""))</f>
        <v/>
      </c>
      <c r="E64" s="48" t="str">
        <f>IFERROR(INDEX(plan!$E$4:$E$52,MATCH(Tabla_Registro_Tareas4[[#This Row],[Actividad]],plan!$C$4:$C$52,0)),"")</f>
        <v/>
      </c>
      <c r="F64" s="49" t="str">
        <f>IF(Tabla_Registro_Tareas4[[#This Row],[Actividad]]=Indice_Aux_Vacio,"",Indice_PROBLAM_Estudiante4)</f>
        <v/>
      </c>
      <c r="G64" s="7"/>
      <c r="H64" s="8"/>
      <c r="I64" s="9"/>
      <c r="K64" s="12" t="str" cm="1">
        <f t="array" ref="K64">IF($B64&lt;&gt;"",TRANSPOSE(_xlfn._xlws.FILTER(plan!$C$4:$C$52, ($B64 &gt;= (plan!$J$4:$J$52-Indice_Plan_ExtensionPlazo))*($B64 &lt;= (plan!$K$4:$K$52+Indice_Plan_ExtensionPlazo)), "")), "")</f>
        <v/>
      </c>
      <c r="BH64" s="4"/>
    </row>
    <row r="65" spans="2:60" x14ac:dyDescent="0.3">
      <c r="B65" s="6"/>
      <c r="C65" s="10"/>
      <c r="D65" s="48" t="str">
        <f>IF(Tabla_Registro_Tareas4[[#This Row],[Actividad]]=Indice_Aux_Vacio,"",IFERROR(INDEX(plan!$D$4:$D$52,MATCH(Tabla_Registro_Tareas4[[#This Row],[Actividad]],plan!$C$4:$C$52,0)),""))</f>
        <v/>
      </c>
      <c r="E65" s="48" t="str">
        <f>IFERROR(INDEX(plan!$E$4:$E$52,MATCH(Tabla_Registro_Tareas4[[#This Row],[Actividad]],plan!$C$4:$C$52,0)),"")</f>
        <v/>
      </c>
      <c r="F65" s="49" t="str">
        <f>IF(Tabla_Registro_Tareas4[[#This Row],[Actividad]]=Indice_Aux_Vacio,"",Indice_PROBLAM_Estudiante4)</f>
        <v/>
      </c>
      <c r="G65" s="7"/>
      <c r="H65" s="8"/>
      <c r="I65" s="9"/>
      <c r="K65" s="12" t="str" cm="1">
        <f t="array" ref="K65">IF($B65&lt;&gt;"",TRANSPOSE(_xlfn._xlws.FILTER(plan!$C$4:$C$52, ($B65 &gt;= (plan!$J$4:$J$52-Indice_Plan_ExtensionPlazo))*($B65 &lt;= (plan!$K$4:$K$52+Indice_Plan_ExtensionPlazo)), "")), "")</f>
        <v/>
      </c>
      <c r="BH65" s="4"/>
    </row>
    <row r="66" spans="2:60" x14ac:dyDescent="0.3">
      <c r="B66" s="6"/>
      <c r="C66" s="10"/>
      <c r="D66" s="48" t="str">
        <f>IF(Tabla_Registro_Tareas4[[#This Row],[Actividad]]=Indice_Aux_Vacio,"",IFERROR(INDEX(plan!$D$4:$D$52,MATCH(Tabla_Registro_Tareas4[[#This Row],[Actividad]],plan!$C$4:$C$52,0)),""))</f>
        <v/>
      </c>
      <c r="E66" s="48" t="str">
        <f>IFERROR(INDEX(plan!$E$4:$E$52,MATCH(Tabla_Registro_Tareas4[[#This Row],[Actividad]],plan!$C$4:$C$52,0)),"")</f>
        <v/>
      </c>
      <c r="F66" s="49" t="str">
        <f>IF(Tabla_Registro_Tareas4[[#This Row],[Actividad]]=Indice_Aux_Vacio,"",Indice_PROBLAM_Estudiante4)</f>
        <v/>
      </c>
      <c r="G66" s="7"/>
      <c r="H66" s="8"/>
      <c r="I66" s="9"/>
      <c r="K66" s="12" t="str" cm="1">
        <f t="array" ref="K66">IF($B66&lt;&gt;"",TRANSPOSE(_xlfn._xlws.FILTER(plan!$C$4:$C$52, ($B66 &gt;= (plan!$J$4:$J$52-Indice_Plan_ExtensionPlazo))*($B66 &lt;= (plan!$K$4:$K$52+Indice_Plan_ExtensionPlazo)), "")), "")</f>
        <v/>
      </c>
      <c r="BH66" s="4"/>
    </row>
    <row r="67" spans="2:60" x14ac:dyDescent="0.3">
      <c r="B67" s="6"/>
      <c r="C67" s="10"/>
      <c r="D67" s="48" t="str">
        <f>IF(Tabla_Registro_Tareas4[[#This Row],[Actividad]]=Indice_Aux_Vacio,"",IFERROR(INDEX(plan!$D$4:$D$52,MATCH(Tabla_Registro_Tareas4[[#This Row],[Actividad]],plan!$C$4:$C$52,0)),""))</f>
        <v/>
      </c>
      <c r="E67" s="48" t="str">
        <f>IFERROR(INDEX(plan!$E$4:$E$52,MATCH(Tabla_Registro_Tareas4[[#This Row],[Actividad]],plan!$C$4:$C$52,0)),"")</f>
        <v/>
      </c>
      <c r="F67" s="49" t="str">
        <f>IF(Tabla_Registro_Tareas4[[#This Row],[Actividad]]=Indice_Aux_Vacio,"",Indice_PROBLAM_Estudiante4)</f>
        <v/>
      </c>
      <c r="G67" s="7"/>
      <c r="H67" s="8"/>
      <c r="I67" s="9"/>
      <c r="K67" s="12" t="str" cm="1">
        <f t="array" ref="K67">IF($B67&lt;&gt;"",TRANSPOSE(_xlfn._xlws.FILTER(plan!$C$4:$C$52, ($B67 &gt;= (plan!$J$4:$J$52-Indice_Plan_ExtensionPlazo))*($B67 &lt;= (plan!$K$4:$K$52+Indice_Plan_ExtensionPlazo)), "")), "")</f>
        <v/>
      </c>
      <c r="BH67" s="4"/>
    </row>
    <row r="68" spans="2:60" x14ac:dyDescent="0.3">
      <c r="B68" s="6"/>
      <c r="C68" s="10"/>
      <c r="D68" s="48" t="str">
        <f>IF(Tabla_Registro_Tareas4[[#This Row],[Actividad]]=Indice_Aux_Vacio,"",IFERROR(INDEX(plan!$D$4:$D$52,MATCH(Tabla_Registro_Tareas4[[#This Row],[Actividad]],plan!$C$4:$C$52,0)),""))</f>
        <v/>
      </c>
      <c r="E68" s="48" t="str">
        <f>IFERROR(INDEX(plan!$E$4:$E$52,MATCH(Tabla_Registro_Tareas4[[#This Row],[Actividad]],plan!$C$4:$C$52,0)),"")</f>
        <v/>
      </c>
      <c r="F68" s="49" t="str">
        <f>IF(Tabla_Registro_Tareas4[[#This Row],[Actividad]]=Indice_Aux_Vacio,"",Indice_PROBLAM_Estudiante4)</f>
        <v/>
      </c>
      <c r="G68" s="7"/>
      <c r="H68" s="8"/>
      <c r="I68" s="9"/>
      <c r="K68" s="12" t="str" cm="1">
        <f t="array" ref="K68">IF($B68&lt;&gt;"",TRANSPOSE(_xlfn._xlws.FILTER(plan!$C$4:$C$52, ($B68 &gt;= (plan!$J$4:$J$52-Indice_Plan_ExtensionPlazo))*($B68 &lt;= (plan!$K$4:$K$52+Indice_Plan_ExtensionPlazo)), "")), "")</f>
        <v/>
      </c>
      <c r="BH68" s="4"/>
    </row>
    <row r="69" spans="2:60" x14ac:dyDescent="0.3">
      <c r="B69" s="6"/>
      <c r="C69" s="10"/>
      <c r="D69" s="48" t="str">
        <f>IF(Tabla_Registro_Tareas4[[#This Row],[Actividad]]=Indice_Aux_Vacio,"",IFERROR(INDEX(plan!$D$4:$D$52,MATCH(Tabla_Registro_Tareas4[[#This Row],[Actividad]],plan!$C$4:$C$52,0)),""))</f>
        <v/>
      </c>
      <c r="E69" s="48" t="str">
        <f>IFERROR(INDEX(plan!$E$4:$E$52,MATCH(Tabla_Registro_Tareas4[[#This Row],[Actividad]],plan!$C$4:$C$52,0)),"")</f>
        <v/>
      </c>
      <c r="F69" s="49" t="str">
        <f>IF(Tabla_Registro_Tareas4[[#This Row],[Actividad]]=Indice_Aux_Vacio,"",Indice_PROBLAM_Estudiante4)</f>
        <v/>
      </c>
      <c r="G69" s="7"/>
      <c r="H69" s="8"/>
      <c r="I69" s="9"/>
      <c r="K69" s="12" t="str" cm="1">
        <f t="array" ref="K69">IF($B69&lt;&gt;"",TRANSPOSE(_xlfn._xlws.FILTER(plan!$C$4:$C$52, ($B69 &gt;= (plan!$J$4:$J$52-Indice_Plan_ExtensionPlazo))*($B69 &lt;= (plan!$K$4:$K$52+Indice_Plan_ExtensionPlazo)), "")), "")</f>
        <v/>
      </c>
      <c r="BH69" s="4"/>
    </row>
    <row r="70" spans="2:60" x14ac:dyDescent="0.3">
      <c r="B70" s="6"/>
      <c r="C70" s="10"/>
      <c r="D70" s="48" t="str">
        <f>IF(Tabla_Registro_Tareas4[[#This Row],[Actividad]]=Indice_Aux_Vacio,"",IFERROR(INDEX(plan!$D$4:$D$52,MATCH(Tabla_Registro_Tareas4[[#This Row],[Actividad]],plan!$C$4:$C$52,0)),""))</f>
        <v/>
      </c>
      <c r="E70" s="48" t="str">
        <f>IFERROR(INDEX(plan!$E$4:$E$52,MATCH(Tabla_Registro_Tareas4[[#This Row],[Actividad]],plan!$C$4:$C$52,0)),"")</f>
        <v/>
      </c>
      <c r="F70" s="49" t="str">
        <f>IF(Tabla_Registro_Tareas4[[#This Row],[Actividad]]=Indice_Aux_Vacio,"",Indice_PROBLAM_Estudiante4)</f>
        <v/>
      </c>
      <c r="G70" s="7"/>
      <c r="H70" s="8"/>
      <c r="I70" s="9"/>
      <c r="K70" s="12" t="str" cm="1">
        <f t="array" ref="K70">IF($B70&lt;&gt;"",TRANSPOSE(_xlfn._xlws.FILTER(plan!$C$4:$C$52, ($B70 &gt;= (plan!$J$4:$J$52-Indice_Plan_ExtensionPlazo))*($B70 &lt;= (plan!$K$4:$K$52+Indice_Plan_ExtensionPlazo)), "")), "")</f>
        <v/>
      </c>
      <c r="BH70" s="4"/>
    </row>
    <row r="71" spans="2:60" x14ac:dyDescent="0.3">
      <c r="B71" s="6"/>
      <c r="C71" s="10"/>
      <c r="D71" s="48" t="str">
        <f>IF(Tabla_Registro_Tareas4[[#This Row],[Actividad]]=Indice_Aux_Vacio,"",IFERROR(INDEX(plan!$D$4:$D$52,MATCH(Tabla_Registro_Tareas4[[#This Row],[Actividad]],plan!$C$4:$C$52,0)),""))</f>
        <v/>
      </c>
      <c r="E71" s="48" t="str">
        <f>IFERROR(INDEX(plan!$E$4:$E$52,MATCH(Tabla_Registro_Tareas4[[#This Row],[Actividad]],plan!$C$4:$C$52,0)),"")</f>
        <v/>
      </c>
      <c r="F71" s="49" t="str">
        <f>IF(Tabla_Registro_Tareas4[[#This Row],[Actividad]]=Indice_Aux_Vacio,"",Indice_PROBLAM_Estudiante4)</f>
        <v/>
      </c>
      <c r="G71" s="7"/>
      <c r="H71" s="8"/>
      <c r="I71" s="9"/>
      <c r="K71" s="12" t="str" cm="1">
        <f t="array" ref="K71">IF($B71&lt;&gt;"",TRANSPOSE(_xlfn._xlws.FILTER(plan!$C$4:$C$52, ($B71 &gt;= (plan!$J$4:$J$52-Indice_Plan_ExtensionPlazo))*($B71 &lt;= (plan!$K$4:$K$52+Indice_Plan_ExtensionPlazo)), "")), "")</f>
        <v/>
      </c>
      <c r="BH71" s="4"/>
    </row>
    <row r="72" spans="2:60" x14ac:dyDescent="0.3">
      <c r="B72" s="6"/>
      <c r="C72" s="10"/>
      <c r="D72" s="48" t="str">
        <f>IF(Tabla_Registro_Tareas4[[#This Row],[Actividad]]=Indice_Aux_Vacio,"",IFERROR(INDEX(plan!$D$4:$D$52,MATCH(Tabla_Registro_Tareas4[[#This Row],[Actividad]],plan!$C$4:$C$52,0)),""))</f>
        <v/>
      </c>
      <c r="E72" s="48" t="str">
        <f>IFERROR(INDEX(plan!$E$4:$E$52,MATCH(Tabla_Registro_Tareas4[[#This Row],[Actividad]],plan!$C$4:$C$52,0)),"")</f>
        <v/>
      </c>
      <c r="F72" s="49" t="str">
        <f>IF(Tabla_Registro_Tareas4[[#This Row],[Actividad]]=Indice_Aux_Vacio,"",Indice_PROBLAM_Estudiante4)</f>
        <v/>
      </c>
      <c r="G72" s="7"/>
      <c r="H72" s="8"/>
      <c r="I72" s="9"/>
      <c r="K72" s="12" t="str" cm="1">
        <f t="array" ref="K72">IF($B72&lt;&gt;"",TRANSPOSE(_xlfn._xlws.FILTER(plan!$C$4:$C$52, ($B72 &gt;= (plan!$J$4:$J$52-Indice_Plan_ExtensionPlazo))*($B72 &lt;= (plan!$K$4:$K$52+Indice_Plan_ExtensionPlazo)), "")), "")</f>
        <v/>
      </c>
      <c r="BH72" s="4"/>
    </row>
    <row r="73" spans="2:60" x14ac:dyDescent="0.3">
      <c r="B73" s="6"/>
      <c r="C73" s="10"/>
      <c r="D73" s="48" t="str">
        <f>IF(Tabla_Registro_Tareas4[[#This Row],[Actividad]]=Indice_Aux_Vacio,"",IFERROR(INDEX(plan!$D$4:$D$52,MATCH(Tabla_Registro_Tareas4[[#This Row],[Actividad]],plan!$C$4:$C$52,0)),""))</f>
        <v/>
      </c>
      <c r="E73" s="48" t="str">
        <f>IFERROR(INDEX(plan!$E$4:$E$52,MATCH(Tabla_Registro_Tareas4[[#This Row],[Actividad]],plan!$C$4:$C$52,0)),"")</f>
        <v/>
      </c>
      <c r="F73" s="49" t="str">
        <f>IF(Tabla_Registro_Tareas4[[#This Row],[Actividad]]=Indice_Aux_Vacio,"",Indice_PROBLAM_Estudiante4)</f>
        <v/>
      </c>
      <c r="G73" s="7"/>
      <c r="H73" s="8"/>
      <c r="I73" s="9"/>
      <c r="K73" s="12" t="str" cm="1">
        <f t="array" ref="K73">IF($B73&lt;&gt;"",TRANSPOSE(_xlfn._xlws.FILTER(plan!$C$4:$C$52, ($B73 &gt;= (plan!$J$4:$J$52-Indice_Plan_ExtensionPlazo))*($B73 &lt;= (plan!$K$4:$K$52+Indice_Plan_ExtensionPlazo)), "")), "")</f>
        <v/>
      </c>
      <c r="BH73" s="4"/>
    </row>
    <row r="74" spans="2:60" x14ac:dyDescent="0.3">
      <c r="B74" s="6"/>
      <c r="C74" s="10"/>
      <c r="D74" s="48" t="str">
        <f>IF(Tabla_Registro_Tareas4[[#This Row],[Actividad]]=Indice_Aux_Vacio,"",IFERROR(INDEX(plan!$D$4:$D$52,MATCH(Tabla_Registro_Tareas4[[#This Row],[Actividad]],plan!$C$4:$C$52,0)),""))</f>
        <v/>
      </c>
      <c r="E74" s="48" t="str">
        <f>IFERROR(INDEX(plan!$E$4:$E$52,MATCH(Tabla_Registro_Tareas4[[#This Row],[Actividad]],plan!$C$4:$C$52,0)),"")</f>
        <v/>
      </c>
      <c r="F74" s="49" t="str">
        <f>IF(Tabla_Registro_Tareas4[[#This Row],[Actividad]]=Indice_Aux_Vacio,"",Indice_PROBLAM_Estudiante4)</f>
        <v/>
      </c>
      <c r="G74" s="7"/>
      <c r="H74" s="8"/>
      <c r="I74" s="9"/>
      <c r="K74" s="12" t="str" cm="1">
        <f t="array" ref="K74">IF($B74&lt;&gt;"",TRANSPOSE(_xlfn._xlws.FILTER(plan!$C$4:$C$52, ($B74 &gt;= (plan!$J$4:$J$52-Indice_Plan_ExtensionPlazo))*($B74 &lt;= (plan!$K$4:$K$52+Indice_Plan_ExtensionPlazo)), "")), "")</f>
        <v/>
      </c>
      <c r="BH74" s="4"/>
    </row>
    <row r="75" spans="2:60" x14ac:dyDescent="0.3">
      <c r="B75" s="6"/>
      <c r="C75" s="10"/>
      <c r="D75" s="48" t="str">
        <f>IF(Tabla_Registro_Tareas4[[#This Row],[Actividad]]=Indice_Aux_Vacio,"",IFERROR(INDEX(plan!$D$4:$D$52,MATCH(Tabla_Registro_Tareas4[[#This Row],[Actividad]],plan!$C$4:$C$52,0)),""))</f>
        <v/>
      </c>
      <c r="E75" s="48" t="str">
        <f>IFERROR(INDEX(plan!$E$4:$E$52,MATCH(Tabla_Registro_Tareas4[[#This Row],[Actividad]],plan!$C$4:$C$52,0)),"")</f>
        <v/>
      </c>
      <c r="F75" s="49" t="str">
        <f>IF(Tabla_Registro_Tareas4[[#This Row],[Actividad]]=Indice_Aux_Vacio,"",Indice_PROBLAM_Estudiante4)</f>
        <v/>
      </c>
      <c r="G75" s="7"/>
      <c r="H75" s="8"/>
      <c r="I75" s="9"/>
      <c r="K75" s="12" t="str" cm="1">
        <f t="array" ref="K75">IF($B75&lt;&gt;"",TRANSPOSE(_xlfn._xlws.FILTER(plan!$C$4:$C$52, ($B75 &gt;= (plan!$J$4:$J$52-Indice_Plan_ExtensionPlazo))*($B75 &lt;= (plan!$K$4:$K$52+Indice_Plan_ExtensionPlazo)), "")), "")</f>
        <v/>
      </c>
      <c r="BH75" s="4"/>
    </row>
    <row r="76" spans="2:60" x14ac:dyDescent="0.3">
      <c r="B76" s="6"/>
      <c r="C76" s="10"/>
      <c r="D76" s="48" t="str">
        <f>IF(Tabla_Registro_Tareas4[[#This Row],[Actividad]]=Indice_Aux_Vacio,"",IFERROR(INDEX(plan!$D$4:$D$52,MATCH(Tabla_Registro_Tareas4[[#This Row],[Actividad]],plan!$C$4:$C$52,0)),""))</f>
        <v/>
      </c>
      <c r="E76" s="48" t="str">
        <f>IFERROR(INDEX(plan!$E$4:$E$52,MATCH(Tabla_Registro_Tareas4[[#This Row],[Actividad]],plan!$C$4:$C$52,0)),"")</f>
        <v/>
      </c>
      <c r="F76" s="49" t="str">
        <f>IF(Tabla_Registro_Tareas4[[#This Row],[Actividad]]=Indice_Aux_Vacio,"",Indice_PROBLAM_Estudiante4)</f>
        <v/>
      </c>
      <c r="G76" s="7"/>
      <c r="H76" s="8"/>
      <c r="I76" s="9"/>
      <c r="K76" s="12" t="str" cm="1">
        <f t="array" ref="K76">IF($B76&lt;&gt;"",TRANSPOSE(_xlfn._xlws.FILTER(plan!$C$4:$C$52, ($B76 &gt;= (plan!$J$4:$J$52-Indice_Plan_ExtensionPlazo))*($B76 &lt;= (plan!$K$4:$K$52+Indice_Plan_ExtensionPlazo)), "")), "")</f>
        <v/>
      </c>
      <c r="BH76" s="4"/>
    </row>
    <row r="77" spans="2:60" x14ac:dyDescent="0.3">
      <c r="B77" s="6"/>
      <c r="C77" s="10"/>
      <c r="D77" s="48" t="str">
        <f>IF(Tabla_Registro_Tareas4[[#This Row],[Actividad]]=Indice_Aux_Vacio,"",IFERROR(INDEX(plan!$D$4:$D$52,MATCH(Tabla_Registro_Tareas4[[#This Row],[Actividad]],plan!$C$4:$C$52,0)),""))</f>
        <v/>
      </c>
      <c r="E77" s="48" t="str">
        <f>IFERROR(INDEX(plan!$E$4:$E$52,MATCH(Tabla_Registro_Tareas4[[#This Row],[Actividad]],plan!$C$4:$C$52,0)),"")</f>
        <v/>
      </c>
      <c r="F77" s="49" t="str">
        <f>IF(Tabla_Registro_Tareas4[[#This Row],[Actividad]]=Indice_Aux_Vacio,"",Indice_PROBLAM_Estudiante4)</f>
        <v/>
      </c>
      <c r="G77" s="7"/>
      <c r="H77" s="8"/>
      <c r="I77" s="9"/>
      <c r="K77" s="12" t="str" cm="1">
        <f t="array" ref="K77">IF($B77&lt;&gt;"",TRANSPOSE(_xlfn._xlws.FILTER(plan!$C$4:$C$52, ($B77 &gt;= (plan!$J$4:$J$52-Indice_Plan_ExtensionPlazo))*($B77 &lt;= (plan!$K$4:$K$52+Indice_Plan_ExtensionPlazo)), "")), "")</f>
        <v/>
      </c>
      <c r="BH77" s="4"/>
    </row>
    <row r="78" spans="2:60" x14ac:dyDescent="0.3">
      <c r="B78" s="6"/>
      <c r="C78" s="10"/>
      <c r="D78" s="48" t="str">
        <f>IF(Tabla_Registro_Tareas4[[#This Row],[Actividad]]=Indice_Aux_Vacio,"",IFERROR(INDEX(plan!$D$4:$D$52,MATCH(Tabla_Registro_Tareas4[[#This Row],[Actividad]],plan!$C$4:$C$52,0)),""))</f>
        <v/>
      </c>
      <c r="E78" s="48" t="str">
        <f>IFERROR(INDEX(plan!$E$4:$E$52,MATCH(Tabla_Registro_Tareas4[[#This Row],[Actividad]],plan!$C$4:$C$52,0)),"")</f>
        <v/>
      </c>
      <c r="F78" s="49" t="str">
        <f>IF(Tabla_Registro_Tareas4[[#This Row],[Actividad]]=Indice_Aux_Vacio,"",Indice_PROBLAM_Estudiante4)</f>
        <v/>
      </c>
      <c r="G78" s="7"/>
      <c r="H78" s="8"/>
      <c r="I78" s="9"/>
      <c r="K78" s="12" t="str" cm="1">
        <f t="array" ref="K78">IF($B78&lt;&gt;"",TRANSPOSE(_xlfn._xlws.FILTER(plan!$C$4:$C$52, ($B78 &gt;= (plan!$J$4:$J$52-Indice_Plan_ExtensionPlazo))*($B78 &lt;= (plan!$K$4:$K$52+Indice_Plan_ExtensionPlazo)), "")), "")</f>
        <v/>
      </c>
      <c r="BH78" s="4"/>
    </row>
    <row r="79" spans="2:60" x14ac:dyDescent="0.3">
      <c r="B79" s="6"/>
      <c r="C79" s="10"/>
      <c r="D79" s="48" t="str">
        <f>IF(Tabla_Registro_Tareas4[[#This Row],[Actividad]]=Indice_Aux_Vacio,"",IFERROR(INDEX(plan!$D$4:$D$52,MATCH(Tabla_Registro_Tareas4[[#This Row],[Actividad]],plan!$C$4:$C$52,0)),""))</f>
        <v/>
      </c>
      <c r="E79" s="48" t="str">
        <f>IFERROR(INDEX(plan!$E$4:$E$52,MATCH(Tabla_Registro_Tareas4[[#This Row],[Actividad]],plan!$C$4:$C$52,0)),"")</f>
        <v/>
      </c>
      <c r="F79" s="49" t="str">
        <f>IF(Tabla_Registro_Tareas4[[#This Row],[Actividad]]=Indice_Aux_Vacio,"",Indice_PROBLAM_Estudiante4)</f>
        <v/>
      </c>
      <c r="G79" s="7"/>
      <c r="H79" s="8"/>
      <c r="I79" s="9"/>
      <c r="K79" s="12" t="str" cm="1">
        <f t="array" ref="K79">IF($B79&lt;&gt;"",TRANSPOSE(_xlfn._xlws.FILTER(plan!$C$4:$C$52, ($B79 &gt;= (plan!$J$4:$J$52-Indice_Plan_ExtensionPlazo))*($B79 &lt;= (plan!$K$4:$K$52+Indice_Plan_ExtensionPlazo)), "")), "")</f>
        <v/>
      </c>
      <c r="BH79" s="4"/>
    </row>
    <row r="80" spans="2:60" x14ac:dyDescent="0.3">
      <c r="B80" s="6"/>
      <c r="C80" s="10"/>
      <c r="D80" s="48" t="str">
        <f>IF(Tabla_Registro_Tareas4[[#This Row],[Actividad]]=Indice_Aux_Vacio,"",IFERROR(INDEX(plan!$D$4:$D$52,MATCH(Tabla_Registro_Tareas4[[#This Row],[Actividad]],plan!$C$4:$C$52,0)),""))</f>
        <v/>
      </c>
      <c r="E80" s="48" t="str">
        <f>IFERROR(INDEX(plan!$E$4:$E$52,MATCH(Tabla_Registro_Tareas4[[#This Row],[Actividad]],plan!$C$4:$C$52,0)),"")</f>
        <v/>
      </c>
      <c r="F80" s="49" t="str">
        <f>IF(Tabla_Registro_Tareas4[[#This Row],[Actividad]]=Indice_Aux_Vacio,"",Indice_PROBLAM_Estudiante4)</f>
        <v/>
      </c>
      <c r="G80" s="7"/>
      <c r="H80" s="8"/>
      <c r="I80" s="9"/>
      <c r="K80" s="12" t="str" cm="1">
        <f t="array" ref="K80">IF($B80&lt;&gt;"",TRANSPOSE(_xlfn._xlws.FILTER(plan!$C$4:$C$52, ($B80 &gt;= (plan!$J$4:$J$52-Indice_Plan_ExtensionPlazo))*($B80 &lt;= (plan!$K$4:$K$52+Indice_Plan_ExtensionPlazo)), "")), "")</f>
        <v/>
      </c>
      <c r="BH80" s="4"/>
    </row>
    <row r="81" spans="2:60" x14ac:dyDescent="0.3">
      <c r="B81" s="6"/>
      <c r="C81" s="10"/>
      <c r="D81" s="48" t="str">
        <f>IF(Tabla_Registro_Tareas4[[#This Row],[Actividad]]=Indice_Aux_Vacio,"",IFERROR(INDEX(plan!$D$4:$D$52,MATCH(Tabla_Registro_Tareas4[[#This Row],[Actividad]],plan!$C$4:$C$52,0)),""))</f>
        <v/>
      </c>
      <c r="E81" s="48" t="str">
        <f>IFERROR(INDEX(plan!$E$4:$E$52,MATCH(Tabla_Registro_Tareas4[[#This Row],[Actividad]],plan!$C$4:$C$52,0)),"")</f>
        <v/>
      </c>
      <c r="F81" s="49" t="str">
        <f>IF(Tabla_Registro_Tareas4[[#This Row],[Actividad]]=Indice_Aux_Vacio,"",Indice_PROBLAM_Estudiante4)</f>
        <v/>
      </c>
      <c r="G81" s="7"/>
      <c r="H81" s="8"/>
      <c r="I81" s="9"/>
      <c r="K81" s="12" t="str" cm="1">
        <f t="array" ref="K81">IF($B81&lt;&gt;"",TRANSPOSE(_xlfn._xlws.FILTER(plan!$C$4:$C$52, ($B81 &gt;= (plan!$J$4:$J$52-Indice_Plan_ExtensionPlazo))*($B81 &lt;= (plan!$K$4:$K$52+Indice_Plan_ExtensionPlazo)), "")), "")</f>
        <v/>
      </c>
      <c r="BH81" s="4"/>
    </row>
    <row r="82" spans="2:60" x14ac:dyDescent="0.3">
      <c r="B82" s="6"/>
      <c r="C82" s="10"/>
      <c r="D82" s="48" t="str">
        <f>IF(Tabla_Registro_Tareas4[[#This Row],[Actividad]]=Indice_Aux_Vacio,"",IFERROR(INDEX(plan!$D$4:$D$52,MATCH(Tabla_Registro_Tareas4[[#This Row],[Actividad]],plan!$C$4:$C$52,0)),""))</f>
        <v/>
      </c>
      <c r="E82" s="48" t="str">
        <f>IFERROR(INDEX(plan!$E$4:$E$52,MATCH(Tabla_Registro_Tareas4[[#This Row],[Actividad]],plan!$C$4:$C$52,0)),"")</f>
        <v/>
      </c>
      <c r="F82" s="49" t="str">
        <f>IF(Tabla_Registro_Tareas4[[#This Row],[Actividad]]=Indice_Aux_Vacio,"",Indice_PROBLAM_Estudiante4)</f>
        <v/>
      </c>
      <c r="G82" s="7"/>
      <c r="H82" s="8"/>
      <c r="I82" s="9"/>
      <c r="K82" s="12" t="str" cm="1">
        <f t="array" ref="K82">IF($B82&lt;&gt;"",TRANSPOSE(_xlfn._xlws.FILTER(plan!$C$4:$C$52, ($B82 &gt;= (plan!$J$4:$J$52-Indice_Plan_ExtensionPlazo))*($B82 &lt;= (plan!$K$4:$K$52+Indice_Plan_ExtensionPlazo)), "")), "")</f>
        <v/>
      </c>
      <c r="BH82" s="4"/>
    </row>
    <row r="83" spans="2:60" x14ac:dyDescent="0.3">
      <c r="B83" s="6"/>
      <c r="C83" s="10"/>
      <c r="D83" s="48" t="str">
        <f>IF(Tabla_Registro_Tareas4[[#This Row],[Actividad]]=Indice_Aux_Vacio,"",IFERROR(INDEX(plan!$D$4:$D$52,MATCH(Tabla_Registro_Tareas4[[#This Row],[Actividad]],plan!$C$4:$C$52,0)),""))</f>
        <v/>
      </c>
      <c r="E83" s="48" t="str">
        <f>IFERROR(INDEX(plan!$E$4:$E$52,MATCH(Tabla_Registro_Tareas4[[#This Row],[Actividad]],plan!$C$4:$C$52,0)),"")</f>
        <v/>
      </c>
      <c r="F83" s="49" t="str">
        <f>IF(Tabla_Registro_Tareas4[[#This Row],[Actividad]]=Indice_Aux_Vacio,"",Indice_PROBLAM_Estudiante4)</f>
        <v/>
      </c>
      <c r="G83" s="7"/>
      <c r="H83" s="8"/>
      <c r="I83" s="9"/>
      <c r="K83" s="12" t="str" cm="1">
        <f t="array" ref="K83">IF($B83&lt;&gt;"",TRANSPOSE(_xlfn._xlws.FILTER(plan!$C$4:$C$52, ($B83 &gt;= (plan!$J$4:$J$52-Indice_Plan_ExtensionPlazo))*($B83 &lt;= (plan!$K$4:$K$52+Indice_Plan_ExtensionPlazo)), "")), "")</f>
        <v/>
      </c>
      <c r="BH83" s="4"/>
    </row>
    <row r="84" spans="2:60" x14ac:dyDescent="0.3">
      <c r="B84" s="6"/>
      <c r="C84" s="10"/>
      <c r="D84" s="48" t="str">
        <f>IF(Tabla_Registro_Tareas4[[#This Row],[Actividad]]=Indice_Aux_Vacio,"",IFERROR(INDEX(plan!$D$4:$D$52,MATCH(Tabla_Registro_Tareas4[[#This Row],[Actividad]],plan!$C$4:$C$52,0)),""))</f>
        <v/>
      </c>
      <c r="E84" s="48" t="str">
        <f>IFERROR(INDEX(plan!$E$4:$E$52,MATCH(Tabla_Registro_Tareas4[[#This Row],[Actividad]],plan!$C$4:$C$52,0)),"")</f>
        <v/>
      </c>
      <c r="F84" s="49" t="str">
        <f>IF(Tabla_Registro_Tareas4[[#This Row],[Actividad]]=Indice_Aux_Vacio,"",Indice_PROBLAM_Estudiante4)</f>
        <v/>
      </c>
      <c r="G84" s="7"/>
      <c r="H84" s="8"/>
      <c r="I84" s="9"/>
      <c r="K84" s="12" t="str" cm="1">
        <f t="array" ref="K84">IF($B84&lt;&gt;"",TRANSPOSE(_xlfn._xlws.FILTER(plan!$C$4:$C$52, ($B84 &gt;= (plan!$J$4:$J$52-Indice_Plan_ExtensionPlazo))*($B84 &lt;= (plan!$K$4:$K$52+Indice_Plan_ExtensionPlazo)), "")), "")</f>
        <v/>
      </c>
      <c r="BH84" s="4"/>
    </row>
    <row r="85" spans="2:60" x14ac:dyDescent="0.3">
      <c r="B85" s="6"/>
      <c r="C85" s="10"/>
      <c r="D85" s="48" t="str">
        <f>IF(Tabla_Registro_Tareas4[[#This Row],[Actividad]]=Indice_Aux_Vacio,"",IFERROR(INDEX(plan!$D$4:$D$52,MATCH(Tabla_Registro_Tareas4[[#This Row],[Actividad]],plan!$C$4:$C$52,0)),""))</f>
        <v/>
      </c>
      <c r="E85" s="48" t="str">
        <f>IFERROR(INDEX(plan!$E$4:$E$52,MATCH(Tabla_Registro_Tareas4[[#This Row],[Actividad]],plan!$C$4:$C$52,0)),"")</f>
        <v/>
      </c>
      <c r="F85" s="49" t="str">
        <f>IF(Tabla_Registro_Tareas4[[#This Row],[Actividad]]=Indice_Aux_Vacio,"",Indice_PROBLAM_Estudiante4)</f>
        <v/>
      </c>
      <c r="G85" s="7"/>
      <c r="H85" s="8"/>
      <c r="I85" s="9"/>
      <c r="K85" s="12" t="str" cm="1">
        <f t="array" ref="K85">IF($B85&lt;&gt;"",TRANSPOSE(_xlfn._xlws.FILTER(plan!$C$4:$C$52, ($B85 &gt;= (plan!$J$4:$J$52-Indice_Plan_ExtensionPlazo))*($B85 &lt;= (plan!$K$4:$K$52+Indice_Plan_ExtensionPlazo)), "")), "")</f>
        <v/>
      </c>
      <c r="BH85" s="4"/>
    </row>
    <row r="86" spans="2:60" x14ac:dyDescent="0.3">
      <c r="B86" s="6"/>
      <c r="C86" s="10"/>
      <c r="D86" s="48" t="str">
        <f>IF(Tabla_Registro_Tareas4[[#This Row],[Actividad]]=Indice_Aux_Vacio,"",IFERROR(INDEX(plan!$D$4:$D$52,MATCH(Tabla_Registro_Tareas4[[#This Row],[Actividad]],plan!$C$4:$C$52,0)),""))</f>
        <v/>
      </c>
      <c r="E86" s="48" t="str">
        <f>IFERROR(INDEX(plan!$E$4:$E$52,MATCH(Tabla_Registro_Tareas4[[#This Row],[Actividad]],plan!$C$4:$C$52,0)),"")</f>
        <v/>
      </c>
      <c r="F86" s="49" t="str">
        <f>IF(Tabla_Registro_Tareas4[[#This Row],[Actividad]]=Indice_Aux_Vacio,"",Indice_PROBLAM_Estudiante4)</f>
        <v/>
      </c>
      <c r="G86" s="7"/>
      <c r="H86" s="8"/>
      <c r="I86" s="9"/>
      <c r="K86" s="12" t="str" cm="1">
        <f t="array" ref="K86">IF($B86&lt;&gt;"",TRANSPOSE(_xlfn._xlws.FILTER(plan!$C$4:$C$52, ($B86 &gt;= (plan!$J$4:$J$52-Indice_Plan_ExtensionPlazo))*($B86 &lt;= (plan!$K$4:$K$52+Indice_Plan_ExtensionPlazo)), "")), "")</f>
        <v/>
      </c>
      <c r="BH86" s="4"/>
    </row>
    <row r="87" spans="2:60" x14ac:dyDescent="0.3">
      <c r="B87" s="6"/>
      <c r="C87" s="10"/>
      <c r="D87" s="48" t="str">
        <f>IF(Tabla_Registro_Tareas4[[#This Row],[Actividad]]=Indice_Aux_Vacio,"",IFERROR(INDEX(plan!$D$4:$D$52,MATCH(Tabla_Registro_Tareas4[[#This Row],[Actividad]],plan!$C$4:$C$52,0)),""))</f>
        <v/>
      </c>
      <c r="E87" s="48" t="str">
        <f>IFERROR(INDEX(plan!$E$4:$E$52,MATCH(Tabla_Registro_Tareas4[[#This Row],[Actividad]],plan!$C$4:$C$52,0)),"")</f>
        <v/>
      </c>
      <c r="F87" s="49" t="str">
        <f>IF(Tabla_Registro_Tareas4[[#This Row],[Actividad]]=Indice_Aux_Vacio,"",Indice_PROBLAM_Estudiante4)</f>
        <v/>
      </c>
      <c r="G87" s="7"/>
      <c r="H87" s="8"/>
      <c r="I87" s="9"/>
      <c r="K87" s="12" t="str" cm="1">
        <f t="array" ref="K87">IF($B87&lt;&gt;"",TRANSPOSE(_xlfn._xlws.FILTER(plan!$C$4:$C$52, ($B87 &gt;= (plan!$J$4:$J$52-Indice_Plan_ExtensionPlazo))*($B87 &lt;= (plan!$K$4:$K$52+Indice_Plan_ExtensionPlazo)), "")), "")</f>
        <v/>
      </c>
      <c r="BH87" s="4"/>
    </row>
    <row r="88" spans="2:60" x14ac:dyDescent="0.3">
      <c r="B88" s="6"/>
      <c r="C88" s="10"/>
      <c r="D88" s="48" t="str">
        <f>IF(Tabla_Registro_Tareas4[[#This Row],[Actividad]]=Indice_Aux_Vacio,"",IFERROR(INDEX(plan!$D$4:$D$52,MATCH(Tabla_Registro_Tareas4[[#This Row],[Actividad]],plan!$C$4:$C$52,0)),""))</f>
        <v/>
      </c>
      <c r="E88" s="48" t="str">
        <f>IFERROR(INDEX(plan!$E$4:$E$52,MATCH(Tabla_Registro_Tareas4[[#This Row],[Actividad]],plan!$C$4:$C$52,0)),"")</f>
        <v/>
      </c>
      <c r="F88" s="49" t="str">
        <f>IF(Tabla_Registro_Tareas4[[#This Row],[Actividad]]=Indice_Aux_Vacio,"",Indice_PROBLAM_Estudiante4)</f>
        <v/>
      </c>
      <c r="G88" s="7"/>
      <c r="H88" s="8"/>
      <c r="I88" s="9"/>
      <c r="K88" s="12" t="str" cm="1">
        <f t="array" ref="K88">IF($B88&lt;&gt;"",TRANSPOSE(_xlfn._xlws.FILTER(plan!$C$4:$C$52, ($B88 &gt;= (plan!$J$4:$J$52-Indice_Plan_ExtensionPlazo))*($B88 &lt;= (plan!$K$4:$K$52+Indice_Plan_ExtensionPlazo)), "")), "")</f>
        <v/>
      </c>
      <c r="BH88" s="4"/>
    </row>
    <row r="89" spans="2:60" x14ac:dyDescent="0.3">
      <c r="B89" s="6"/>
      <c r="C89" s="10"/>
      <c r="D89" s="48" t="str">
        <f>IF(Tabla_Registro_Tareas4[[#This Row],[Actividad]]=Indice_Aux_Vacio,"",IFERROR(INDEX(plan!$D$4:$D$52,MATCH(Tabla_Registro_Tareas4[[#This Row],[Actividad]],plan!$C$4:$C$52,0)),""))</f>
        <v/>
      </c>
      <c r="E89" s="48" t="str">
        <f>IFERROR(INDEX(plan!$E$4:$E$52,MATCH(Tabla_Registro_Tareas4[[#This Row],[Actividad]],plan!$C$4:$C$52,0)),"")</f>
        <v/>
      </c>
      <c r="F89" s="49" t="str">
        <f>IF(Tabla_Registro_Tareas4[[#This Row],[Actividad]]=Indice_Aux_Vacio,"",Indice_PROBLAM_Estudiante4)</f>
        <v/>
      </c>
      <c r="G89" s="7"/>
      <c r="H89" s="8"/>
      <c r="I89" s="9"/>
      <c r="K89" s="12" t="str" cm="1">
        <f t="array" ref="K89">IF($B89&lt;&gt;"",TRANSPOSE(_xlfn._xlws.FILTER(plan!$C$4:$C$52, ($B89 &gt;= (plan!$J$4:$J$52-Indice_Plan_ExtensionPlazo))*($B89 &lt;= (plan!$K$4:$K$52+Indice_Plan_ExtensionPlazo)), "")), "")</f>
        <v/>
      </c>
      <c r="BH89" s="4"/>
    </row>
    <row r="90" spans="2:60" x14ac:dyDescent="0.3">
      <c r="B90" s="6"/>
      <c r="C90" s="10"/>
      <c r="D90" s="48" t="str">
        <f>IF(Tabla_Registro_Tareas4[[#This Row],[Actividad]]=Indice_Aux_Vacio,"",IFERROR(INDEX(plan!$D$4:$D$52,MATCH(Tabla_Registro_Tareas4[[#This Row],[Actividad]],plan!$C$4:$C$52,0)),""))</f>
        <v/>
      </c>
      <c r="E90" s="48" t="str">
        <f>IFERROR(INDEX(plan!$E$4:$E$52,MATCH(Tabla_Registro_Tareas4[[#This Row],[Actividad]],plan!$C$4:$C$52,0)),"")</f>
        <v/>
      </c>
      <c r="F90" s="49" t="str">
        <f>IF(Tabla_Registro_Tareas4[[#This Row],[Actividad]]=Indice_Aux_Vacio,"",Indice_PROBLAM_Estudiante4)</f>
        <v/>
      </c>
      <c r="G90" s="7"/>
      <c r="H90" s="8"/>
      <c r="I90" s="9"/>
      <c r="K90" s="12" t="str" cm="1">
        <f t="array" ref="K90">IF($B90&lt;&gt;"",TRANSPOSE(_xlfn._xlws.FILTER(plan!$C$4:$C$52, ($B90 &gt;= (plan!$J$4:$J$52-Indice_Plan_ExtensionPlazo))*($B90 &lt;= (plan!$K$4:$K$52+Indice_Plan_ExtensionPlazo)), "")), "")</f>
        <v/>
      </c>
      <c r="BH90" s="4"/>
    </row>
    <row r="91" spans="2:60" x14ac:dyDescent="0.3">
      <c r="B91" s="6"/>
      <c r="C91" s="10"/>
      <c r="D91" s="48" t="str">
        <f>IF(Tabla_Registro_Tareas4[[#This Row],[Actividad]]=Indice_Aux_Vacio,"",IFERROR(INDEX(plan!$D$4:$D$52,MATCH(Tabla_Registro_Tareas4[[#This Row],[Actividad]],plan!$C$4:$C$52,0)),""))</f>
        <v/>
      </c>
      <c r="E91" s="48" t="str">
        <f>IFERROR(INDEX(plan!$E$4:$E$52,MATCH(Tabla_Registro_Tareas4[[#This Row],[Actividad]],plan!$C$4:$C$52,0)),"")</f>
        <v/>
      </c>
      <c r="F91" s="49" t="str">
        <f>IF(Tabla_Registro_Tareas4[[#This Row],[Actividad]]=Indice_Aux_Vacio,"",Indice_PROBLAM_Estudiante4)</f>
        <v/>
      </c>
      <c r="G91" s="7"/>
      <c r="H91" s="8"/>
      <c r="I91" s="9"/>
      <c r="K91" s="12" t="str" cm="1">
        <f t="array" ref="K91">IF($B91&lt;&gt;"",TRANSPOSE(_xlfn._xlws.FILTER(plan!$C$4:$C$52, ($B91 &gt;= (plan!$J$4:$J$52-Indice_Plan_ExtensionPlazo))*($B91 &lt;= (plan!$K$4:$K$52+Indice_Plan_ExtensionPlazo)), "")), "")</f>
        <v/>
      </c>
      <c r="BH91" s="4"/>
    </row>
    <row r="92" spans="2:60" x14ac:dyDescent="0.3">
      <c r="B92" s="6"/>
      <c r="C92" s="10"/>
      <c r="D92" s="48" t="str">
        <f>IF(Tabla_Registro_Tareas4[[#This Row],[Actividad]]=Indice_Aux_Vacio,"",IFERROR(INDEX(plan!$D$4:$D$52,MATCH(Tabla_Registro_Tareas4[[#This Row],[Actividad]],plan!$C$4:$C$52,0)),""))</f>
        <v/>
      </c>
      <c r="E92" s="48" t="str">
        <f>IFERROR(INDEX(plan!$E$4:$E$52,MATCH(Tabla_Registro_Tareas4[[#This Row],[Actividad]],plan!$C$4:$C$52,0)),"")</f>
        <v/>
      </c>
      <c r="F92" s="49" t="str">
        <f>IF(Tabla_Registro_Tareas4[[#This Row],[Actividad]]=Indice_Aux_Vacio,"",Indice_PROBLAM_Estudiante4)</f>
        <v/>
      </c>
      <c r="G92" s="7"/>
      <c r="H92" s="8"/>
      <c r="I92" s="9"/>
      <c r="K92" s="12" t="str" cm="1">
        <f t="array" ref="K92">IF($B92&lt;&gt;"",TRANSPOSE(_xlfn._xlws.FILTER(plan!$C$4:$C$52, ($B92 &gt;= (plan!$J$4:$J$52-Indice_Plan_ExtensionPlazo))*($B92 &lt;= (plan!$K$4:$K$52+Indice_Plan_ExtensionPlazo)), "")), "")</f>
        <v/>
      </c>
      <c r="BH92" s="4"/>
    </row>
    <row r="93" spans="2:60" x14ac:dyDescent="0.3">
      <c r="B93" s="6"/>
      <c r="C93" s="10"/>
      <c r="D93" s="48" t="str">
        <f>IF(Tabla_Registro_Tareas4[[#This Row],[Actividad]]=Indice_Aux_Vacio,"",IFERROR(INDEX(plan!$D$4:$D$52,MATCH(Tabla_Registro_Tareas4[[#This Row],[Actividad]],plan!$C$4:$C$52,0)),""))</f>
        <v/>
      </c>
      <c r="E93" s="48" t="str">
        <f>IFERROR(INDEX(plan!$E$4:$E$52,MATCH(Tabla_Registro_Tareas4[[#This Row],[Actividad]],plan!$C$4:$C$52,0)),"")</f>
        <v/>
      </c>
      <c r="F93" s="49" t="str">
        <f>IF(Tabla_Registro_Tareas4[[#This Row],[Actividad]]=Indice_Aux_Vacio,"",Indice_PROBLAM_Estudiante4)</f>
        <v/>
      </c>
      <c r="G93" s="7"/>
      <c r="H93" s="8"/>
      <c r="I93" s="9"/>
      <c r="K93" s="12" t="str" cm="1">
        <f t="array" ref="K93">IF($B93&lt;&gt;"",TRANSPOSE(_xlfn._xlws.FILTER(plan!$C$4:$C$52, ($B93 &gt;= (plan!$J$4:$J$52-Indice_Plan_ExtensionPlazo))*($B93 &lt;= (plan!$K$4:$K$52+Indice_Plan_ExtensionPlazo)), "")), "")</f>
        <v/>
      </c>
      <c r="BH93" s="4"/>
    </row>
    <row r="94" spans="2:60" x14ac:dyDescent="0.3">
      <c r="B94" s="6"/>
      <c r="C94" s="10"/>
      <c r="D94" s="48" t="str">
        <f>IF(Tabla_Registro_Tareas4[[#This Row],[Actividad]]=Indice_Aux_Vacio,"",IFERROR(INDEX(plan!$D$4:$D$52,MATCH(Tabla_Registro_Tareas4[[#This Row],[Actividad]],plan!$C$4:$C$52,0)),""))</f>
        <v/>
      </c>
      <c r="E94" s="48" t="str">
        <f>IFERROR(INDEX(plan!$E$4:$E$52,MATCH(Tabla_Registro_Tareas4[[#This Row],[Actividad]],plan!$C$4:$C$52,0)),"")</f>
        <v/>
      </c>
      <c r="F94" s="49" t="str">
        <f>IF(Tabla_Registro_Tareas4[[#This Row],[Actividad]]=Indice_Aux_Vacio,"",Indice_PROBLAM_Estudiante4)</f>
        <v/>
      </c>
      <c r="G94" s="7"/>
      <c r="H94" s="8"/>
      <c r="I94" s="9"/>
      <c r="K94" s="12" t="str" cm="1">
        <f t="array" ref="K94">IF($B94&lt;&gt;"",TRANSPOSE(_xlfn._xlws.FILTER(plan!$C$4:$C$52, ($B94 &gt;= (plan!$J$4:$J$52-Indice_Plan_ExtensionPlazo))*($B94 &lt;= (plan!$K$4:$K$52+Indice_Plan_ExtensionPlazo)), "")), "")</f>
        <v/>
      </c>
      <c r="BH94" s="4"/>
    </row>
    <row r="95" spans="2:60" x14ac:dyDescent="0.3">
      <c r="B95" s="6"/>
      <c r="C95" s="10"/>
      <c r="D95" s="48" t="str">
        <f>IF(Tabla_Registro_Tareas4[[#This Row],[Actividad]]=Indice_Aux_Vacio,"",IFERROR(INDEX(plan!$D$4:$D$52,MATCH(Tabla_Registro_Tareas4[[#This Row],[Actividad]],plan!$C$4:$C$52,0)),""))</f>
        <v/>
      </c>
      <c r="E95" s="48" t="str">
        <f>IFERROR(INDEX(plan!$E$4:$E$52,MATCH(Tabla_Registro_Tareas4[[#This Row],[Actividad]],plan!$C$4:$C$52,0)),"")</f>
        <v/>
      </c>
      <c r="F95" s="49" t="str">
        <f>IF(Tabla_Registro_Tareas4[[#This Row],[Actividad]]=Indice_Aux_Vacio,"",Indice_PROBLAM_Estudiante4)</f>
        <v/>
      </c>
      <c r="G95" s="7"/>
      <c r="H95" s="8"/>
      <c r="I95" s="9"/>
      <c r="K95" s="12" t="str" cm="1">
        <f t="array" ref="K95">IF($B95&lt;&gt;"",TRANSPOSE(_xlfn._xlws.FILTER(plan!$C$4:$C$52, ($B95 &gt;= (plan!$J$4:$J$52-Indice_Plan_ExtensionPlazo))*($B95 &lt;= (plan!$K$4:$K$52+Indice_Plan_ExtensionPlazo)), "")), "")</f>
        <v/>
      </c>
      <c r="BH95" s="4"/>
    </row>
    <row r="96" spans="2:60" x14ac:dyDescent="0.3">
      <c r="B96" s="6"/>
      <c r="C96" s="10"/>
      <c r="D96" s="48" t="str">
        <f>IF(Tabla_Registro_Tareas4[[#This Row],[Actividad]]=Indice_Aux_Vacio,"",IFERROR(INDEX(plan!$D$4:$D$52,MATCH(Tabla_Registro_Tareas4[[#This Row],[Actividad]],plan!$C$4:$C$52,0)),""))</f>
        <v/>
      </c>
      <c r="E96" s="48" t="str">
        <f>IFERROR(INDEX(plan!$E$4:$E$52,MATCH(Tabla_Registro_Tareas4[[#This Row],[Actividad]],plan!$C$4:$C$52,0)),"")</f>
        <v/>
      </c>
      <c r="F96" s="49" t="str">
        <f>IF(Tabla_Registro_Tareas4[[#This Row],[Actividad]]=Indice_Aux_Vacio,"",Indice_PROBLAM_Estudiante4)</f>
        <v/>
      </c>
      <c r="G96" s="7"/>
      <c r="H96" s="8"/>
      <c r="I96" s="9"/>
      <c r="K96" s="12" t="str" cm="1">
        <f t="array" ref="K96">IF($B96&lt;&gt;"",TRANSPOSE(_xlfn._xlws.FILTER(plan!$C$4:$C$52, ($B96 &gt;= (plan!$J$4:$J$52-Indice_Plan_ExtensionPlazo))*($B96 &lt;= (plan!$K$4:$K$52+Indice_Plan_ExtensionPlazo)), "")), "")</f>
        <v/>
      </c>
      <c r="BH96" s="4"/>
    </row>
    <row r="97" spans="2:60" x14ac:dyDescent="0.3">
      <c r="B97" s="6"/>
      <c r="C97" s="10"/>
      <c r="D97" s="48" t="str">
        <f>IF(Tabla_Registro_Tareas4[[#This Row],[Actividad]]=Indice_Aux_Vacio,"",IFERROR(INDEX(plan!$D$4:$D$52,MATCH(Tabla_Registro_Tareas4[[#This Row],[Actividad]],plan!$C$4:$C$52,0)),""))</f>
        <v/>
      </c>
      <c r="E97" s="48" t="str">
        <f>IFERROR(INDEX(plan!$E$4:$E$52,MATCH(Tabla_Registro_Tareas4[[#This Row],[Actividad]],plan!$C$4:$C$52,0)),"")</f>
        <v/>
      </c>
      <c r="F97" s="49" t="str">
        <f>IF(Tabla_Registro_Tareas4[[#This Row],[Actividad]]=Indice_Aux_Vacio,"",Indice_PROBLAM_Estudiante4)</f>
        <v/>
      </c>
      <c r="G97" s="7"/>
      <c r="H97" s="8"/>
      <c r="I97" s="9"/>
      <c r="K97" s="12" t="str" cm="1">
        <f t="array" ref="K97">IF($B97&lt;&gt;"",TRANSPOSE(_xlfn._xlws.FILTER(plan!$C$4:$C$52, ($B97 &gt;= (plan!$J$4:$J$52-Indice_Plan_ExtensionPlazo))*($B97 &lt;= (plan!$K$4:$K$52+Indice_Plan_ExtensionPlazo)), "")), "")</f>
        <v/>
      </c>
      <c r="BH97" s="4"/>
    </row>
    <row r="98" spans="2:60" x14ac:dyDescent="0.3">
      <c r="B98" s="6"/>
      <c r="C98" s="10"/>
      <c r="D98" s="48" t="str">
        <f>IF(Tabla_Registro_Tareas4[[#This Row],[Actividad]]=Indice_Aux_Vacio,"",IFERROR(INDEX(plan!$D$4:$D$52,MATCH(Tabla_Registro_Tareas4[[#This Row],[Actividad]],plan!$C$4:$C$52,0)),""))</f>
        <v/>
      </c>
      <c r="E98" s="48" t="str">
        <f>IFERROR(INDEX(plan!$E$4:$E$52,MATCH(Tabla_Registro_Tareas4[[#This Row],[Actividad]],plan!$C$4:$C$52,0)),"")</f>
        <v/>
      </c>
      <c r="F98" s="49" t="str">
        <f>IF(Tabla_Registro_Tareas4[[#This Row],[Actividad]]=Indice_Aux_Vacio,"",Indice_PROBLAM_Estudiante4)</f>
        <v/>
      </c>
      <c r="G98" s="7"/>
      <c r="H98" s="8"/>
      <c r="I98" s="9"/>
      <c r="K98" s="12" t="str" cm="1">
        <f t="array" ref="K98">IF($B98&lt;&gt;"",TRANSPOSE(_xlfn._xlws.FILTER(plan!$C$4:$C$52, ($B98 &gt;= (plan!$J$4:$J$52-Indice_Plan_ExtensionPlazo))*($B98 &lt;= (plan!$K$4:$K$52+Indice_Plan_ExtensionPlazo)), "")), "")</f>
        <v/>
      </c>
      <c r="BH98" s="4"/>
    </row>
    <row r="99" spans="2:60" x14ac:dyDescent="0.3">
      <c r="B99" s="6"/>
      <c r="C99" s="10"/>
      <c r="D99" s="48" t="str">
        <f>IF(Tabla_Registro_Tareas4[[#This Row],[Actividad]]=Indice_Aux_Vacio,"",IFERROR(INDEX(plan!$D$4:$D$52,MATCH(Tabla_Registro_Tareas4[[#This Row],[Actividad]],plan!$C$4:$C$52,0)),""))</f>
        <v/>
      </c>
      <c r="E99" s="48" t="str">
        <f>IFERROR(INDEX(plan!$E$4:$E$52,MATCH(Tabla_Registro_Tareas4[[#This Row],[Actividad]],plan!$C$4:$C$52,0)),"")</f>
        <v/>
      </c>
      <c r="F99" s="49" t="str">
        <f>IF(Tabla_Registro_Tareas4[[#This Row],[Actividad]]=Indice_Aux_Vacio,"",Indice_PROBLAM_Estudiante4)</f>
        <v/>
      </c>
      <c r="G99" s="7"/>
      <c r="H99" s="8"/>
      <c r="I99" s="9"/>
      <c r="K99" s="12" t="str" cm="1">
        <f t="array" ref="K99">IF($B99&lt;&gt;"",TRANSPOSE(_xlfn._xlws.FILTER(plan!$C$4:$C$52, ($B99 &gt;= (plan!$J$4:$J$52-Indice_Plan_ExtensionPlazo))*($B99 &lt;= (plan!$K$4:$K$52+Indice_Plan_ExtensionPlazo)), "")), "")</f>
        <v/>
      </c>
      <c r="BH99" s="4"/>
    </row>
    <row r="100" spans="2:60" x14ac:dyDescent="0.3">
      <c r="B100" s="6"/>
      <c r="C100" s="10"/>
      <c r="D100" s="48" t="str">
        <f>IF(Tabla_Registro_Tareas4[[#This Row],[Actividad]]=Indice_Aux_Vacio,"",IFERROR(INDEX(plan!$D$4:$D$52,MATCH(Tabla_Registro_Tareas4[[#This Row],[Actividad]],plan!$C$4:$C$52,0)),""))</f>
        <v/>
      </c>
      <c r="E100" s="48" t="str">
        <f>IFERROR(INDEX(plan!$E$4:$E$52,MATCH(Tabla_Registro_Tareas4[[#This Row],[Actividad]],plan!$C$4:$C$52,0)),"")</f>
        <v/>
      </c>
      <c r="F100" s="49" t="str">
        <f>IF(Tabla_Registro_Tareas4[[#This Row],[Actividad]]=Indice_Aux_Vacio,"",Indice_PROBLAM_Estudiante4)</f>
        <v/>
      </c>
      <c r="G100" s="7"/>
      <c r="H100" s="8"/>
      <c r="I100" s="9"/>
      <c r="K100" s="12" t="str" cm="1">
        <f t="array" ref="K100">IF($B100&lt;&gt;"",TRANSPOSE(_xlfn._xlws.FILTER(plan!$C$4:$C$52, ($B100 &gt;= (plan!$J$4:$J$52-Indice_Plan_ExtensionPlazo))*($B100 &lt;= (plan!$K$4:$K$52+Indice_Plan_ExtensionPlazo)), "")), "")</f>
        <v/>
      </c>
      <c r="BH100" s="4"/>
    </row>
    <row r="101" spans="2:60" x14ac:dyDescent="0.3">
      <c r="B101" s="6"/>
      <c r="C101" s="10"/>
      <c r="D101" s="48" t="str">
        <f>IF(Tabla_Registro_Tareas4[[#This Row],[Actividad]]=Indice_Aux_Vacio,"",IFERROR(INDEX(plan!$D$4:$D$52,MATCH(Tabla_Registro_Tareas4[[#This Row],[Actividad]],plan!$C$4:$C$52,0)),""))</f>
        <v/>
      </c>
      <c r="E101" s="48" t="str">
        <f>IFERROR(INDEX(plan!$E$4:$E$52,MATCH(Tabla_Registro_Tareas4[[#This Row],[Actividad]],plan!$C$4:$C$52,0)),"")</f>
        <v/>
      </c>
      <c r="F101" s="49" t="str">
        <f>IF(Tabla_Registro_Tareas4[[#This Row],[Actividad]]=Indice_Aux_Vacio,"",Indice_PROBLAM_Estudiante4)</f>
        <v/>
      </c>
      <c r="G101" s="7"/>
      <c r="H101" s="8"/>
      <c r="I101" s="9"/>
      <c r="K101" s="12" t="str" cm="1">
        <f t="array" ref="K101">IF($B101&lt;&gt;"",TRANSPOSE(_xlfn._xlws.FILTER(plan!$C$4:$C$52, ($B101 &gt;= (plan!$J$4:$J$52-Indice_Plan_ExtensionPlazo))*($B101 &lt;= (plan!$K$4:$K$52+Indice_Plan_ExtensionPlazo)), "")), "")</f>
        <v/>
      </c>
      <c r="BH101" s="4"/>
    </row>
    <row r="102" spans="2:60" x14ac:dyDescent="0.3">
      <c r="B102" s="6"/>
      <c r="C102" s="10"/>
      <c r="D102" s="48" t="str">
        <f>IF(Tabla_Registro_Tareas4[[#This Row],[Actividad]]=Indice_Aux_Vacio,"",IFERROR(INDEX(plan!$D$4:$D$52,MATCH(Tabla_Registro_Tareas4[[#This Row],[Actividad]],plan!$C$4:$C$52,0)),""))</f>
        <v/>
      </c>
      <c r="E102" s="48" t="str">
        <f>IFERROR(INDEX(plan!$E$4:$E$52,MATCH(Tabla_Registro_Tareas4[[#This Row],[Actividad]],plan!$C$4:$C$52,0)),"")</f>
        <v/>
      </c>
      <c r="F102" s="49" t="str">
        <f>IF(Tabla_Registro_Tareas4[[#This Row],[Actividad]]=Indice_Aux_Vacio,"",Indice_PROBLAM_Estudiante4)</f>
        <v/>
      </c>
      <c r="G102" s="7"/>
      <c r="H102" s="8"/>
      <c r="I102" s="9"/>
      <c r="K102" s="12" t="str" cm="1">
        <f t="array" ref="K102">IF($B102&lt;&gt;"",TRANSPOSE(_xlfn._xlws.FILTER(plan!$C$4:$C$52, ($B102 &gt;= (plan!$J$4:$J$52-Indice_Plan_ExtensionPlazo))*($B102 &lt;= (plan!$K$4:$K$52+Indice_Plan_ExtensionPlazo)), "")), "")</f>
        <v/>
      </c>
      <c r="BH102" s="4"/>
    </row>
    <row r="103" spans="2:60" x14ac:dyDescent="0.3">
      <c r="B103" s="6"/>
      <c r="C103" s="10"/>
      <c r="D103" s="48" t="str">
        <f>IF(Tabla_Registro_Tareas4[[#This Row],[Actividad]]=Indice_Aux_Vacio,"",IFERROR(INDEX(plan!$D$4:$D$52,MATCH(Tabla_Registro_Tareas4[[#This Row],[Actividad]],plan!$C$4:$C$52,0)),""))</f>
        <v/>
      </c>
      <c r="E103" s="48" t="str">
        <f>IFERROR(INDEX(plan!$E$4:$E$52,MATCH(Tabla_Registro_Tareas4[[#This Row],[Actividad]],plan!$C$4:$C$52,0)),"")</f>
        <v/>
      </c>
      <c r="F103" s="49" t="str">
        <f>IF(Tabla_Registro_Tareas4[[#This Row],[Actividad]]=Indice_Aux_Vacio,"",Indice_PROBLAM_Estudiante4)</f>
        <v/>
      </c>
      <c r="G103" s="7"/>
      <c r="H103" s="8"/>
      <c r="I103" s="9"/>
      <c r="K103" s="12" t="str" cm="1">
        <f t="array" ref="K103">IF($B103&lt;&gt;"",TRANSPOSE(_xlfn._xlws.FILTER(plan!$C$4:$C$52, ($B103 &gt;= (plan!$J$4:$J$52-Indice_Plan_ExtensionPlazo))*($B103 &lt;= (plan!$K$4:$K$52+Indice_Plan_ExtensionPlazo)), "")), "")</f>
        <v/>
      </c>
      <c r="BH103" s="4"/>
    </row>
    <row r="104" spans="2:60" x14ac:dyDescent="0.3">
      <c r="B104" s="6"/>
      <c r="C104" s="10"/>
      <c r="D104" s="48" t="str">
        <f>IF(Tabla_Registro_Tareas4[[#This Row],[Actividad]]=Indice_Aux_Vacio,"",IFERROR(INDEX(plan!$D$4:$D$52,MATCH(Tabla_Registro_Tareas4[[#This Row],[Actividad]],plan!$C$4:$C$52,0)),""))</f>
        <v/>
      </c>
      <c r="E104" s="48" t="str">
        <f>IFERROR(INDEX(plan!$E$4:$E$52,MATCH(Tabla_Registro_Tareas4[[#This Row],[Actividad]],plan!$C$4:$C$52,0)),"")</f>
        <v/>
      </c>
      <c r="F104" s="49" t="str">
        <f>IF(Tabla_Registro_Tareas4[[#This Row],[Actividad]]=Indice_Aux_Vacio,"",Indice_PROBLAM_Estudiante4)</f>
        <v/>
      </c>
      <c r="G104" s="7"/>
      <c r="H104" s="8"/>
      <c r="I104" s="9"/>
      <c r="K104" s="12" t="str" cm="1">
        <f t="array" ref="K104">IF($B104&lt;&gt;"",TRANSPOSE(_xlfn._xlws.FILTER(plan!$C$4:$C$52, ($B104 &gt;= (plan!$J$4:$J$52-Indice_Plan_ExtensionPlazo))*($B104 &lt;= (plan!$K$4:$K$52+Indice_Plan_ExtensionPlazo)), "")), "")</f>
        <v/>
      </c>
      <c r="BH104" s="4"/>
    </row>
    <row r="105" spans="2:60" x14ac:dyDescent="0.3">
      <c r="B105" s="6"/>
      <c r="C105" s="10"/>
      <c r="D105" s="48" t="str">
        <f>IF(Tabla_Registro_Tareas4[[#This Row],[Actividad]]=Indice_Aux_Vacio,"",IFERROR(INDEX(plan!$D$4:$D$52,MATCH(Tabla_Registro_Tareas4[[#This Row],[Actividad]],plan!$C$4:$C$52,0)),""))</f>
        <v/>
      </c>
      <c r="E105" s="48" t="str">
        <f>IFERROR(INDEX(plan!$E$4:$E$52,MATCH(Tabla_Registro_Tareas4[[#This Row],[Actividad]],plan!$C$4:$C$52,0)),"")</f>
        <v/>
      </c>
      <c r="F105" s="49" t="str">
        <f>IF(Tabla_Registro_Tareas4[[#This Row],[Actividad]]=Indice_Aux_Vacio,"",Indice_PROBLAM_Estudiante4)</f>
        <v/>
      </c>
      <c r="G105" s="7"/>
      <c r="H105" s="8"/>
      <c r="I105" s="9"/>
      <c r="K105" s="12" t="str" cm="1">
        <f t="array" ref="K105">IF($B105&lt;&gt;"",TRANSPOSE(_xlfn._xlws.FILTER(plan!$C$4:$C$52, ($B105 &gt;= (plan!$J$4:$J$52-Indice_Plan_ExtensionPlazo))*($B105 &lt;= (plan!$K$4:$K$52+Indice_Plan_ExtensionPlazo)), "")), "")</f>
        <v/>
      </c>
      <c r="BH105" s="4"/>
    </row>
    <row r="106" spans="2:60" x14ac:dyDescent="0.3">
      <c r="B106" s="6"/>
      <c r="C106" s="10"/>
      <c r="D106" s="48" t="str">
        <f>IF(Tabla_Registro_Tareas4[[#This Row],[Actividad]]=Indice_Aux_Vacio,"",IFERROR(INDEX(plan!$D$4:$D$52,MATCH(Tabla_Registro_Tareas4[[#This Row],[Actividad]],plan!$C$4:$C$52,0)),""))</f>
        <v/>
      </c>
      <c r="E106" s="48" t="str">
        <f>IFERROR(INDEX(plan!$E$4:$E$52,MATCH(Tabla_Registro_Tareas4[[#This Row],[Actividad]],plan!$C$4:$C$52,0)),"")</f>
        <v/>
      </c>
      <c r="F106" s="49" t="str">
        <f>IF(Tabla_Registro_Tareas4[[#This Row],[Actividad]]=Indice_Aux_Vacio,"",Indice_PROBLAM_Estudiante4)</f>
        <v/>
      </c>
      <c r="G106" s="7"/>
      <c r="H106" s="8"/>
      <c r="I106" s="9"/>
      <c r="K106" s="12" t="str" cm="1">
        <f t="array" ref="K106">IF($B106&lt;&gt;"",TRANSPOSE(_xlfn._xlws.FILTER(plan!$C$4:$C$52, ($B106 &gt;= (plan!$J$4:$J$52-Indice_Plan_ExtensionPlazo))*($B106 &lt;= (plan!$K$4:$K$52+Indice_Plan_ExtensionPlazo)), "")), "")</f>
        <v/>
      </c>
      <c r="BH106" s="4"/>
    </row>
    <row r="107" spans="2:60" x14ac:dyDescent="0.3">
      <c r="B107" s="6"/>
      <c r="C107" s="10"/>
      <c r="D107" s="48" t="str">
        <f>IF(Tabla_Registro_Tareas4[[#This Row],[Actividad]]=Indice_Aux_Vacio,"",IFERROR(INDEX(plan!$D$4:$D$52,MATCH(Tabla_Registro_Tareas4[[#This Row],[Actividad]],plan!$C$4:$C$52,0)),""))</f>
        <v/>
      </c>
      <c r="E107" s="48" t="str">
        <f>IFERROR(INDEX(plan!$E$4:$E$52,MATCH(Tabla_Registro_Tareas4[[#This Row],[Actividad]],plan!$C$4:$C$52,0)),"")</f>
        <v/>
      </c>
      <c r="F107" s="49" t="str">
        <f>IF(Tabla_Registro_Tareas4[[#This Row],[Actividad]]=Indice_Aux_Vacio,"",Indice_PROBLAM_Estudiante4)</f>
        <v/>
      </c>
      <c r="G107" s="7"/>
      <c r="H107" s="8"/>
      <c r="I107" s="9"/>
      <c r="K107" s="12" t="str" cm="1">
        <f t="array" ref="K107">IF($B107&lt;&gt;"",TRANSPOSE(_xlfn._xlws.FILTER(plan!$C$4:$C$52, ($B107 &gt;= (plan!$J$4:$J$52-Indice_Plan_ExtensionPlazo))*($B107 &lt;= (plan!$K$4:$K$52+Indice_Plan_ExtensionPlazo)), "")), "")</f>
        <v/>
      </c>
      <c r="BH107" s="4"/>
    </row>
    <row r="108" spans="2:60" x14ac:dyDescent="0.3">
      <c r="B108" s="6"/>
      <c r="C108" s="10"/>
      <c r="D108" s="48" t="str">
        <f>IF(Tabla_Registro_Tareas4[[#This Row],[Actividad]]=Indice_Aux_Vacio,"",IFERROR(INDEX(plan!$D$4:$D$52,MATCH(Tabla_Registro_Tareas4[[#This Row],[Actividad]],plan!$C$4:$C$52,0)),""))</f>
        <v/>
      </c>
      <c r="E108" s="48" t="str">
        <f>IFERROR(INDEX(plan!$E$4:$E$52,MATCH(Tabla_Registro_Tareas4[[#This Row],[Actividad]],plan!$C$4:$C$52,0)),"")</f>
        <v/>
      </c>
      <c r="F108" s="49" t="str">
        <f>IF(Tabla_Registro_Tareas4[[#This Row],[Actividad]]=Indice_Aux_Vacio,"",Indice_PROBLAM_Estudiante4)</f>
        <v/>
      </c>
      <c r="G108" s="7"/>
      <c r="H108" s="8"/>
      <c r="I108" s="9"/>
      <c r="K108" s="12" t="str" cm="1">
        <f t="array" ref="K108">IF($B108&lt;&gt;"",TRANSPOSE(_xlfn._xlws.FILTER(plan!$C$4:$C$52, ($B108 &gt;= (plan!$J$4:$J$52-Indice_Plan_ExtensionPlazo))*($B108 &lt;= (plan!$K$4:$K$52+Indice_Plan_ExtensionPlazo)), "")), "")</f>
        <v/>
      </c>
      <c r="BH108" s="4"/>
    </row>
    <row r="109" spans="2:60" x14ac:dyDescent="0.3">
      <c r="B109" s="6"/>
      <c r="C109" s="10"/>
      <c r="D109" s="48" t="str">
        <f>IF(Tabla_Registro_Tareas4[[#This Row],[Actividad]]=Indice_Aux_Vacio,"",IFERROR(INDEX(plan!$D$4:$D$52,MATCH(Tabla_Registro_Tareas4[[#This Row],[Actividad]],plan!$C$4:$C$52,0)),""))</f>
        <v/>
      </c>
      <c r="E109" s="48" t="str">
        <f>IFERROR(INDEX(plan!$E$4:$E$52,MATCH(Tabla_Registro_Tareas4[[#This Row],[Actividad]],plan!$C$4:$C$52,0)),"")</f>
        <v/>
      </c>
      <c r="F109" s="49" t="str">
        <f>IF(Tabla_Registro_Tareas4[[#This Row],[Actividad]]=Indice_Aux_Vacio,"",Indice_PROBLAM_Estudiante4)</f>
        <v/>
      </c>
      <c r="G109" s="7"/>
      <c r="H109" s="8"/>
      <c r="I109" s="9"/>
      <c r="K109" s="12" t="str" cm="1">
        <f t="array" ref="K109">IF($B109&lt;&gt;"",TRANSPOSE(_xlfn._xlws.FILTER(plan!$C$4:$C$52, ($B109 &gt;= (plan!$J$4:$J$52-Indice_Plan_ExtensionPlazo))*($B109 &lt;= (plan!$K$4:$K$52+Indice_Plan_ExtensionPlazo)), "")), "")</f>
        <v/>
      </c>
      <c r="BH109" s="4"/>
    </row>
    <row r="110" spans="2:60" x14ac:dyDescent="0.3">
      <c r="B110" s="6"/>
      <c r="C110" s="10"/>
      <c r="D110" s="48" t="str">
        <f>IF(Tabla_Registro_Tareas4[[#This Row],[Actividad]]=Indice_Aux_Vacio,"",IFERROR(INDEX(plan!$D$4:$D$52,MATCH(Tabla_Registro_Tareas4[[#This Row],[Actividad]],plan!$C$4:$C$52,0)),""))</f>
        <v/>
      </c>
      <c r="E110" s="48" t="str">
        <f>IFERROR(INDEX(plan!$E$4:$E$52,MATCH(Tabla_Registro_Tareas4[[#This Row],[Actividad]],plan!$C$4:$C$52,0)),"")</f>
        <v/>
      </c>
      <c r="F110" s="49" t="str">
        <f>IF(Tabla_Registro_Tareas4[[#This Row],[Actividad]]=Indice_Aux_Vacio,"",Indice_PROBLAM_Estudiante4)</f>
        <v/>
      </c>
      <c r="G110" s="7"/>
      <c r="H110" s="8"/>
      <c r="I110" s="9"/>
      <c r="K110" s="12" t="str" cm="1">
        <f t="array" ref="K110">IF($B110&lt;&gt;"",TRANSPOSE(_xlfn._xlws.FILTER(plan!$C$4:$C$52, ($B110 &gt;= (plan!$J$4:$J$52-Indice_Plan_ExtensionPlazo))*($B110 &lt;= (plan!$K$4:$K$52+Indice_Plan_ExtensionPlazo)), "")), "")</f>
        <v/>
      </c>
      <c r="BH110" s="4"/>
    </row>
    <row r="111" spans="2:60" x14ac:dyDescent="0.3">
      <c r="B111" s="6"/>
      <c r="C111" s="10"/>
      <c r="D111" s="48" t="str">
        <f>IF(Tabla_Registro_Tareas4[[#This Row],[Actividad]]=Indice_Aux_Vacio,"",IFERROR(INDEX(plan!$D$4:$D$52,MATCH(Tabla_Registro_Tareas4[[#This Row],[Actividad]],plan!$C$4:$C$52,0)),""))</f>
        <v/>
      </c>
      <c r="E111" s="48" t="str">
        <f>IFERROR(INDEX(plan!$E$4:$E$52,MATCH(Tabla_Registro_Tareas4[[#This Row],[Actividad]],plan!$C$4:$C$52,0)),"")</f>
        <v/>
      </c>
      <c r="F111" s="49" t="str">
        <f>IF(Tabla_Registro_Tareas4[[#This Row],[Actividad]]=Indice_Aux_Vacio,"",Indice_PROBLAM_Estudiante4)</f>
        <v/>
      </c>
      <c r="G111" s="7"/>
      <c r="H111" s="8"/>
      <c r="I111" s="9"/>
      <c r="K111" s="12" t="str" cm="1">
        <f t="array" ref="K111">IF($B111&lt;&gt;"",TRANSPOSE(_xlfn._xlws.FILTER(plan!$C$4:$C$52, ($B111 &gt;= (plan!$J$4:$J$52-Indice_Plan_ExtensionPlazo))*($B111 &lt;= (plan!$K$4:$K$52+Indice_Plan_ExtensionPlazo)), "")), "")</f>
        <v/>
      </c>
      <c r="BH111" s="4"/>
    </row>
    <row r="112" spans="2:60" x14ac:dyDescent="0.3">
      <c r="B112" s="6"/>
      <c r="C112" s="10"/>
      <c r="D112" s="48" t="str">
        <f>IF(Tabla_Registro_Tareas4[[#This Row],[Actividad]]=Indice_Aux_Vacio,"",IFERROR(INDEX(plan!$D$4:$D$52,MATCH(Tabla_Registro_Tareas4[[#This Row],[Actividad]],plan!$C$4:$C$52,0)),""))</f>
        <v/>
      </c>
      <c r="E112" s="48" t="str">
        <f>IFERROR(INDEX(plan!$E$4:$E$52,MATCH(Tabla_Registro_Tareas4[[#This Row],[Actividad]],plan!$C$4:$C$52,0)),"")</f>
        <v/>
      </c>
      <c r="F112" s="49" t="str">
        <f>IF(Tabla_Registro_Tareas4[[#This Row],[Actividad]]=Indice_Aux_Vacio,"",Indice_PROBLAM_Estudiante4)</f>
        <v/>
      </c>
      <c r="G112" s="7"/>
      <c r="H112" s="8"/>
      <c r="I112" s="9"/>
      <c r="K112" s="12" t="str" cm="1">
        <f t="array" ref="K112">IF($B112&lt;&gt;"",TRANSPOSE(_xlfn._xlws.FILTER(plan!$C$4:$C$52, ($B112 &gt;= (plan!$J$4:$J$52-Indice_Plan_ExtensionPlazo))*($B112 &lt;= (plan!$K$4:$K$52+Indice_Plan_ExtensionPlazo)), "")), "")</f>
        <v/>
      </c>
      <c r="BH112" s="4"/>
    </row>
    <row r="113" spans="2:60" x14ac:dyDescent="0.3">
      <c r="B113" s="6"/>
      <c r="C113" s="10"/>
      <c r="D113" s="48" t="str">
        <f>IF(Tabla_Registro_Tareas4[[#This Row],[Actividad]]=Indice_Aux_Vacio,"",IFERROR(INDEX(plan!$D$4:$D$52,MATCH(Tabla_Registro_Tareas4[[#This Row],[Actividad]],plan!$C$4:$C$52,0)),""))</f>
        <v/>
      </c>
      <c r="E113" s="48" t="str">
        <f>IFERROR(INDEX(plan!$E$4:$E$52,MATCH(Tabla_Registro_Tareas4[[#This Row],[Actividad]],plan!$C$4:$C$52,0)),"")</f>
        <v/>
      </c>
      <c r="F113" s="49" t="str">
        <f>IF(Tabla_Registro_Tareas4[[#This Row],[Actividad]]=Indice_Aux_Vacio,"",Indice_PROBLAM_Estudiante4)</f>
        <v/>
      </c>
      <c r="G113" s="7"/>
      <c r="H113" s="8"/>
      <c r="I113" s="9"/>
      <c r="K113" s="12" t="str" cm="1">
        <f t="array" ref="K113">IF($B113&lt;&gt;"",TRANSPOSE(_xlfn._xlws.FILTER(plan!$C$4:$C$52, ($B113 &gt;= (plan!$J$4:$J$52-Indice_Plan_ExtensionPlazo))*($B113 &lt;= (plan!$K$4:$K$52+Indice_Plan_ExtensionPlazo)), "")), "")</f>
        <v/>
      </c>
      <c r="BH113" s="4"/>
    </row>
    <row r="114" spans="2:60" x14ac:dyDescent="0.3">
      <c r="B114" s="6"/>
      <c r="C114" s="10"/>
      <c r="D114" s="48" t="str">
        <f>IF(Tabla_Registro_Tareas4[[#This Row],[Actividad]]=Indice_Aux_Vacio,"",IFERROR(INDEX(plan!$D$4:$D$52,MATCH(Tabla_Registro_Tareas4[[#This Row],[Actividad]],plan!$C$4:$C$52,0)),""))</f>
        <v/>
      </c>
      <c r="E114" s="48" t="str">
        <f>IFERROR(INDEX(plan!$E$4:$E$52,MATCH(Tabla_Registro_Tareas4[[#This Row],[Actividad]],plan!$C$4:$C$52,0)),"")</f>
        <v/>
      </c>
      <c r="F114" s="49" t="str">
        <f>IF(Tabla_Registro_Tareas4[[#This Row],[Actividad]]=Indice_Aux_Vacio,"",Indice_PROBLAM_Estudiante4)</f>
        <v/>
      </c>
      <c r="G114" s="7"/>
      <c r="H114" s="8"/>
      <c r="I114" s="9"/>
      <c r="K114" s="12" t="str" cm="1">
        <f t="array" ref="K114">IF($B114&lt;&gt;"",TRANSPOSE(_xlfn._xlws.FILTER(plan!$C$4:$C$52, ($B114 &gt;= (plan!$J$4:$J$52-Indice_Plan_ExtensionPlazo))*($B114 &lt;= (plan!$K$4:$K$52+Indice_Plan_ExtensionPlazo)), "")), "")</f>
        <v/>
      </c>
      <c r="BH114" s="4"/>
    </row>
    <row r="115" spans="2:60" x14ac:dyDescent="0.3">
      <c r="B115" s="6"/>
      <c r="C115" s="10"/>
      <c r="D115" s="48" t="str">
        <f>IF(Tabla_Registro_Tareas4[[#This Row],[Actividad]]=Indice_Aux_Vacio,"",IFERROR(INDEX(plan!$D$4:$D$52,MATCH(Tabla_Registro_Tareas4[[#This Row],[Actividad]],plan!$C$4:$C$52,0)),""))</f>
        <v/>
      </c>
      <c r="E115" s="48" t="str">
        <f>IFERROR(INDEX(plan!$E$4:$E$52,MATCH(Tabla_Registro_Tareas4[[#This Row],[Actividad]],plan!$C$4:$C$52,0)),"")</f>
        <v/>
      </c>
      <c r="F115" s="49" t="str">
        <f>IF(Tabla_Registro_Tareas4[[#This Row],[Actividad]]=Indice_Aux_Vacio,"",Indice_PROBLAM_Estudiante4)</f>
        <v/>
      </c>
      <c r="G115" s="7"/>
      <c r="H115" s="8"/>
      <c r="I115" s="9"/>
      <c r="K115" s="12" t="str" cm="1">
        <f t="array" ref="K115">IF($B115&lt;&gt;"",TRANSPOSE(_xlfn._xlws.FILTER(plan!$C$4:$C$52, ($B115 &gt;= (plan!$J$4:$J$52-Indice_Plan_ExtensionPlazo))*($B115 &lt;= (plan!$K$4:$K$52+Indice_Plan_ExtensionPlazo)), "")), "")</f>
        <v/>
      </c>
      <c r="BH115" s="4"/>
    </row>
    <row r="116" spans="2:60" x14ac:dyDescent="0.3">
      <c r="B116" s="6"/>
      <c r="C116" s="10"/>
      <c r="D116" s="48" t="str">
        <f>IF(Tabla_Registro_Tareas4[[#This Row],[Actividad]]=Indice_Aux_Vacio,"",IFERROR(INDEX(plan!$D$4:$D$52,MATCH(Tabla_Registro_Tareas4[[#This Row],[Actividad]],plan!$C$4:$C$52,0)),""))</f>
        <v/>
      </c>
      <c r="E116" s="48" t="str">
        <f>IFERROR(INDEX(plan!$E$4:$E$52,MATCH(Tabla_Registro_Tareas4[[#This Row],[Actividad]],plan!$C$4:$C$52,0)),"")</f>
        <v/>
      </c>
      <c r="F116" s="49" t="str">
        <f>IF(Tabla_Registro_Tareas4[[#This Row],[Actividad]]=Indice_Aux_Vacio,"",Indice_PROBLAM_Estudiante4)</f>
        <v/>
      </c>
      <c r="G116" s="7"/>
      <c r="H116" s="8"/>
      <c r="I116" s="9"/>
      <c r="K116" s="12" t="str" cm="1">
        <f t="array" ref="K116">IF($B116&lt;&gt;"",TRANSPOSE(_xlfn._xlws.FILTER(plan!$C$4:$C$52, ($B116 &gt;= (plan!$J$4:$J$52-Indice_Plan_ExtensionPlazo))*($B116 &lt;= (plan!$K$4:$K$52+Indice_Plan_ExtensionPlazo)), "")), "")</f>
        <v/>
      </c>
      <c r="BH116" s="4"/>
    </row>
    <row r="117" spans="2:60" x14ac:dyDescent="0.3">
      <c r="B117" s="6"/>
      <c r="C117" s="10"/>
      <c r="D117" s="48" t="str">
        <f>IF(Tabla_Registro_Tareas4[[#This Row],[Actividad]]=Indice_Aux_Vacio,"",IFERROR(INDEX(plan!$D$4:$D$52,MATCH(Tabla_Registro_Tareas4[[#This Row],[Actividad]],plan!$C$4:$C$52,0)),""))</f>
        <v/>
      </c>
      <c r="E117" s="48" t="str">
        <f>IFERROR(INDEX(plan!$E$4:$E$52,MATCH(Tabla_Registro_Tareas4[[#This Row],[Actividad]],plan!$C$4:$C$52,0)),"")</f>
        <v/>
      </c>
      <c r="F117" s="49" t="str">
        <f>IF(Tabla_Registro_Tareas4[[#This Row],[Actividad]]=Indice_Aux_Vacio,"",Indice_PROBLAM_Estudiante4)</f>
        <v/>
      </c>
      <c r="G117" s="7"/>
      <c r="H117" s="8"/>
      <c r="I117" s="9"/>
      <c r="K117" s="12" t="str" cm="1">
        <f t="array" ref="K117">IF($B117&lt;&gt;"",TRANSPOSE(_xlfn._xlws.FILTER(plan!$C$4:$C$52, ($B117 &gt;= (plan!$J$4:$J$52-Indice_Plan_ExtensionPlazo))*($B117 &lt;= (plan!$K$4:$K$52+Indice_Plan_ExtensionPlazo)), "")), "")</f>
        <v/>
      </c>
      <c r="BH117" s="4"/>
    </row>
    <row r="118" spans="2:60" x14ac:dyDescent="0.3">
      <c r="B118" s="6"/>
      <c r="C118" s="10"/>
      <c r="D118" s="48" t="str">
        <f>IF(Tabla_Registro_Tareas4[[#This Row],[Actividad]]=Indice_Aux_Vacio,"",IFERROR(INDEX(plan!$D$4:$D$52,MATCH(Tabla_Registro_Tareas4[[#This Row],[Actividad]],plan!$C$4:$C$52,0)),""))</f>
        <v/>
      </c>
      <c r="E118" s="48" t="str">
        <f>IFERROR(INDEX(plan!$E$4:$E$52,MATCH(Tabla_Registro_Tareas4[[#This Row],[Actividad]],plan!$C$4:$C$52,0)),"")</f>
        <v/>
      </c>
      <c r="F118" s="49" t="str">
        <f>IF(Tabla_Registro_Tareas4[[#This Row],[Actividad]]=Indice_Aux_Vacio,"",Indice_PROBLAM_Estudiante4)</f>
        <v/>
      </c>
      <c r="G118" s="7"/>
      <c r="H118" s="8"/>
      <c r="I118" s="9"/>
      <c r="K118" s="12" t="str" cm="1">
        <f t="array" ref="K118">IF($B118&lt;&gt;"",TRANSPOSE(_xlfn._xlws.FILTER(plan!$C$4:$C$52, ($B118 &gt;= (plan!$J$4:$J$52-Indice_Plan_ExtensionPlazo))*($B118 &lt;= (plan!$K$4:$K$52+Indice_Plan_ExtensionPlazo)), "")), "")</f>
        <v/>
      </c>
      <c r="BH118" s="4"/>
    </row>
    <row r="119" spans="2:60" x14ac:dyDescent="0.3">
      <c r="B119" s="6"/>
      <c r="C119" s="10"/>
      <c r="D119" s="48" t="str">
        <f>IF(Tabla_Registro_Tareas4[[#This Row],[Actividad]]=Indice_Aux_Vacio,"",IFERROR(INDEX(plan!$D$4:$D$52,MATCH(Tabla_Registro_Tareas4[[#This Row],[Actividad]],plan!$C$4:$C$52,0)),""))</f>
        <v/>
      </c>
      <c r="E119" s="48" t="str">
        <f>IFERROR(INDEX(plan!$E$4:$E$52,MATCH(Tabla_Registro_Tareas4[[#This Row],[Actividad]],plan!$C$4:$C$52,0)),"")</f>
        <v/>
      </c>
      <c r="F119" s="49" t="str">
        <f>IF(Tabla_Registro_Tareas4[[#This Row],[Actividad]]=Indice_Aux_Vacio,"",Indice_PROBLAM_Estudiante4)</f>
        <v/>
      </c>
      <c r="G119" s="7"/>
      <c r="H119" s="8"/>
      <c r="I119" s="9"/>
      <c r="K119" s="12" t="str" cm="1">
        <f t="array" ref="K119">IF($B119&lt;&gt;"",TRANSPOSE(_xlfn._xlws.FILTER(plan!$C$4:$C$52, ($B119 &gt;= (plan!$J$4:$J$52-Indice_Plan_ExtensionPlazo))*($B119 &lt;= (plan!$K$4:$K$52+Indice_Plan_ExtensionPlazo)), "")), "")</f>
        <v/>
      </c>
      <c r="BH119" s="4"/>
    </row>
    <row r="120" spans="2:60" x14ac:dyDescent="0.3">
      <c r="B120" s="6"/>
      <c r="C120" s="10"/>
      <c r="D120" s="48" t="str">
        <f>IF(Tabla_Registro_Tareas4[[#This Row],[Actividad]]=Indice_Aux_Vacio,"",IFERROR(INDEX(plan!$D$4:$D$52,MATCH(Tabla_Registro_Tareas4[[#This Row],[Actividad]],plan!$C$4:$C$52,0)),""))</f>
        <v/>
      </c>
      <c r="E120" s="48" t="str">
        <f>IFERROR(INDEX(plan!$E$4:$E$52,MATCH(Tabla_Registro_Tareas4[[#This Row],[Actividad]],plan!$C$4:$C$52,0)),"")</f>
        <v/>
      </c>
      <c r="F120" s="49" t="str">
        <f>IF(Tabla_Registro_Tareas4[[#This Row],[Actividad]]=Indice_Aux_Vacio,"",Indice_PROBLAM_Estudiante4)</f>
        <v/>
      </c>
      <c r="G120" s="7"/>
      <c r="H120" s="8"/>
      <c r="I120" s="9"/>
      <c r="K120" s="12" t="str" cm="1">
        <f t="array" ref="K120">IF($B120&lt;&gt;"",TRANSPOSE(_xlfn._xlws.FILTER(plan!$C$4:$C$52, ($B120 &gt;= (plan!$J$4:$J$52-Indice_Plan_ExtensionPlazo))*($B120 &lt;= (plan!$K$4:$K$52+Indice_Plan_ExtensionPlazo)), "")), "")</f>
        <v/>
      </c>
      <c r="BH120" s="4"/>
    </row>
    <row r="121" spans="2:60" x14ac:dyDescent="0.3">
      <c r="B121" s="6"/>
      <c r="C121" s="10"/>
      <c r="D121" s="48" t="str">
        <f>IF(Tabla_Registro_Tareas4[[#This Row],[Actividad]]=Indice_Aux_Vacio,"",IFERROR(INDEX(plan!$D$4:$D$52,MATCH(Tabla_Registro_Tareas4[[#This Row],[Actividad]],plan!$C$4:$C$52,0)),""))</f>
        <v/>
      </c>
      <c r="E121" s="48" t="str">
        <f>IFERROR(INDEX(plan!$E$4:$E$52,MATCH(Tabla_Registro_Tareas4[[#This Row],[Actividad]],plan!$C$4:$C$52,0)),"")</f>
        <v/>
      </c>
      <c r="F121" s="49" t="str">
        <f>IF(Tabla_Registro_Tareas4[[#This Row],[Actividad]]=Indice_Aux_Vacio,"",Indice_PROBLAM_Estudiante4)</f>
        <v/>
      </c>
      <c r="G121" s="7"/>
      <c r="H121" s="8"/>
      <c r="I121" s="9"/>
      <c r="K121" s="12" t="str" cm="1">
        <f t="array" ref="K121">IF($B121&lt;&gt;"",TRANSPOSE(_xlfn._xlws.FILTER(plan!$C$4:$C$52, ($B121 &gt;= (plan!$J$4:$J$52-Indice_Plan_ExtensionPlazo))*($B121 &lt;= (plan!$K$4:$K$52+Indice_Plan_ExtensionPlazo)), "")), "")</f>
        <v/>
      </c>
      <c r="BH121" s="4"/>
    </row>
    <row r="122" spans="2:60" x14ac:dyDescent="0.3">
      <c r="B122" s="6"/>
      <c r="C122" s="10"/>
      <c r="D122" s="48" t="str">
        <f>IF(Tabla_Registro_Tareas4[[#This Row],[Actividad]]=Indice_Aux_Vacio,"",IFERROR(INDEX(plan!$D$4:$D$52,MATCH(Tabla_Registro_Tareas4[[#This Row],[Actividad]],plan!$C$4:$C$52,0)),""))</f>
        <v/>
      </c>
      <c r="E122" s="48" t="str">
        <f>IFERROR(INDEX(plan!$E$4:$E$52,MATCH(Tabla_Registro_Tareas4[[#This Row],[Actividad]],plan!$C$4:$C$52,0)),"")</f>
        <v/>
      </c>
      <c r="F122" s="49" t="str">
        <f>IF(Tabla_Registro_Tareas4[[#This Row],[Actividad]]=Indice_Aux_Vacio,"",Indice_PROBLAM_Estudiante4)</f>
        <v/>
      </c>
      <c r="G122" s="7"/>
      <c r="H122" s="8"/>
      <c r="I122" s="9"/>
      <c r="K122" s="12" t="str" cm="1">
        <f t="array" ref="K122">IF($B122&lt;&gt;"",TRANSPOSE(_xlfn._xlws.FILTER(plan!$C$4:$C$52, ($B122 &gt;= (plan!$J$4:$J$52-Indice_Plan_ExtensionPlazo))*($B122 &lt;= (plan!$K$4:$K$52+Indice_Plan_ExtensionPlazo)), "")), "")</f>
        <v/>
      </c>
      <c r="BH122" s="4"/>
    </row>
    <row r="123" spans="2:60" x14ac:dyDescent="0.3">
      <c r="B123" s="6"/>
      <c r="C123" s="10"/>
      <c r="D123" s="48" t="str">
        <f>IF(Tabla_Registro_Tareas4[[#This Row],[Actividad]]=Indice_Aux_Vacio,"",IFERROR(INDEX(plan!$D$4:$D$52,MATCH(Tabla_Registro_Tareas4[[#This Row],[Actividad]],plan!$C$4:$C$52,0)),""))</f>
        <v/>
      </c>
      <c r="E123" s="48" t="str">
        <f>IFERROR(INDEX(plan!$E$4:$E$52,MATCH(Tabla_Registro_Tareas4[[#This Row],[Actividad]],plan!$C$4:$C$52,0)),"")</f>
        <v/>
      </c>
      <c r="F123" s="49" t="str">
        <f>IF(Tabla_Registro_Tareas4[[#This Row],[Actividad]]=Indice_Aux_Vacio,"",Indice_PROBLAM_Estudiante4)</f>
        <v/>
      </c>
      <c r="G123" s="7"/>
      <c r="H123" s="8"/>
      <c r="I123" s="9"/>
      <c r="K123" s="12" t="str" cm="1">
        <f t="array" ref="K123">IF($B123&lt;&gt;"",TRANSPOSE(_xlfn._xlws.FILTER(plan!$C$4:$C$52, ($B123 &gt;= (plan!$J$4:$J$52-Indice_Plan_ExtensionPlazo))*($B123 &lt;= (plan!$K$4:$K$52+Indice_Plan_ExtensionPlazo)), "")), "")</f>
        <v/>
      </c>
      <c r="BH123" s="4"/>
    </row>
    <row r="124" spans="2:60" x14ac:dyDescent="0.3">
      <c r="B124" s="6"/>
      <c r="C124" s="10"/>
      <c r="D124" s="48" t="str">
        <f>IF(Tabla_Registro_Tareas4[[#This Row],[Actividad]]=Indice_Aux_Vacio,"",IFERROR(INDEX(plan!$D$4:$D$52,MATCH(Tabla_Registro_Tareas4[[#This Row],[Actividad]],plan!$C$4:$C$52,0)),""))</f>
        <v/>
      </c>
      <c r="E124" s="48" t="str">
        <f>IFERROR(INDEX(plan!$E$4:$E$52,MATCH(Tabla_Registro_Tareas4[[#This Row],[Actividad]],plan!$C$4:$C$52,0)),"")</f>
        <v/>
      </c>
      <c r="F124" s="49" t="str">
        <f>IF(Tabla_Registro_Tareas4[[#This Row],[Actividad]]=Indice_Aux_Vacio,"",Indice_PROBLAM_Estudiante4)</f>
        <v/>
      </c>
      <c r="G124" s="7"/>
      <c r="H124" s="8"/>
      <c r="I124" s="9"/>
      <c r="K124" s="12" t="str" cm="1">
        <f t="array" ref="K124">IF($B124&lt;&gt;"",TRANSPOSE(_xlfn._xlws.FILTER(plan!$C$4:$C$52, ($B124 &gt;= (plan!$J$4:$J$52-Indice_Plan_ExtensionPlazo))*($B124 &lt;= (plan!$K$4:$K$52+Indice_Plan_ExtensionPlazo)), "")), "")</f>
        <v/>
      </c>
      <c r="BH124" s="4"/>
    </row>
    <row r="125" spans="2:60" x14ac:dyDescent="0.3">
      <c r="B125" s="6"/>
      <c r="C125" s="10"/>
      <c r="D125" s="48" t="str">
        <f>IF(Tabla_Registro_Tareas4[[#This Row],[Actividad]]=Indice_Aux_Vacio,"",IFERROR(INDEX(plan!$D$4:$D$52,MATCH(Tabla_Registro_Tareas4[[#This Row],[Actividad]],plan!$C$4:$C$52,0)),""))</f>
        <v/>
      </c>
      <c r="E125" s="48" t="str">
        <f>IFERROR(INDEX(plan!$E$4:$E$52,MATCH(Tabla_Registro_Tareas4[[#This Row],[Actividad]],plan!$C$4:$C$52,0)),"")</f>
        <v/>
      </c>
      <c r="F125" s="49" t="str">
        <f>IF(Tabla_Registro_Tareas4[[#This Row],[Actividad]]=Indice_Aux_Vacio,"",Indice_PROBLAM_Estudiante4)</f>
        <v/>
      </c>
      <c r="G125" s="7"/>
      <c r="H125" s="8"/>
      <c r="I125" s="9"/>
      <c r="K125" s="12" t="str" cm="1">
        <f t="array" ref="K125">IF($B125&lt;&gt;"",TRANSPOSE(_xlfn._xlws.FILTER(plan!$C$4:$C$52, ($B125 &gt;= (plan!$J$4:$J$52-Indice_Plan_ExtensionPlazo))*($B125 &lt;= (plan!$K$4:$K$52+Indice_Plan_ExtensionPlazo)), "")), "")</f>
        <v/>
      </c>
      <c r="BH125" s="4"/>
    </row>
    <row r="126" spans="2:60" x14ac:dyDescent="0.3">
      <c r="B126" s="6"/>
      <c r="C126" s="10"/>
      <c r="D126" s="48" t="str">
        <f>IF(Tabla_Registro_Tareas4[[#This Row],[Actividad]]=Indice_Aux_Vacio,"",IFERROR(INDEX(plan!$D$4:$D$52,MATCH(Tabla_Registro_Tareas4[[#This Row],[Actividad]],plan!$C$4:$C$52,0)),""))</f>
        <v/>
      </c>
      <c r="E126" s="48" t="str">
        <f>IFERROR(INDEX(plan!$E$4:$E$52,MATCH(Tabla_Registro_Tareas4[[#This Row],[Actividad]],plan!$C$4:$C$52,0)),"")</f>
        <v/>
      </c>
      <c r="F126" s="49" t="str">
        <f>IF(Tabla_Registro_Tareas4[[#This Row],[Actividad]]=Indice_Aux_Vacio,"",Indice_PROBLAM_Estudiante4)</f>
        <v/>
      </c>
      <c r="G126" s="7"/>
      <c r="H126" s="8"/>
      <c r="I126" s="9"/>
      <c r="K126" s="12" t="str" cm="1">
        <f t="array" ref="K126">IF($B126&lt;&gt;"",TRANSPOSE(_xlfn._xlws.FILTER(plan!$C$4:$C$52, ($B126 &gt;= (plan!$J$4:$J$52-Indice_Plan_ExtensionPlazo))*($B126 &lt;= (plan!$K$4:$K$52+Indice_Plan_ExtensionPlazo)), "")), "")</f>
        <v/>
      </c>
      <c r="BH126" s="4"/>
    </row>
    <row r="127" spans="2:60" x14ac:dyDescent="0.3">
      <c r="B127" s="6"/>
      <c r="C127" s="10"/>
      <c r="D127" s="48" t="str">
        <f>IF(Tabla_Registro_Tareas4[[#This Row],[Actividad]]=Indice_Aux_Vacio,"",IFERROR(INDEX(plan!$D$4:$D$52,MATCH(Tabla_Registro_Tareas4[[#This Row],[Actividad]],plan!$C$4:$C$52,0)),""))</f>
        <v/>
      </c>
      <c r="E127" s="48" t="str">
        <f>IFERROR(INDEX(plan!$E$4:$E$52,MATCH(Tabla_Registro_Tareas4[[#This Row],[Actividad]],plan!$C$4:$C$52,0)),"")</f>
        <v/>
      </c>
      <c r="F127" s="49" t="str">
        <f>IF(Tabla_Registro_Tareas4[[#This Row],[Actividad]]=Indice_Aux_Vacio,"",Indice_PROBLAM_Estudiante4)</f>
        <v/>
      </c>
      <c r="G127" s="7"/>
      <c r="H127" s="8"/>
      <c r="I127" s="9"/>
      <c r="K127" s="12" t="str" cm="1">
        <f t="array" ref="K127">IF($B127&lt;&gt;"",TRANSPOSE(_xlfn._xlws.FILTER(plan!$C$4:$C$52, ($B127 &gt;= (plan!$J$4:$J$52-Indice_Plan_ExtensionPlazo))*($B127 &lt;= (plan!$K$4:$K$52+Indice_Plan_ExtensionPlazo)), "")), "")</f>
        <v/>
      </c>
      <c r="BH127" s="4"/>
    </row>
    <row r="128" spans="2:60" x14ac:dyDescent="0.3">
      <c r="B128" s="6"/>
      <c r="C128" s="10"/>
      <c r="D128" s="48" t="str">
        <f>IF(Tabla_Registro_Tareas4[[#This Row],[Actividad]]=Indice_Aux_Vacio,"",IFERROR(INDEX(plan!$D$4:$D$52,MATCH(Tabla_Registro_Tareas4[[#This Row],[Actividad]],plan!$C$4:$C$52,0)),""))</f>
        <v/>
      </c>
      <c r="E128" s="48" t="str">
        <f>IFERROR(INDEX(plan!$E$4:$E$52,MATCH(Tabla_Registro_Tareas4[[#This Row],[Actividad]],plan!$C$4:$C$52,0)),"")</f>
        <v/>
      </c>
      <c r="F128" s="49" t="str">
        <f>IF(Tabla_Registro_Tareas4[[#This Row],[Actividad]]=Indice_Aux_Vacio,"",Indice_PROBLAM_Estudiante4)</f>
        <v/>
      </c>
      <c r="G128" s="7"/>
      <c r="H128" s="8"/>
      <c r="I128" s="9"/>
      <c r="K128" s="12" t="str" cm="1">
        <f t="array" ref="K128">IF($B128&lt;&gt;"",TRANSPOSE(_xlfn._xlws.FILTER(plan!$C$4:$C$52, ($B128 &gt;= (plan!$J$4:$J$52-Indice_Plan_ExtensionPlazo))*($B128 &lt;= (plan!$K$4:$K$52+Indice_Plan_ExtensionPlazo)), "")), "")</f>
        <v/>
      </c>
      <c r="BH128" s="4"/>
    </row>
    <row r="129" spans="2:60" x14ac:dyDescent="0.3">
      <c r="B129" s="6"/>
      <c r="C129" s="10"/>
      <c r="D129" s="48" t="str">
        <f>IF(Tabla_Registro_Tareas4[[#This Row],[Actividad]]=Indice_Aux_Vacio,"",IFERROR(INDEX(plan!$D$4:$D$52,MATCH(Tabla_Registro_Tareas4[[#This Row],[Actividad]],plan!$C$4:$C$52,0)),""))</f>
        <v/>
      </c>
      <c r="E129" s="48" t="str">
        <f>IFERROR(INDEX(plan!$E$4:$E$52,MATCH(Tabla_Registro_Tareas4[[#This Row],[Actividad]],plan!$C$4:$C$52,0)),"")</f>
        <v/>
      </c>
      <c r="F129" s="49" t="str">
        <f>IF(Tabla_Registro_Tareas4[[#This Row],[Actividad]]=Indice_Aux_Vacio,"",Indice_PROBLAM_Estudiante4)</f>
        <v/>
      </c>
      <c r="G129" s="7"/>
      <c r="H129" s="8"/>
      <c r="I129" s="9"/>
      <c r="K129" s="12" t="str" cm="1">
        <f t="array" ref="K129">IF($B129&lt;&gt;"",TRANSPOSE(_xlfn._xlws.FILTER(plan!$C$4:$C$52, ($B129 &gt;= (plan!$J$4:$J$52-Indice_Plan_ExtensionPlazo))*($B129 &lt;= (plan!$K$4:$K$52+Indice_Plan_ExtensionPlazo)), "")), "")</f>
        <v/>
      </c>
      <c r="BH129" s="4"/>
    </row>
    <row r="130" spans="2:60" x14ac:dyDescent="0.3">
      <c r="B130" s="6"/>
      <c r="C130" s="10"/>
      <c r="D130" s="48" t="str">
        <f>IF(Tabla_Registro_Tareas4[[#This Row],[Actividad]]=Indice_Aux_Vacio,"",IFERROR(INDEX(plan!$D$4:$D$52,MATCH(Tabla_Registro_Tareas4[[#This Row],[Actividad]],plan!$C$4:$C$52,0)),""))</f>
        <v/>
      </c>
      <c r="E130" s="48" t="str">
        <f>IFERROR(INDEX(plan!$E$4:$E$52,MATCH(Tabla_Registro_Tareas4[[#This Row],[Actividad]],plan!$C$4:$C$52,0)),"")</f>
        <v/>
      </c>
      <c r="F130" s="49" t="str">
        <f>IF(Tabla_Registro_Tareas4[[#This Row],[Actividad]]=Indice_Aux_Vacio,"",Indice_PROBLAM_Estudiante4)</f>
        <v/>
      </c>
      <c r="G130" s="7"/>
      <c r="H130" s="8"/>
      <c r="I130" s="9"/>
      <c r="K130" s="12" t="str" cm="1">
        <f t="array" ref="K130">IF($B130&lt;&gt;"",TRANSPOSE(_xlfn._xlws.FILTER(plan!$C$4:$C$52, ($B130 &gt;= (plan!$J$4:$J$52-Indice_Plan_ExtensionPlazo))*($B130 &lt;= (plan!$K$4:$K$52+Indice_Plan_ExtensionPlazo)), "")), "")</f>
        <v/>
      </c>
      <c r="BH130" s="4"/>
    </row>
    <row r="131" spans="2:60" x14ac:dyDescent="0.3">
      <c r="B131" s="6"/>
      <c r="C131" s="10"/>
      <c r="D131" s="48" t="str">
        <f>IF(Tabla_Registro_Tareas4[[#This Row],[Actividad]]=Indice_Aux_Vacio,"",IFERROR(INDEX(plan!$D$4:$D$52,MATCH(Tabla_Registro_Tareas4[[#This Row],[Actividad]],plan!$C$4:$C$52,0)),""))</f>
        <v/>
      </c>
      <c r="E131" s="48" t="str">
        <f>IFERROR(INDEX(plan!$E$4:$E$52,MATCH(Tabla_Registro_Tareas4[[#This Row],[Actividad]],plan!$C$4:$C$52,0)),"")</f>
        <v/>
      </c>
      <c r="F131" s="49" t="str">
        <f>IF(Tabla_Registro_Tareas4[[#This Row],[Actividad]]=Indice_Aux_Vacio,"",Indice_PROBLAM_Estudiante4)</f>
        <v/>
      </c>
      <c r="G131" s="7"/>
      <c r="H131" s="8"/>
      <c r="I131" s="9"/>
      <c r="K131" s="12" t="str" cm="1">
        <f t="array" ref="K131">IF($B131&lt;&gt;"",TRANSPOSE(_xlfn._xlws.FILTER(plan!$C$4:$C$52, ($B131 &gt;= (plan!$J$4:$J$52-Indice_Plan_ExtensionPlazo))*($B131 &lt;= (plan!$K$4:$K$52+Indice_Plan_ExtensionPlazo)), "")), "")</f>
        <v/>
      </c>
      <c r="BH131" s="4"/>
    </row>
    <row r="132" spans="2:60" x14ac:dyDescent="0.3">
      <c r="B132" s="6"/>
      <c r="C132" s="10"/>
      <c r="D132" s="48" t="str">
        <f>IF(Tabla_Registro_Tareas4[[#This Row],[Actividad]]=Indice_Aux_Vacio,"",IFERROR(INDEX(plan!$D$4:$D$52,MATCH(Tabla_Registro_Tareas4[[#This Row],[Actividad]],plan!$C$4:$C$52,0)),""))</f>
        <v/>
      </c>
      <c r="E132" s="48" t="str">
        <f>IFERROR(INDEX(plan!$E$4:$E$52,MATCH(Tabla_Registro_Tareas4[[#This Row],[Actividad]],plan!$C$4:$C$52,0)),"")</f>
        <v/>
      </c>
      <c r="F132" s="49" t="str">
        <f>IF(Tabla_Registro_Tareas4[[#This Row],[Actividad]]=Indice_Aux_Vacio,"",Indice_PROBLAM_Estudiante4)</f>
        <v/>
      </c>
      <c r="G132" s="7"/>
      <c r="H132" s="8"/>
      <c r="I132" s="9"/>
      <c r="K132" s="12" t="str" cm="1">
        <f t="array" ref="K132">IF($B132&lt;&gt;"",TRANSPOSE(_xlfn._xlws.FILTER(plan!$C$4:$C$52, ($B132 &gt;= (plan!$J$4:$J$52-Indice_Plan_ExtensionPlazo))*($B132 &lt;= (plan!$K$4:$K$52+Indice_Plan_ExtensionPlazo)), "")), "")</f>
        <v/>
      </c>
      <c r="BH132" s="4"/>
    </row>
    <row r="133" spans="2:60" x14ac:dyDescent="0.3">
      <c r="B133" s="6"/>
      <c r="C133" s="10"/>
      <c r="D133" s="48" t="str">
        <f>IF(Tabla_Registro_Tareas4[[#This Row],[Actividad]]=Indice_Aux_Vacio,"",IFERROR(INDEX(plan!$D$4:$D$52,MATCH(Tabla_Registro_Tareas4[[#This Row],[Actividad]],plan!$C$4:$C$52,0)),""))</f>
        <v/>
      </c>
      <c r="E133" s="48" t="str">
        <f>IFERROR(INDEX(plan!$E$4:$E$52,MATCH(Tabla_Registro_Tareas4[[#This Row],[Actividad]],plan!$C$4:$C$52,0)),"")</f>
        <v/>
      </c>
      <c r="F133" s="49" t="str">
        <f>IF(Tabla_Registro_Tareas4[[#This Row],[Actividad]]=Indice_Aux_Vacio,"",Indice_PROBLAM_Estudiante4)</f>
        <v/>
      </c>
      <c r="G133" s="7"/>
      <c r="H133" s="8"/>
      <c r="I133" s="9"/>
      <c r="K133" s="12" t="str" cm="1">
        <f t="array" ref="K133">IF($B133&lt;&gt;"",TRANSPOSE(_xlfn._xlws.FILTER(plan!$C$4:$C$52, ($B133 &gt;= (plan!$J$4:$J$52-Indice_Plan_ExtensionPlazo))*($B133 &lt;= (plan!$K$4:$K$52+Indice_Plan_ExtensionPlazo)), "")), "")</f>
        <v/>
      </c>
      <c r="BH133" s="4"/>
    </row>
    <row r="134" spans="2:60" x14ac:dyDescent="0.3">
      <c r="B134" s="6"/>
      <c r="C134" s="10"/>
      <c r="D134" s="48" t="str">
        <f>IF(Tabla_Registro_Tareas4[[#This Row],[Actividad]]=Indice_Aux_Vacio,"",IFERROR(INDEX(plan!$D$4:$D$52,MATCH(Tabla_Registro_Tareas4[[#This Row],[Actividad]],plan!$C$4:$C$52,0)),""))</f>
        <v/>
      </c>
      <c r="E134" s="48" t="str">
        <f>IFERROR(INDEX(plan!$E$4:$E$52,MATCH(Tabla_Registro_Tareas4[[#This Row],[Actividad]],plan!$C$4:$C$52,0)),"")</f>
        <v/>
      </c>
      <c r="F134" s="49" t="str">
        <f>IF(Tabla_Registro_Tareas4[[#This Row],[Actividad]]=Indice_Aux_Vacio,"",Indice_PROBLAM_Estudiante4)</f>
        <v/>
      </c>
      <c r="G134" s="7"/>
      <c r="H134" s="8"/>
      <c r="I134" s="9"/>
      <c r="K134" s="12" t="str" cm="1">
        <f t="array" ref="K134">IF($B134&lt;&gt;"",TRANSPOSE(_xlfn._xlws.FILTER(plan!$C$4:$C$52, ($B134 &gt;= (plan!$J$4:$J$52-Indice_Plan_ExtensionPlazo))*($B134 &lt;= (plan!$K$4:$K$52+Indice_Plan_ExtensionPlazo)), "")), "")</f>
        <v/>
      </c>
      <c r="BH134" s="4"/>
    </row>
    <row r="135" spans="2:60" x14ac:dyDescent="0.3">
      <c r="B135" s="6"/>
      <c r="C135" s="10"/>
      <c r="D135" s="48" t="str">
        <f>IF(Tabla_Registro_Tareas4[[#This Row],[Actividad]]=Indice_Aux_Vacio,"",IFERROR(INDEX(plan!$D$4:$D$52,MATCH(Tabla_Registro_Tareas4[[#This Row],[Actividad]],plan!$C$4:$C$52,0)),""))</f>
        <v/>
      </c>
      <c r="E135" s="48" t="str">
        <f>IFERROR(INDEX(plan!$E$4:$E$52,MATCH(Tabla_Registro_Tareas4[[#This Row],[Actividad]],plan!$C$4:$C$52,0)),"")</f>
        <v/>
      </c>
      <c r="F135" s="49" t="str">
        <f>IF(Tabla_Registro_Tareas4[[#This Row],[Actividad]]=Indice_Aux_Vacio,"",Indice_PROBLAM_Estudiante4)</f>
        <v/>
      </c>
      <c r="G135" s="7"/>
      <c r="H135" s="8"/>
      <c r="I135" s="9"/>
      <c r="K135" s="12" t="str" cm="1">
        <f t="array" ref="K135">IF($B135&lt;&gt;"",TRANSPOSE(_xlfn._xlws.FILTER(plan!$C$4:$C$52, ($B135 &gt;= (plan!$J$4:$J$52-Indice_Plan_ExtensionPlazo))*($B135 &lt;= (plan!$K$4:$K$52+Indice_Plan_ExtensionPlazo)), "")), "")</f>
        <v/>
      </c>
      <c r="BH135" s="4"/>
    </row>
    <row r="136" spans="2:60" x14ac:dyDescent="0.3">
      <c r="B136" s="6"/>
      <c r="C136" s="10"/>
      <c r="D136" s="48" t="str">
        <f>IF(Tabla_Registro_Tareas4[[#This Row],[Actividad]]=Indice_Aux_Vacio,"",IFERROR(INDEX(plan!$D$4:$D$52,MATCH(Tabla_Registro_Tareas4[[#This Row],[Actividad]],plan!$C$4:$C$52,0)),""))</f>
        <v/>
      </c>
      <c r="E136" s="48" t="str">
        <f>IFERROR(INDEX(plan!$E$4:$E$52,MATCH(Tabla_Registro_Tareas4[[#This Row],[Actividad]],plan!$C$4:$C$52,0)),"")</f>
        <v/>
      </c>
      <c r="F136" s="49" t="str">
        <f>IF(Tabla_Registro_Tareas4[[#This Row],[Actividad]]=Indice_Aux_Vacio,"",Indice_PROBLAM_Estudiante4)</f>
        <v/>
      </c>
      <c r="G136" s="7"/>
      <c r="H136" s="8"/>
      <c r="I136" s="9"/>
      <c r="K136" s="12" t="str" cm="1">
        <f t="array" ref="K136">IF($B136&lt;&gt;"",TRANSPOSE(_xlfn._xlws.FILTER(plan!$C$4:$C$52, ($B136 &gt;= (plan!$J$4:$J$52-Indice_Plan_ExtensionPlazo))*($B136 &lt;= (plan!$K$4:$K$52+Indice_Plan_ExtensionPlazo)), "")), "")</f>
        <v/>
      </c>
      <c r="BH136" s="4"/>
    </row>
    <row r="137" spans="2:60" x14ac:dyDescent="0.3">
      <c r="B137" s="6"/>
      <c r="C137" s="10"/>
      <c r="D137" s="48" t="str">
        <f>IF(Tabla_Registro_Tareas4[[#This Row],[Actividad]]=Indice_Aux_Vacio,"",IFERROR(INDEX(plan!$D$4:$D$52,MATCH(Tabla_Registro_Tareas4[[#This Row],[Actividad]],plan!$C$4:$C$52,0)),""))</f>
        <v/>
      </c>
      <c r="E137" s="48" t="str">
        <f>IFERROR(INDEX(plan!$E$4:$E$52,MATCH(Tabla_Registro_Tareas4[[#This Row],[Actividad]],plan!$C$4:$C$52,0)),"")</f>
        <v/>
      </c>
      <c r="F137" s="49" t="str">
        <f>IF(Tabla_Registro_Tareas4[[#This Row],[Actividad]]=Indice_Aux_Vacio,"",Indice_PROBLAM_Estudiante4)</f>
        <v/>
      </c>
      <c r="G137" s="7"/>
      <c r="H137" s="8"/>
      <c r="I137" s="9"/>
      <c r="K137" s="12" t="str" cm="1">
        <f t="array" ref="K137">IF($B137&lt;&gt;"",TRANSPOSE(_xlfn._xlws.FILTER(plan!$C$4:$C$52, ($B137 &gt;= (plan!$J$4:$J$52-Indice_Plan_ExtensionPlazo))*($B137 &lt;= (plan!$K$4:$K$52+Indice_Plan_ExtensionPlazo)), "")), "")</f>
        <v/>
      </c>
      <c r="BH137" s="4"/>
    </row>
    <row r="138" spans="2:60" x14ac:dyDescent="0.3">
      <c r="B138" s="6"/>
      <c r="C138" s="10"/>
      <c r="D138" s="48" t="str">
        <f>IF(Tabla_Registro_Tareas4[[#This Row],[Actividad]]=Indice_Aux_Vacio,"",IFERROR(INDEX(plan!$D$4:$D$52,MATCH(Tabla_Registro_Tareas4[[#This Row],[Actividad]],plan!$C$4:$C$52,0)),""))</f>
        <v/>
      </c>
      <c r="E138" s="48" t="str">
        <f>IFERROR(INDEX(plan!$E$4:$E$52,MATCH(Tabla_Registro_Tareas4[[#This Row],[Actividad]],plan!$C$4:$C$52,0)),"")</f>
        <v/>
      </c>
      <c r="F138" s="49" t="str">
        <f>IF(Tabla_Registro_Tareas4[[#This Row],[Actividad]]=Indice_Aux_Vacio,"",Indice_PROBLAM_Estudiante4)</f>
        <v/>
      </c>
      <c r="G138" s="7"/>
      <c r="H138" s="8"/>
      <c r="I138" s="9"/>
      <c r="K138" s="12" t="str" cm="1">
        <f t="array" ref="K138">IF($B138&lt;&gt;"",TRANSPOSE(_xlfn._xlws.FILTER(plan!$C$4:$C$52, ($B138 &gt;= (plan!$J$4:$J$52-Indice_Plan_ExtensionPlazo))*($B138 &lt;= (plan!$K$4:$K$52+Indice_Plan_ExtensionPlazo)), "")), "")</f>
        <v/>
      </c>
      <c r="BH138" s="4"/>
    </row>
    <row r="139" spans="2:60" x14ac:dyDescent="0.3">
      <c r="B139" s="6"/>
      <c r="C139" s="10"/>
      <c r="D139" s="48" t="str">
        <f>IF(Tabla_Registro_Tareas4[[#This Row],[Actividad]]=Indice_Aux_Vacio,"",IFERROR(INDEX(plan!$D$4:$D$52,MATCH(Tabla_Registro_Tareas4[[#This Row],[Actividad]],plan!$C$4:$C$52,0)),""))</f>
        <v/>
      </c>
      <c r="E139" s="48" t="str">
        <f>IFERROR(INDEX(plan!$E$4:$E$52,MATCH(Tabla_Registro_Tareas4[[#This Row],[Actividad]],plan!$C$4:$C$52,0)),"")</f>
        <v/>
      </c>
      <c r="F139" s="49" t="str">
        <f>IF(Tabla_Registro_Tareas4[[#This Row],[Actividad]]=Indice_Aux_Vacio,"",Indice_PROBLAM_Estudiante4)</f>
        <v/>
      </c>
      <c r="G139" s="7"/>
      <c r="H139" s="8"/>
      <c r="I139" s="9"/>
      <c r="K139" s="12" t="str" cm="1">
        <f t="array" ref="K139">IF($B139&lt;&gt;"",TRANSPOSE(_xlfn._xlws.FILTER(plan!$C$4:$C$52, ($B139 &gt;= (plan!$J$4:$J$52-Indice_Plan_ExtensionPlazo))*($B139 &lt;= (plan!$K$4:$K$52+Indice_Plan_ExtensionPlazo)), "")), "")</f>
        <v/>
      </c>
      <c r="BH139" s="4"/>
    </row>
    <row r="140" spans="2:60" x14ac:dyDescent="0.3">
      <c r="B140" s="6"/>
      <c r="C140" s="10"/>
      <c r="D140" s="48" t="str">
        <f>IF(Tabla_Registro_Tareas4[[#This Row],[Actividad]]=Indice_Aux_Vacio,"",IFERROR(INDEX(plan!$D$4:$D$52,MATCH(Tabla_Registro_Tareas4[[#This Row],[Actividad]],plan!$C$4:$C$52,0)),""))</f>
        <v/>
      </c>
      <c r="E140" s="48" t="str">
        <f>IFERROR(INDEX(plan!$E$4:$E$52,MATCH(Tabla_Registro_Tareas4[[#This Row],[Actividad]],plan!$C$4:$C$52,0)),"")</f>
        <v/>
      </c>
      <c r="F140" s="49" t="str">
        <f>IF(Tabla_Registro_Tareas4[[#This Row],[Actividad]]=Indice_Aux_Vacio,"",Indice_PROBLAM_Estudiante4)</f>
        <v/>
      </c>
      <c r="G140" s="7"/>
      <c r="H140" s="8"/>
      <c r="I140" s="9"/>
      <c r="K140" s="12" t="str" cm="1">
        <f t="array" ref="K140">IF($B140&lt;&gt;"",TRANSPOSE(_xlfn._xlws.FILTER(plan!$C$4:$C$52, ($B140 &gt;= (plan!$J$4:$J$52-Indice_Plan_ExtensionPlazo))*($B140 &lt;= (plan!$K$4:$K$52+Indice_Plan_ExtensionPlazo)), "")), "")</f>
        <v/>
      </c>
      <c r="BH140" s="4"/>
    </row>
    <row r="141" spans="2:60" x14ac:dyDescent="0.3">
      <c r="B141" s="6"/>
      <c r="C141" s="10"/>
      <c r="D141" s="48" t="str">
        <f>IF(Tabla_Registro_Tareas4[[#This Row],[Actividad]]=Indice_Aux_Vacio,"",IFERROR(INDEX(plan!$D$4:$D$52,MATCH(Tabla_Registro_Tareas4[[#This Row],[Actividad]],plan!$C$4:$C$52,0)),""))</f>
        <v/>
      </c>
      <c r="E141" s="48" t="str">
        <f>IFERROR(INDEX(plan!$E$4:$E$52,MATCH(Tabla_Registro_Tareas4[[#This Row],[Actividad]],plan!$C$4:$C$52,0)),"")</f>
        <v/>
      </c>
      <c r="F141" s="49" t="str">
        <f>IF(Tabla_Registro_Tareas4[[#This Row],[Actividad]]=Indice_Aux_Vacio,"",Indice_PROBLAM_Estudiante4)</f>
        <v/>
      </c>
      <c r="G141" s="7"/>
      <c r="H141" s="8"/>
      <c r="I141" s="9"/>
      <c r="K141" s="12" t="str" cm="1">
        <f t="array" ref="K141">IF($B141&lt;&gt;"",TRANSPOSE(_xlfn._xlws.FILTER(plan!$C$4:$C$52, ($B141 &gt;= (plan!$J$4:$J$52-Indice_Plan_ExtensionPlazo))*($B141 &lt;= (plan!$K$4:$K$52+Indice_Plan_ExtensionPlazo)), "")), "")</f>
        <v/>
      </c>
      <c r="BH141" s="4"/>
    </row>
    <row r="142" spans="2:60" x14ac:dyDescent="0.3">
      <c r="B142" s="6"/>
      <c r="C142" s="10"/>
      <c r="D142" s="48" t="str">
        <f>IF(Tabla_Registro_Tareas4[[#This Row],[Actividad]]=Indice_Aux_Vacio,"",IFERROR(INDEX(plan!$D$4:$D$52,MATCH(Tabla_Registro_Tareas4[[#This Row],[Actividad]],plan!$C$4:$C$52,0)),""))</f>
        <v/>
      </c>
      <c r="E142" s="48" t="str">
        <f>IFERROR(INDEX(plan!$E$4:$E$52,MATCH(Tabla_Registro_Tareas4[[#This Row],[Actividad]],plan!$C$4:$C$52,0)),"")</f>
        <v/>
      </c>
      <c r="F142" s="49" t="str">
        <f>IF(Tabla_Registro_Tareas4[[#This Row],[Actividad]]=Indice_Aux_Vacio,"",Indice_PROBLAM_Estudiante4)</f>
        <v/>
      </c>
      <c r="G142" s="7"/>
      <c r="H142" s="8"/>
      <c r="I142" s="9"/>
      <c r="K142" s="12" t="str" cm="1">
        <f t="array" ref="K142">IF($B142&lt;&gt;"",TRANSPOSE(_xlfn._xlws.FILTER(plan!$C$4:$C$52, ($B142 &gt;= (plan!$J$4:$J$52-Indice_Plan_ExtensionPlazo))*($B142 &lt;= (plan!$K$4:$K$52+Indice_Plan_ExtensionPlazo)), "")), "")</f>
        <v/>
      </c>
      <c r="BH142" s="4"/>
    </row>
    <row r="143" spans="2:60" x14ac:dyDescent="0.3">
      <c r="B143" s="6"/>
      <c r="C143" s="10"/>
      <c r="D143" s="48" t="str">
        <f>IF(Tabla_Registro_Tareas4[[#This Row],[Actividad]]=Indice_Aux_Vacio,"",IFERROR(INDEX(plan!$D$4:$D$52,MATCH(Tabla_Registro_Tareas4[[#This Row],[Actividad]],plan!$C$4:$C$52,0)),""))</f>
        <v/>
      </c>
      <c r="E143" s="48" t="str">
        <f>IFERROR(INDEX(plan!$E$4:$E$52,MATCH(Tabla_Registro_Tareas4[[#This Row],[Actividad]],plan!$C$4:$C$52,0)),"")</f>
        <v/>
      </c>
      <c r="F143" s="49" t="str">
        <f>IF(Tabla_Registro_Tareas4[[#This Row],[Actividad]]=Indice_Aux_Vacio,"",Indice_PROBLAM_Estudiante4)</f>
        <v/>
      </c>
      <c r="G143" s="7"/>
      <c r="H143" s="8"/>
      <c r="I143" s="9"/>
      <c r="K143" s="12" t="str" cm="1">
        <f t="array" ref="K143">IF($B143&lt;&gt;"",TRANSPOSE(_xlfn._xlws.FILTER(plan!$C$4:$C$52, ($B143 &gt;= (plan!$J$4:$J$52-Indice_Plan_ExtensionPlazo))*($B143 &lt;= (plan!$K$4:$K$52+Indice_Plan_ExtensionPlazo)), "")), "")</f>
        <v/>
      </c>
      <c r="BH143" s="4"/>
    </row>
    <row r="144" spans="2:60" x14ac:dyDescent="0.3">
      <c r="B144" s="6"/>
      <c r="C144" s="10"/>
      <c r="D144" s="48" t="str">
        <f>IF(Tabla_Registro_Tareas4[[#This Row],[Actividad]]=Indice_Aux_Vacio,"",IFERROR(INDEX(plan!$D$4:$D$52,MATCH(Tabla_Registro_Tareas4[[#This Row],[Actividad]],plan!$C$4:$C$52,0)),""))</f>
        <v/>
      </c>
      <c r="E144" s="48" t="str">
        <f>IFERROR(INDEX(plan!$E$4:$E$52,MATCH(Tabla_Registro_Tareas4[[#This Row],[Actividad]],plan!$C$4:$C$52,0)),"")</f>
        <v/>
      </c>
      <c r="F144" s="49" t="str">
        <f>IF(Tabla_Registro_Tareas4[[#This Row],[Actividad]]=Indice_Aux_Vacio,"",Indice_PROBLAM_Estudiante4)</f>
        <v/>
      </c>
      <c r="G144" s="7"/>
      <c r="H144" s="8"/>
      <c r="I144" s="9"/>
      <c r="K144" s="12" t="str" cm="1">
        <f t="array" ref="K144">IF($B144&lt;&gt;"",TRANSPOSE(_xlfn._xlws.FILTER(plan!$C$4:$C$52, ($B144 &gt;= (plan!$J$4:$J$52-Indice_Plan_ExtensionPlazo))*($B144 &lt;= (plan!$K$4:$K$52+Indice_Plan_ExtensionPlazo)), "")), "")</f>
        <v/>
      </c>
      <c r="BH144" s="4"/>
    </row>
    <row r="145" spans="2:60" x14ac:dyDescent="0.3">
      <c r="B145" s="6"/>
      <c r="C145" s="10"/>
      <c r="D145" s="48" t="str">
        <f>IF(Tabla_Registro_Tareas4[[#This Row],[Actividad]]=Indice_Aux_Vacio,"",IFERROR(INDEX(plan!$D$4:$D$52,MATCH(Tabla_Registro_Tareas4[[#This Row],[Actividad]],plan!$C$4:$C$52,0)),""))</f>
        <v/>
      </c>
      <c r="E145" s="48" t="str">
        <f>IFERROR(INDEX(plan!$E$4:$E$52,MATCH(Tabla_Registro_Tareas4[[#This Row],[Actividad]],plan!$C$4:$C$52,0)),"")</f>
        <v/>
      </c>
      <c r="F145" s="49" t="str">
        <f>IF(Tabla_Registro_Tareas4[[#This Row],[Actividad]]=Indice_Aux_Vacio,"",Indice_PROBLAM_Estudiante4)</f>
        <v/>
      </c>
      <c r="G145" s="7"/>
      <c r="H145" s="8"/>
      <c r="I145" s="9"/>
      <c r="K145" s="12" t="str" cm="1">
        <f t="array" ref="K145">IF($B145&lt;&gt;"",TRANSPOSE(_xlfn._xlws.FILTER(plan!$C$4:$C$52, ($B145 &gt;= (plan!$J$4:$J$52-Indice_Plan_ExtensionPlazo))*($B145 &lt;= (plan!$K$4:$K$52+Indice_Plan_ExtensionPlazo)), "")), "")</f>
        <v/>
      </c>
      <c r="BH145" s="4"/>
    </row>
    <row r="146" spans="2:60" x14ac:dyDescent="0.3">
      <c r="B146" s="6"/>
      <c r="C146" s="10"/>
      <c r="D146" s="48" t="str">
        <f>IF(Tabla_Registro_Tareas4[[#This Row],[Actividad]]=Indice_Aux_Vacio,"",IFERROR(INDEX(plan!$D$4:$D$52,MATCH(Tabla_Registro_Tareas4[[#This Row],[Actividad]],plan!$C$4:$C$52,0)),""))</f>
        <v/>
      </c>
      <c r="E146" s="48" t="str">
        <f>IFERROR(INDEX(plan!$E$4:$E$52,MATCH(Tabla_Registro_Tareas4[[#This Row],[Actividad]],plan!$C$4:$C$52,0)),"")</f>
        <v/>
      </c>
      <c r="F146" s="49" t="str">
        <f>IF(Tabla_Registro_Tareas4[[#This Row],[Actividad]]=Indice_Aux_Vacio,"",Indice_PROBLAM_Estudiante4)</f>
        <v/>
      </c>
      <c r="G146" s="7"/>
      <c r="H146" s="8"/>
      <c r="I146" s="9"/>
      <c r="K146" s="12" t="str" cm="1">
        <f t="array" ref="K146">IF($B146&lt;&gt;"",TRANSPOSE(_xlfn._xlws.FILTER(plan!$C$4:$C$52, ($B146 &gt;= (plan!$J$4:$J$52-Indice_Plan_ExtensionPlazo))*($B146 &lt;= (plan!$K$4:$K$52+Indice_Plan_ExtensionPlazo)), "")), "")</f>
        <v/>
      </c>
      <c r="BH146" s="4"/>
    </row>
    <row r="147" spans="2:60" x14ac:dyDescent="0.3">
      <c r="B147" s="6"/>
      <c r="C147" s="10"/>
      <c r="D147" s="48" t="str">
        <f>IF(Tabla_Registro_Tareas4[[#This Row],[Actividad]]=Indice_Aux_Vacio,"",IFERROR(INDEX(plan!$D$4:$D$52,MATCH(Tabla_Registro_Tareas4[[#This Row],[Actividad]],plan!$C$4:$C$52,0)),""))</f>
        <v/>
      </c>
      <c r="E147" s="48" t="str">
        <f>IFERROR(INDEX(plan!$E$4:$E$52,MATCH(Tabla_Registro_Tareas4[[#This Row],[Actividad]],plan!$C$4:$C$52,0)),"")</f>
        <v/>
      </c>
      <c r="F147" s="49" t="str">
        <f>IF(Tabla_Registro_Tareas4[[#This Row],[Actividad]]=Indice_Aux_Vacio,"",Indice_PROBLAM_Estudiante4)</f>
        <v/>
      </c>
      <c r="G147" s="7"/>
      <c r="H147" s="8"/>
      <c r="I147" s="9"/>
      <c r="K147" s="12" t="str" cm="1">
        <f t="array" ref="K147">IF($B147&lt;&gt;"",TRANSPOSE(_xlfn._xlws.FILTER(plan!$C$4:$C$52, ($B147 &gt;= (plan!$J$4:$J$52-Indice_Plan_ExtensionPlazo))*($B147 &lt;= (plan!$K$4:$K$52+Indice_Plan_ExtensionPlazo)), "")), "")</f>
        <v/>
      </c>
      <c r="BH147" s="4"/>
    </row>
    <row r="148" spans="2:60" x14ac:dyDescent="0.3">
      <c r="B148" s="6"/>
      <c r="C148" s="10"/>
      <c r="D148" s="48" t="str">
        <f>IF(Tabla_Registro_Tareas4[[#This Row],[Actividad]]=Indice_Aux_Vacio,"",IFERROR(INDEX(plan!$D$4:$D$52,MATCH(Tabla_Registro_Tareas4[[#This Row],[Actividad]],plan!$C$4:$C$52,0)),""))</f>
        <v/>
      </c>
      <c r="E148" s="48" t="str">
        <f>IFERROR(INDEX(plan!$E$4:$E$52,MATCH(Tabla_Registro_Tareas4[[#This Row],[Actividad]],plan!$C$4:$C$52,0)),"")</f>
        <v/>
      </c>
      <c r="F148" s="49" t="str">
        <f>IF(Tabla_Registro_Tareas4[[#This Row],[Actividad]]=Indice_Aux_Vacio,"",Indice_PROBLAM_Estudiante4)</f>
        <v/>
      </c>
      <c r="G148" s="7"/>
      <c r="H148" s="8"/>
      <c r="I148" s="9"/>
      <c r="K148" s="12" t="str" cm="1">
        <f t="array" ref="K148">IF($B148&lt;&gt;"",TRANSPOSE(_xlfn._xlws.FILTER(plan!$C$4:$C$52, ($B148 &gt;= (plan!$J$4:$J$52-Indice_Plan_ExtensionPlazo))*($B148 &lt;= (plan!$K$4:$K$52+Indice_Plan_ExtensionPlazo)), "")), "")</f>
        <v/>
      </c>
      <c r="BH148" s="4"/>
    </row>
    <row r="149" spans="2:60" x14ac:dyDescent="0.3">
      <c r="B149" s="6"/>
      <c r="C149" s="10"/>
      <c r="D149" s="48" t="str">
        <f>IF(Tabla_Registro_Tareas4[[#This Row],[Actividad]]=Indice_Aux_Vacio,"",IFERROR(INDEX(plan!$D$4:$D$52,MATCH(Tabla_Registro_Tareas4[[#This Row],[Actividad]],plan!$C$4:$C$52,0)),""))</f>
        <v/>
      </c>
      <c r="E149" s="48" t="str">
        <f>IFERROR(INDEX(plan!$E$4:$E$52,MATCH(Tabla_Registro_Tareas4[[#This Row],[Actividad]],plan!$C$4:$C$52,0)),"")</f>
        <v/>
      </c>
      <c r="F149" s="49" t="str">
        <f>IF(Tabla_Registro_Tareas4[[#This Row],[Actividad]]=Indice_Aux_Vacio,"",Indice_PROBLAM_Estudiante4)</f>
        <v/>
      </c>
      <c r="G149" s="7"/>
      <c r="H149" s="8"/>
      <c r="I149" s="9"/>
      <c r="K149" s="12" t="str" cm="1">
        <f t="array" ref="K149">IF($B149&lt;&gt;"",TRANSPOSE(_xlfn._xlws.FILTER(plan!$C$4:$C$52, ($B149 &gt;= (plan!$J$4:$J$52-Indice_Plan_ExtensionPlazo))*($B149 &lt;= (plan!$K$4:$K$52+Indice_Plan_ExtensionPlazo)), "")), "")</f>
        <v/>
      </c>
      <c r="BH149" s="4"/>
    </row>
    <row r="150" spans="2:60" x14ac:dyDescent="0.3">
      <c r="B150" s="6"/>
      <c r="C150" s="10"/>
      <c r="D150" s="48" t="str">
        <f>IF(Tabla_Registro_Tareas4[[#This Row],[Actividad]]=Indice_Aux_Vacio,"",IFERROR(INDEX(plan!$D$4:$D$52,MATCH(Tabla_Registro_Tareas4[[#This Row],[Actividad]],plan!$C$4:$C$52,0)),""))</f>
        <v/>
      </c>
      <c r="E150" s="48" t="str">
        <f>IFERROR(INDEX(plan!$E$4:$E$52,MATCH(Tabla_Registro_Tareas4[[#This Row],[Actividad]],plan!$C$4:$C$52,0)),"")</f>
        <v/>
      </c>
      <c r="F150" s="49" t="str">
        <f>IF(Tabla_Registro_Tareas4[[#This Row],[Actividad]]=Indice_Aux_Vacio,"",Indice_PROBLAM_Estudiante4)</f>
        <v/>
      </c>
      <c r="G150" s="7"/>
      <c r="H150" s="8"/>
      <c r="I150" s="9"/>
      <c r="K150" s="12" t="str" cm="1">
        <f t="array" ref="K150">IF($B150&lt;&gt;"",TRANSPOSE(_xlfn._xlws.FILTER(plan!$C$4:$C$52, ($B150 &gt;= (plan!$J$4:$J$52-Indice_Plan_ExtensionPlazo))*($B150 &lt;= (plan!$K$4:$K$52+Indice_Plan_ExtensionPlazo)), "")), "")</f>
        <v/>
      </c>
      <c r="BH150" s="4"/>
    </row>
    <row r="151" spans="2:60" x14ac:dyDescent="0.3">
      <c r="B151" s="6"/>
      <c r="C151" s="10"/>
      <c r="D151" s="48" t="str">
        <f>IF(Tabla_Registro_Tareas4[[#This Row],[Actividad]]=Indice_Aux_Vacio,"",IFERROR(INDEX(plan!$D$4:$D$52,MATCH(Tabla_Registro_Tareas4[[#This Row],[Actividad]],plan!$C$4:$C$52,0)),""))</f>
        <v/>
      </c>
      <c r="E151" s="48" t="str">
        <f>IFERROR(INDEX(plan!$E$4:$E$52,MATCH(Tabla_Registro_Tareas4[[#This Row],[Actividad]],plan!$C$4:$C$52,0)),"")</f>
        <v/>
      </c>
      <c r="F151" s="49" t="str">
        <f>IF(Tabla_Registro_Tareas4[[#This Row],[Actividad]]=Indice_Aux_Vacio,"",Indice_PROBLAM_Estudiante4)</f>
        <v/>
      </c>
      <c r="G151" s="7"/>
      <c r="H151" s="8"/>
      <c r="I151" s="9"/>
      <c r="K151" s="12" t="str" cm="1">
        <f t="array" ref="K151">IF($B151&lt;&gt;"",TRANSPOSE(_xlfn._xlws.FILTER(plan!$C$4:$C$52, ($B151 &gt;= (plan!$J$4:$J$52-Indice_Plan_ExtensionPlazo))*($B151 &lt;= (plan!$K$4:$K$52+Indice_Plan_ExtensionPlazo)), "")), "")</f>
        <v/>
      </c>
      <c r="BH151" s="4"/>
    </row>
    <row r="152" spans="2:60" x14ac:dyDescent="0.3">
      <c r="B152" s="6"/>
      <c r="C152" s="10"/>
      <c r="D152" s="48" t="str">
        <f>IF(Tabla_Registro_Tareas4[[#This Row],[Actividad]]=Indice_Aux_Vacio,"",IFERROR(INDEX(plan!$D$4:$D$52,MATCH(Tabla_Registro_Tareas4[[#This Row],[Actividad]],plan!$C$4:$C$52,0)),""))</f>
        <v/>
      </c>
      <c r="E152" s="48" t="str">
        <f>IFERROR(INDEX(plan!$E$4:$E$52,MATCH(Tabla_Registro_Tareas4[[#This Row],[Actividad]],plan!$C$4:$C$52,0)),"")</f>
        <v/>
      </c>
      <c r="F152" s="49" t="str">
        <f>IF(Tabla_Registro_Tareas4[[#This Row],[Actividad]]=Indice_Aux_Vacio,"",Indice_PROBLAM_Estudiante4)</f>
        <v/>
      </c>
      <c r="G152" s="7"/>
      <c r="H152" s="8"/>
      <c r="I152" s="9"/>
      <c r="K152" s="12" t="str" cm="1">
        <f t="array" ref="K152">IF($B152&lt;&gt;"",TRANSPOSE(_xlfn._xlws.FILTER(plan!$C$4:$C$52, ($B152 &gt;= (plan!$J$4:$J$52-Indice_Plan_ExtensionPlazo))*($B152 &lt;= (plan!$K$4:$K$52+Indice_Plan_ExtensionPlazo)), "")), "")</f>
        <v/>
      </c>
      <c r="BH152" s="4"/>
    </row>
    <row r="153" spans="2:60" x14ac:dyDescent="0.3">
      <c r="B153" s="6"/>
      <c r="C153" s="10"/>
      <c r="D153" s="48" t="str">
        <f>IF(Tabla_Registro_Tareas4[[#This Row],[Actividad]]=Indice_Aux_Vacio,"",IFERROR(INDEX(plan!$D$4:$D$52,MATCH(Tabla_Registro_Tareas4[[#This Row],[Actividad]],plan!$C$4:$C$52,0)),""))</f>
        <v/>
      </c>
      <c r="E153" s="48" t="str">
        <f>IFERROR(INDEX(plan!$E$4:$E$52,MATCH(Tabla_Registro_Tareas4[[#This Row],[Actividad]],plan!$C$4:$C$52,0)),"")</f>
        <v/>
      </c>
      <c r="F153" s="49" t="str">
        <f>IF(Tabla_Registro_Tareas4[[#This Row],[Actividad]]=Indice_Aux_Vacio,"",Indice_PROBLAM_Estudiante4)</f>
        <v/>
      </c>
      <c r="G153" s="7"/>
      <c r="H153" s="8"/>
      <c r="I153" s="9"/>
      <c r="K153" s="12" t="str" cm="1">
        <f t="array" ref="K153">IF($B153&lt;&gt;"",TRANSPOSE(_xlfn._xlws.FILTER(plan!$C$4:$C$52, ($B153 &gt;= (plan!$J$4:$J$52-Indice_Plan_ExtensionPlazo))*($B153 &lt;= (plan!$K$4:$K$52+Indice_Plan_ExtensionPlazo)), "")), "")</f>
        <v/>
      </c>
      <c r="BH153" s="4"/>
    </row>
    <row r="154" spans="2:60" x14ac:dyDescent="0.3">
      <c r="B154" s="6"/>
      <c r="C154" s="10"/>
      <c r="D154" s="48" t="str">
        <f>IF(Tabla_Registro_Tareas4[[#This Row],[Actividad]]=Indice_Aux_Vacio,"",IFERROR(INDEX(plan!$D$4:$D$52,MATCH(Tabla_Registro_Tareas4[[#This Row],[Actividad]],plan!$C$4:$C$52,0)),""))</f>
        <v/>
      </c>
      <c r="E154" s="48" t="str">
        <f>IFERROR(INDEX(plan!$E$4:$E$52,MATCH(Tabla_Registro_Tareas4[[#This Row],[Actividad]],plan!$C$4:$C$52,0)),"")</f>
        <v/>
      </c>
      <c r="F154" s="49" t="str">
        <f>IF(Tabla_Registro_Tareas4[[#This Row],[Actividad]]=Indice_Aux_Vacio,"",Indice_PROBLAM_Estudiante4)</f>
        <v/>
      </c>
      <c r="G154" s="7"/>
      <c r="H154" s="8"/>
      <c r="I154" s="9"/>
      <c r="K154" s="12" t="str" cm="1">
        <f t="array" ref="K154">IF($B154&lt;&gt;"",TRANSPOSE(_xlfn._xlws.FILTER(plan!$C$4:$C$52, ($B154 &gt;= (plan!$J$4:$J$52-Indice_Plan_ExtensionPlazo))*($B154 &lt;= (plan!$K$4:$K$52+Indice_Plan_ExtensionPlazo)), "")), "")</f>
        <v/>
      </c>
      <c r="BH154" s="4"/>
    </row>
    <row r="155" spans="2:60" x14ac:dyDescent="0.3">
      <c r="B155" s="6"/>
      <c r="C155" s="10"/>
      <c r="D155" s="48" t="str">
        <f>IF(Tabla_Registro_Tareas4[[#This Row],[Actividad]]=Indice_Aux_Vacio,"",IFERROR(INDEX(plan!$D$4:$D$52,MATCH(Tabla_Registro_Tareas4[[#This Row],[Actividad]],plan!$C$4:$C$52,0)),""))</f>
        <v/>
      </c>
      <c r="E155" s="48" t="str">
        <f>IFERROR(INDEX(plan!$E$4:$E$52,MATCH(Tabla_Registro_Tareas4[[#This Row],[Actividad]],plan!$C$4:$C$52,0)),"")</f>
        <v/>
      </c>
      <c r="F155" s="49" t="str">
        <f>IF(Tabla_Registro_Tareas4[[#This Row],[Actividad]]=Indice_Aux_Vacio,"",Indice_PROBLAM_Estudiante4)</f>
        <v/>
      </c>
      <c r="G155" s="7"/>
      <c r="H155" s="8"/>
      <c r="I155" s="9"/>
      <c r="K155" s="12" t="str" cm="1">
        <f t="array" ref="K155">IF($B155&lt;&gt;"",TRANSPOSE(_xlfn._xlws.FILTER(plan!$C$4:$C$52, ($B155 &gt;= (plan!$J$4:$J$52-Indice_Plan_ExtensionPlazo))*($B155 &lt;= (plan!$K$4:$K$52+Indice_Plan_ExtensionPlazo)), "")), "")</f>
        <v/>
      </c>
      <c r="BH155" s="4"/>
    </row>
    <row r="156" spans="2:60" x14ac:dyDescent="0.3">
      <c r="B156" s="6"/>
      <c r="C156" s="10"/>
      <c r="D156" s="48" t="str">
        <f>IF(Tabla_Registro_Tareas4[[#This Row],[Actividad]]=Indice_Aux_Vacio,"",IFERROR(INDEX(plan!$D$4:$D$52,MATCH(Tabla_Registro_Tareas4[[#This Row],[Actividad]],plan!$C$4:$C$52,0)),""))</f>
        <v/>
      </c>
      <c r="E156" s="48" t="str">
        <f>IFERROR(INDEX(plan!$E$4:$E$52,MATCH(Tabla_Registro_Tareas4[[#This Row],[Actividad]],plan!$C$4:$C$52,0)),"")</f>
        <v/>
      </c>
      <c r="F156" s="49" t="str">
        <f>IF(Tabla_Registro_Tareas4[[#This Row],[Actividad]]=Indice_Aux_Vacio,"",Indice_PROBLAM_Estudiante4)</f>
        <v/>
      </c>
      <c r="G156" s="7"/>
      <c r="H156" s="8"/>
      <c r="I156" s="9"/>
      <c r="K156" s="12" t="str" cm="1">
        <f t="array" ref="K156">IF($B156&lt;&gt;"",TRANSPOSE(_xlfn._xlws.FILTER(plan!$C$4:$C$52, ($B156 &gt;= (plan!$J$4:$J$52-Indice_Plan_ExtensionPlazo))*($B156 &lt;= (plan!$K$4:$K$52+Indice_Plan_ExtensionPlazo)), "")), "")</f>
        <v/>
      </c>
      <c r="BH156" s="4"/>
    </row>
    <row r="157" spans="2:60" x14ac:dyDescent="0.3">
      <c r="B157" s="6"/>
      <c r="C157" s="10"/>
      <c r="D157" s="48" t="str">
        <f>IF(Tabla_Registro_Tareas4[[#This Row],[Actividad]]=Indice_Aux_Vacio,"",IFERROR(INDEX(plan!$D$4:$D$52,MATCH(Tabla_Registro_Tareas4[[#This Row],[Actividad]],plan!$C$4:$C$52,0)),""))</f>
        <v/>
      </c>
      <c r="E157" s="48" t="str">
        <f>IFERROR(INDEX(plan!$E$4:$E$52,MATCH(Tabla_Registro_Tareas4[[#This Row],[Actividad]],plan!$C$4:$C$52,0)),"")</f>
        <v/>
      </c>
      <c r="F157" s="49" t="str">
        <f>IF(Tabla_Registro_Tareas4[[#This Row],[Actividad]]=Indice_Aux_Vacio,"",Indice_PROBLAM_Estudiante4)</f>
        <v/>
      </c>
      <c r="G157" s="7"/>
      <c r="H157" s="8"/>
      <c r="I157" s="9"/>
      <c r="K157" s="12" t="str" cm="1">
        <f t="array" ref="K157">IF($B157&lt;&gt;"",TRANSPOSE(_xlfn._xlws.FILTER(plan!$C$4:$C$52, ($B157 &gt;= (plan!$J$4:$J$52-Indice_Plan_ExtensionPlazo))*($B157 &lt;= (plan!$K$4:$K$52+Indice_Plan_ExtensionPlazo)), "")), "")</f>
        <v/>
      </c>
      <c r="BH157" s="4"/>
    </row>
    <row r="158" spans="2:60" x14ac:dyDescent="0.3">
      <c r="B158" s="6"/>
      <c r="C158" s="10"/>
      <c r="D158" s="48" t="str">
        <f>IF(Tabla_Registro_Tareas4[[#This Row],[Actividad]]=Indice_Aux_Vacio,"",IFERROR(INDEX(plan!$D$4:$D$52,MATCH(Tabla_Registro_Tareas4[[#This Row],[Actividad]],plan!$C$4:$C$52,0)),""))</f>
        <v/>
      </c>
      <c r="E158" s="48" t="str">
        <f>IFERROR(INDEX(plan!$E$4:$E$52,MATCH(Tabla_Registro_Tareas4[[#This Row],[Actividad]],plan!$C$4:$C$52,0)),"")</f>
        <v/>
      </c>
      <c r="F158" s="49" t="str">
        <f>IF(Tabla_Registro_Tareas4[[#This Row],[Actividad]]=Indice_Aux_Vacio,"",Indice_PROBLAM_Estudiante4)</f>
        <v/>
      </c>
      <c r="G158" s="7"/>
      <c r="H158" s="8"/>
      <c r="I158" s="9"/>
      <c r="K158" s="12" t="str" cm="1">
        <f t="array" ref="K158">IF($B158&lt;&gt;"",TRANSPOSE(_xlfn._xlws.FILTER(plan!$C$4:$C$52, ($B158 &gt;= (plan!$J$4:$J$52-Indice_Plan_ExtensionPlazo))*($B158 &lt;= (plan!$K$4:$K$52+Indice_Plan_ExtensionPlazo)), "")), "")</f>
        <v/>
      </c>
      <c r="BH158" s="4"/>
    </row>
    <row r="159" spans="2:60" x14ac:dyDescent="0.3">
      <c r="B159" s="6"/>
      <c r="C159" s="10"/>
      <c r="D159" s="48" t="str">
        <f>IF(Tabla_Registro_Tareas4[[#This Row],[Actividad]]=Indice_Aux_Vacio,"",IFERROR(INDEX(plan!$D$4:$D$52,MATCH(Tabla_Registro_Tareas4[[#This Row],[Actividad]],plan!$C$4:$C$52,0)),""))</f>
        <v/>
      </c>
      <c r="E159" s="48" t="str">
        <f>IFERROR(INDEX(plan!$E$4:$E$52,MATCH(Tabla_Registro_Tareas4[[#This Row],[Actividad]],plan!$C$4:$C$52,0)),"")</f>
        <v/>
      </c>
      <c r="F159" s="49" t="str">
        <f>IF(Tabla_Registro_Tareas4[[#This Row],[Actividad]]=Indice_Aux_Vacio,"",Indice_PROBLAM_Estudiante4)</f>
        <v/>
      </c>
      <c r="G159" s="7"/>
      <c r="H159" s="8"/>
      <c r="I159" s="9"/>
      <c r="K159" s="12" t="str" cm="1">
        <f t="array" ref="K159">IF($B159&lt;&gt;"",TRANSPOSE(_xlfn._xlws.FILTER(plan!$C$4:$C$52, ($B159 &gt;= (plan!$J$4:$J$52-Indice_Plan_ExtensionPlazo))*($B159 &lt;= (plan!$K$4:$K$52+Indice_Plan_ExtensionPlazo)), "")), "")</f>
        <v/>
      </c>
      <c r="BH159" s="4"/>
    </row>
    <row r="160" spans="2:60" x14ac:dyDescent="0.3">
      <c r="B160" s="6"/>
      <c r="C160" s="10"/>
      <c r="D160" s="48" t="str">
        <f>IF(Tabla_Registro_Tareas4[[#This Row],[Actividad]]=Indice_Aux_Vacio,"",IFERROR(INDEX(plan!$D$4:$D$52,MATCH(Tabla_Registro_Tareas4[[#This Row],[Actividad]],plan!$C$4:$C$52,0)),""))</f>
        <v/>
      </c>
      <c r="E160" s="48" t="str">
        <f>IFERROR(INDEX(plan!$E$4:$E$52,MATCH(Tabla_Registro_Tareas4[[#This Row],[Actividad]],plan!$C$4:$C$52,0)),"")</f>
        <v/>
      </c>
      <c r="F160" s="49" t="str">
        <f>IF(Tabla_Registro_Tareas4[[#This Row],[Actividad]]=Indice_Aux_Vacio,"",Indice_PROBLAM_Estudiante4)</f>
        <v/>
      </c>
      <c r="G160" s="7"/>
      <c r="H160" s="8"/>
      <c r="I160" s="9"/>
      <c r="K160" s="12" t="str" cm="1">
        <f t="array" ref="K160">IF($B160&lt;&gt;"",TRANSPOSE(_xlfn._xlws.FILTER(plan!$C$4:$C$52, ($B160 &gt;= (plan!$J$4:$J$52-Indice_Plan_ExtensionPlazo))*($B160 &lt;= (plan!$K$4:$K$52+Indice_Plan_ExtensionPlazo)), "")), "")</f>
        <v/>
      </c>
      <c r="BH160" s="4"/>
    </row>
    <row r="161" spans="2:60" x14ac:dyDescent="0.3">
      <c r="B161" s="6"/>
      <c r="C161" s="10"/>
      <c r="D161" s="48" t="str">
        <f>IF(Tabla_Registro_Tareas4[[#This Row],[Actividad]]=Indice_Aux_Vacio,"",IFERROR(INDEX(plan!$D$4:$D$52,MATCH(Tabla_Registro_Tareas4[[#This Row],[Actividad]],plan!$C$4:$C$52,0)),""))</f>
        <v/>
      </c>
      <c r="E161" s="48" t="str">
        <f>IFERROR(INDEX(plan!$E$4:$E$52,MATCH(Tabla_Registro_Tareas4[[#This Row],[Actividad]],plan!$C$4:$C$52,0)),"")</f>
        <v/>
      </c>
      <c r="F161" s="49" t="str">
        <f>IF(Tabla_Registro_Tareas4[[#This Row],[Actividad]]=Indice_Aux_Vacio,"",Indice_PROBLAM_Estudiante4)</f>
        <v/>
      </c>
      <c r="G161" s="7"/>
      <c r="H161" s="8"/>
      <c r="I161" s="9"/>
      <c r="K161" s="12" t="str" cm="1">
        <f t="array" ref="K161">IF($B161&lt;&gt;"",TRANSPOSE(_xlfn._xlws.FILTER(plan!$C$4:$C$52, ($B161 &gt;= (plan!$J$4:$J$52-Indice_Plan_ExtensionPlazo))*($B161 &lt;= (plan!$K$4:$K$52+Indice_Plan_ExtensionPlazo)), "")), "")</f>
        <v/>
      </c>
      <c r="BH161" s="4"/>
    </row>
    <row r="162" spans="2:60" x14ac:dyDescent="0.3">
      <c r="B162" s="6"/>
      <c r="C162" s="10"/>
      <c r="D162" s="48" t="str">
        <f>IF(Tabla_Registro_Tareas4[[#This Row],[Actividad]]=Indice_Aux_Vacio,"",IFERROR(INDEX(plan!$D$4:$D$52,MATCH(Tabla_Registro_Tareas4[[#This Row],[Actividad]],plan!$C$4:$C$52,0)),""))</f>
        <v/>
      </c>
      <c r="E162" s="48" t="str">
        <f>IFERROR(INDEX(plan!$E$4:$E$52,MATCH(Tabla_Registro_Tareas4[[#This Row],[Actividad]],plan!$C$4:$C$52,0)),"")</f>
        <v/>
      </c>
      <c r="F162" s="49" t="str">
        <f>IF(Tabla_Registro_Tareas4[[#This Row],[Actividad]]=Indice_Aux_Vacio,"",Indice_PROBLAM_Estudiante4)</f>
        <v/>
      </c>
      <c r="G162" s="7"/>
      <c r="H162" s="8"/>
      <c r="I162" s="9"/>
      <c r="K162" s="12" t="str" cm="1">
        <f t="array" ref="K162">IF($B162&lt;&gt;"",TRANSPOSE(_xlfn._xlws.FILTER(plan!$C$4:$C$52, ($B162 &gt;= (plan!$J$4:$J$52-Indice_Plan_ExtensionPlazo))*($B162 &lt;= (plan!$K$4:$K$52+Indice_Plan_ExtensionPlazo)), "")), "")</f>
        <v/>
      </c>
      <c r="BH162" s="4"/>
    </row>
    <row r="163" spans="2:60" x14ac:dyDescent="0.3">
      <c r="B163" s="6"/>
      <c r="C163" s="10"/>
      <c r="D163" s="48" t="str">
        <f>IF(Tabla_Registro_Tareas4[[#This Row],[Actividad]]=Indice_Aux_Vacio,"",IFERROR(INDEX(plan!$D$4:$D$52,MATCH(Tabla_Registro_Tareas4[[#This Row],[Actividad]],plan!$C$4:$C$52,0)),""))</f>
        <v/>
      </c>
      <c r="E163" s="48" t="str">
        <f>IFERROR(INDEX(plan!$E$4:$E$52,MATCH(Tabla_Registro_Tareas4[[#This Row],[Actividad]],plan!$C$4:$C$52,0)),"")</f>
        <v/>
      </c>
      <c r="F163" s="49" t="str">
        <f>IF(Tabla_Registro_Tareas4[[#This Row],[Actividad]]=Indice_Aux_Vacio,"",Indice_PROBLAM_Estudiante4)</f>
        <v/>
      </c>
      <c r="G163" s="7"/>
      <c r="H163" s="8"/>
      <c r="I163" s="9"/>
      <c r="K163" s="12" t="str" cm="1">
        <f t="array" ref="K163">IF($B163&lt;&gt;"",TRANSPOSE(_xlfn._xlws.FILTER(plan!$C$4:$C$52, ($B163 &gt;= (plan!$J$4:$J$52-Indice_Plan_ExtensionPlazo))*($B163 &lt;= (plan!$K$4:$K$52+Indice_Plan_ExtensionPlazo)), "")), "")</f>
        <v/>
      </c>
      <c r="BH163" s="4"/>
    </row>
    <row r="164" spans="2:60" x14ac:dyDescent="0.3">
      <c r="B164" s="6"/>
      <c r="C164" s="10"/>
      <c r="D164" s="48" t="str">
        <f>IF(Tabla_Registro_Tareas4[[#This Row],[Actividad]]=Indice_Aux_Vacio,"",IFERROR(INDEX(plan!$D$4:$D$52,MATCH(Tabla_Registro_Tareas4[[#This Row],[Actividad]],plan!$C$4:$C$52,0)),""))</f>
        <v/>
      </c>
      <c r="E164" s="48" t="str">
        <f>IFERROR(INDEX(plan!$E$4:$E$52,MATCH(Tabla_Registro_Tareas4[[#This Row],[Actividad]],plan!$C$4:$C$52,0)),"")</f>
        <v/>
      </c>
      <c r="F164" s="49" t="str">
        <f>IF(Tabla_Registro_Tareas4[[#This Row],[Actividad]]=Indice_Aux_Vacio,"",Indice_PROBLAM_Estudiante4)</f>
        <v/>
      </c>
      <c r="G164" s="7"/>
      <c r="H164" s="8"/>
      <c r="I164" s="9"/>
      <c r="K164" s="12" t="str" cm="1">
        <f t="array" ref="K164">IF($B164&lt;&gt;"",TRANSPOSE(_xlfn._xlws.FILTER(plan!$C$4:$C$52, ($B164 &gt;= (plan!$J$4:$J$52-Indice_Plan_ExtensionPlazo))*($B164 &lt;= (plan!$K$4:$K$52+Indice_Plan_ExtensionPlazo)), "")), "")</f>
        <v/>
      </c>
      <c r="BH164" s="4"/>
    </row>
    <row r="165" spans="2:60" x14ac:dyDescent="0.3">
      <c r="B165" s="6"/>
      <c r="C165" s="10"/>
      <c r="D165" s="48" t="str">
        <f>IF(Tabla_Registro_Tareas4[[#This Row],[Actividad]]=Indice_Aux_Vacio,"",IFERROR(INDEX(plan!$D$4:$D$52,MATCH(Tabla_Registro_Tareas4[[#This Row],[Actividad]],plan!$C$4:$C$52,0)),""))</f>
        <v/>
      </c>
      <c r="E165" s="48" t="str">
        <f>IFERROR(INDEX(plan!$E$4:$E$52,MATCH(Tabla_Registro_Tareas4[[#This Row],[Actividad]],plan!$C$4:$C$52,0)),"")</f>
        <v/>
      </c>
      <c r="F165" s="49" t="str">
        <f>IF(Tabla_Registro_Tareas4[[#This Row],[Actividad]]=Indice_Aux_Vacio,"",Indice_PROBLAM_Estudiante4)</f>
        <v/>
      </c>
      <c r="G165" s="7"/>
      <c r="H165" s="8"/>
      <c r="I165" s="9"/>
      <c r="K165" s="12" t="str" cm="1">
        <f t="array" ref="K165">IF($B165&lt;&gt;"",TRANSPOSE(_xlfn._xlws.FILTER(plan!$C$4:$C$52, ($B165 &gt;= (plan!$J$4:$J$52-Indice_Plan_ExtensionPlazo))*($B165 &lt;= (plan!$K$4:$K$52+Indice_Plan_ExtensionPlazo)), "")), "")</f>
        <v/>
      </c>
      <c r="BH165" s="4"/>
    </row>
    <row r="166" spans="2:60" x14ac:dyDescent="0.3">
      <c r="B166" s="6"/>
      <c r="C166" s="10"/>
      <c r="D166" s="48" t="str">
        <f>IF(Tabla_Registro_Tareas4[[#This Row],[Actividad]]=Indice_Aux_Vacio,"",IFERROR(INDEX(plan!$D$4:$D$52,MATCH(Tabla_Registro_Tareas4[[#This Row],[Actividad]],plan!$C$4:$C$52,0)),""))</f>
        <v/>
      </c>
      <c r="E166" s="48" t="str">
        <f>IFERROR(INDEX(plan!$E$4:$E$52,MATCH(Tabla_Registro_Tareas4[[#This Row],[Actividad]],plan!$C$4:$C$52,0)),"")</f>
        <v/>
      </c>
      <c r="F166" s="49" t="str">
        <f>IF(Tabla_Registro_Tareas4[[#This Row],[Actividad]]=Indice_Aux_Vacio,"",Indice_PROBLAM_Estudiante4)</f>
        <v/>
      </c>
      <c r="G166" s="7"/>
      <c r="H166" s="8"/>
      <c r="I166" s="9"/>
      <c r="K166" s="12" t="str" cm="1">
        <f t="array" ref="K166">IF($B166&lt;&gt;"",TRANSPOSE(_xlfn._xlws.FILTER(plan!$C$4:$C$52, ($B166 &gt;= (plan!$J$4:$J$52-Indice_Plan_ExtensionPlazo))*($B166 &lt;= (plan!$K$4:$K$52+Indice_Plan_ExtensionPlazo)), "")), "")</f>
        <v/>
      </c>
      <c r="BH166" s="4"/>
    </row>
    <row r="167" spans="2:60" x14ac:dyDescent="0.3">
      <c r="B167" s="6"/>
      <c r="C167" s="10"/>
      <c r="D167" s="48" t="str">
        <f>IF(Tabla_Registro_Tareas4[[#This Row],[Actividad]]=Indice_Aux_Vacio,"",IFERROR(INDEX(plan!$D$4:$D$52,MATCH(Tabla_Registro_Tareas4[[#This Row],[Actividad]],plan!$C$4:$C$52,0)),""))</f>
        <v/>
      </c>
      <c r="E167" s="48" t="str">
        <f>IFERROR(INDEX(plan!$E$4:$E$52,MATCH(Tabla_Registro_Tareas4[[#This Row],[Actividad]],plan!$C$4:$C$52,0)),"")</f>
        <v/>
      </c>
      <c r="F167" s="49" t="str">
        <f>IF(Tabla_Registro_Tareas4[[#This Row],[Actividad]]=Indice_Aux_Vacio,"",Indice_PROBLAM_Estudiante4)</f>
        <v/>
      </c>
      <c r="G167" s="7"/>
      <c r="H167" s="8"/>
      <c r="I167" s="9"/>
      <c r="K167" s="12" t="str" cm="1">
        <f t="array" ref="K167">IF($B167&lt;&gt;"",TRANSPOSE(_xlfn._xlws.FILTER(plan!$C$4:$C$52, ($B167 &gt;= (plan!$J$4:$J$52-Indice_Plan_ExtensionPlazo))*($B167 &lt;= (plan!$K$4:$K$52+Indice_Plan_ExtensionPlazo)), "")), "")</f>
        <v/>
      </c>
      <c r="BH167" s="4"/>
    </row>
    <row r="168" spans="2:60" x14ac:dyDescent="0.3">
      <c r="B168" s="6"/>
      <c r="C168" s="10"/>
      <c r="D168" s="48" t="str">
        <f>IF(Tabla_Registro_Tareas4[[#This Row],[Actividad]]=Indice_Aux_Vacio,"",IFERROR(INDEX(plan!$D$4:$D$52,MATCH(Tabla_Registro_Tareas4[[#This Row],[Actividad]],plan!$C$4:$C$52,0)),""))</f>
        <v/>
      </c>
      <c r="E168" s="48" t="str">
        <f>IFERROR(INDEX(plan!$E$4:$E$52,MATCH(Tabla_Registro_Tareas4[[#This Row],[Actividad]],plan!$C$4:$C$52,0)),"")</f>
        <v/>
      </c>
      <c r="F168" s="49" t="str">
        <f>IF(Tabla_Registro_Tareas4[[#This Row],[Actividad]]=Indice_Aux_Vacio,"",Indice_PROBLAM_Estudiante4)</f>
        <v/>
      </c>
      <c r="G168" s="7"/>
      <c r="H168" s="8"/>
      <c r="I168" s="9"/>
      <c r="K168" s="12" t="str" cm="1">
        <f t="array" ref="K168">IF($B168&lt;&gt;"",TRANSPOSE(_xlfn._xlws.FILTER(plan!$C$4:$C$52, ($B168 &gt;= (plan!$J$4:$J$52-Indice_Plan_ExtensionPlazo))*($B168 &lt;= (plan!$K$4:$K$52+Indice_Plan_ExtensionPlazo)), "")), "")</f>
        <v/>
      </c>
      <c r="BH168" s="4"/>
    </row>
    <row r="169" spans="2:60" x14ac:dyDescent="0.3">
      <c r="B169" s="6"/>
      <c r="C169" s="10"/>
      <c r="D169" s="48" t="str">
        <f>IF(Tabla_Registro_Tareas4[[#This Row],[Actividad]]=Indice_Aux_Vacio,"",IFERROR(INDEX(plan!$D$4:$D$52,MATCH(Tabla_Registro_Tareas4[[#This Row],[Actividad]],plan!$C$4:$C$52,0)),""))</f>
        <v/>
      </c>
      <c r="E169" s="48" t="str">
        <f>IFERROR(INDEX(plan!$E$4:$E$52,MATCH(Tabla_Registro_Tareas4[[#This Row],[Actividad]],plan!$C$4:$C$52,0)),"")</f>
        <v/>
      </c>
      <c r="F169" s="49" t="str">
        <f>IF(Tabla_Registro_Tareas4[[#This Row],[Actividad]]=Indice_Aux_Vacio,"",Indice_PROBLAM_Estudiante4)</f>
        <v/>
      </c>
      <c r="G169" s="7"/>
      <c r="H169" s="8"/>
      <c r="I169" s="9"/>
      <c r="K169" s="12" t="str" cm="1">
        <f t="array" ref="K169">IF($B169&lt;&gt;"",TRANSPOSE(_xlfn._xlws.FILTER(plan!$C$4:$C$52, ($B169 &gt;= (plan!$J$4:$J$52-Indice_Plan_ExtensionPlazo))*($B169 &lt;= (plan!$K$4:$K$52+Indice_Plan_ExtensionPlazo)), "")), "")</f>
        <v/>
      </c>
      <c r="BH169" s="4"/>
    </row>
    <row r="170" spans="2:60" x14ac:dyDescent="0.3">
      <c r="B170" s="6"/>
      <c r="C170" s="10"/>
      <c r="D170" s="48" t="str">
        <f>IF(Tabla_Registro_Tareas4[[#This Row],[Actividad]]=Indice_Aux_Vacio,"",IFERROR(INDEX(plan!$D$4:$D$52,MATCH(Tabla_Registro_Tareas4[[#This Row],[Actividad]],plan!$C$4:$C$52,0)),""))</f>
        <v/>
      </c>
      <c r="E170" s="48" t="str">
        <f>IFERROR(INDEX(plan!$E$4:$E$52,MATCH(Tabla_Registro_Tareas4[[#This Row],[Actividad]],plan!$C$4:$C$52,0)),"")</f>
        <v/>
      </c>
      <c r="F170" s="49" t="str">
        <f>IF(Tabla_Registro_Tareas4[[#This Row],[Actividad]]=Indice_Aux_Vacio,"",Indice_PROBLAM_Estudiante4)</f>
        <v/>
      </c>
      <c r="G170" s="7"/>
      <c r="H170" s="8"/>
      <c r="I170" s="9"/>
      <c r="K170" s="12" t="str" cm="1">
        <f t="array" ref="K170">IF($B170&lt;&gt;"",TRANSPOSE(_xlfn._xlws.FILTER(plan!$C$4:$C$52, ($B170 &gt;= (plan!$J$4:$J$52-Indice_Plan_ExtensionPlazo))*($B170 &lt;= (plan!$K$4:$K$52+Indice_Plan_ExtensionPlazo)), "")), "")</f>
        <v/>
      </c>
      <c r="BH170" s="4"/>
    </row>
    <row r="171" spans="2:60" x14ac:dyDescent="0.3">
      <c r="B171" s="6"/>
      <c r="C171" s="10"/>
      <c r="D171" s="48" t="str">
        <f>IF(Tabla_Registro_Tareas4[[#This Row],[Actividad]]=Indice_Aux_Vacio,"",IFERROR(INDEX(plan!$D$4:$D$52,MATCH(Tabla_Registro_Tareas4[[#This Row],[Actividad]],plan!$C$4:$C$52,0)),""))</f>
        <v/>
      </c>
      <c r="E171" s="48" t="str">
        <f>IFERROR(INDEX(plan!$E$4:$E$52,MATCH(Tabla_Registro_Tareas4[[#This Row],[Actividad]],plan!$C$4:$C$52,0)),"")</f>
        <v/>
      </c>
      <c r="F171" s="49" t="str">
        <f>IF(Tabla_Registro_Tareas4[[#This Row],[Actividad]]=Indice_Aux_Vacio,"",Indice_PROBLAM_Estudiante4)</f>
        <v/>
      </c>
      <c r="G171" s="7"/>
      <c r="H171" s="8"/>
      <c r="I171" s="9"/>
      <c r="K171" s="12" t="str" cm="1">
        <f t="array" ref="K171">IF($B171&lt;&gt;"",TRANSPOSE(_xlfn._xlws.FILTER(plan!$C$4:$C$52, ($B171 &gt;= (plan!$J$4:$J$52-Indice_Plan_ExtensionPlazo))*($B171 &lt;= (plan!$K$4:$K$52+Indice_Plan_ExtensionPlazo)), "")), "")</f>
        <v/>
      </c>
      <c r="BH171" s="4"/>
    </row>
    <row r="172" spans="2:60" x14ac:dyDescent="0.3">
      <c r="B172" s="6"/>
      <c r="C172" s="10"/>
      <c r="D172" s="48" t="str">
        <f>IF(Tabla_Registro_Tareas4[[#This Row],[Actividad]]=Indice_Aux_Vacio,"",IFERROR(INDEX(plan!$D$4:$D$52,MATCH(Tabla_Registro_Tareas4[[#This Row],[Actividad]],plan!$C$4:$C$52,0)),""))</f>
        <v/>
      </c>
      <c r="E172" s="48" t="str">
        <f>IFERROR(INDEX(plan!$E$4:$E$52,MATCH(Tabla_Registro_Tareas4[[#This Row],[Actividad]],plan!$C$4:$C$52,0)),"")</f>
        <v/>
      </c>
      <c r="F172" s="49" t="str">
        <f>IF(Tabla_Registro_Tareas4[[#This Row],[Actividad]]=Indice_Aux_Vacio,"",Indice_PROBLAM_Estudiante4)</f>
        <v/>
      </c>
      <c r="G172" s="7"/>
      <c r="H172" s="8"/>
      <c r="I172" s="9"/>
      <c r="K172" s="12" t="str" cm="1">
        <f t="array" ref="K172">IF($B172&lt;&gt;"",TRANSPOSE(_xlfn._xlws.FILTER(plan!$C$4:$C$52, ($B172 &gt;= (plan!$J$4:$J$52-Indice_Plan_ExtensionPlazo))*($B172 &lt;= (plan!$K$4:$K$52+Indice_Plan_ExtensionPlazo)), "")), "")</f>
        <v/>
      </c>
      <c r="BH172" s="4"/>
    </row>
    <row r="173" spans="2:60" x14ac:dyDescent="0.3">
      <c r="B173" s="6"/>
      <c r="C173" s="10"/>
      <c r="D173" s="48" t="str">
        <f>IF(Tabla_Registro_Tareas4[[#This Row],[Actividad]]=Indice_Aux_Vacio,"",IFERROR(INDEX(plan!$D$4:$D$52,MATCH(Tabla_Registro_Tareas4[[#This Row],[Actividad]],plan!$C$4:$C$52,0)),""))</f>
        <v/>
      </c>
      <c r="E173" s="48" t="str">
        <f>IFERROR(INDEX(plan!$E$4:$E$52,MATCH(Tabla_Registro_Tareas4[[#This Row],[Actividad]],plan!$C$4:$C$52,0)),"")</f>
        <v/>
      </c>
      <c r="F173" s="49" t="str">
        <f>IF(Tabla_Registro_Tareas4[[#This Row],[Actividad]]=Indice_Aux_Vacio,"",Indice_PROBLAM_Estudiante4)</f>
        <v/>
      </c>
      <c r="G173" s="7"/>
      <c r="H173" s="8"/>
      <c r="I173" s="9"/>
      <c r="K173" s="12" t="str" cm="1">
        <f t="array" ref="K173">IF($B173&lt;&gt;"",TRANSPOSE(_xlfn._xlws.FILTER(plan!$C$4:$C$52, ($B173 &gt;= (plan!$J$4:$J$52-Indice_Plan_ExtensionPlazo))*($B173 &lt;= (plan!$K$4:$K$52+Indice_Plan_ExtensionPlazo)), "")), "")</f>
        <v/>
      </c>
      <c r="BH173" s="4"/>
    </row>
    <row r="174" spans="2:60" x14ac:dyDescent="0.3">
      <c r="B174" s="6"/>
      <c r="C174" s="10"/>
      <c r="D174" s="48" t="str">
        <f>IF(Tabla_Registro_Tareas4[[#This Row],[Actividad]]=Indice_Aux_Vacio,"",IFERROR(INDEX(plan!$D$4:$D$52,MATCH(Tabla_Registro_Tareas4[[#This Row],[Actividad]],plan!$C$4:$C$52,0)),""))</f>
        <v/>
      </c>
      <c r="E174" s="48" t="str">
        <f>IFERROR(INDEX(plan!$E$4:$E$52,MATCH(Tabla_Registro_Tareas4[[#This Row],[Actividad]],plan!$C$4:$C$52,0)),"")</f>
        <v/>
      </c>
      <c r="F174" s="49" t="str">
        <f>IF(Tabla_Registro_Tareas4[[#This Row],[Actividad]]=Indice_Aux_Vacio,"",Indice_PROBLAM_Estudiante4)</f>
        <v/>
      </c>
      <c r="G174" s="7"/>
      <c r="H174" s="8"/>
      <c r="I174" s="9"/>
      <c r="K174" s="12" t="str" cm="1">
        <f t="array" ref="K174">IF($B174&lt;&gt;"",TRANSPOSE(_xlfn._xlws.FILTER(plan!$C$4:$C$52, ($B174 &gt;= (plan!$J$4:$J$52-Indice_Plan_ExtensionPlazo))*($B174 &lt;= (plan!$K$4:$K$52+Indice_Plan_ExtensionPlazo)), "")), "")</f>
        <v/>
      </c>
      <c r="BH174" s="4"/>
    </row>
    <row r="175" spans="2:60" x14ac:dyDescent="0.3">
      <c r="B175" s="6"/>
      <c r="C175" s="10"/>
      <c r="D175" s="48" t="str">
        <f>IF(Tabla_Registro_Tareas4[[#This Row],[Actividad]]=Indice_Aux_Vacio,"",IFERROR(INDEX(plan!$D$4:$D$52,MATCH(Tabla_Registro_Tareas4[[#This Row],[Actividad]],plan!$C$4:$C$52,0)),""))</f>
        <v/>
      </c>
      <c r="E175" s="48" t="str">
        <f>IFERROR(INDEX(plan!$E$4:$E$52,MATCH(Tabla_Registro_Tareas4[[#This Row],[Actividad]],plan!$C$4:$C$52,0)),"")</f>
        <v/>
      </c>
      <c r="F175" s="49" t="str">
        <f>IF(Tabla_Registro_Tareas4[[#This Row],[Actividad]]=Indice_Aux_Vacio,"",Indice_PROBLAM_Estudiante4)</f>
        <v/>
      </c>
      <c r="G175" s="7"/>
      <c r="H175" s="8"/>
      <c r="I175" s="9"/>
      <c r="K175" s="12" t="str" cm="1">
        <f t="array" ref="K175">IF($B175&lt;&gt;"",TRANSPOSE(_xlfn._xlws.FILTER(plan!$C$4:$C$52, ($B175 &gt;= (plan!$J$4:$J$52-Indice_Plan_ExtensionPlazo))*($B175 &lt;= (plan!$K$4:$K$52+Indice_Plan_ExtensionPlazo)), "")), "")</f>
        <v/>
      </c>
      <c r="BH175" s="4"/>
    </row>
    <row r="176" spans="2:60" x14ac:dyDescent="0.3">
      <c r="B176" s="6"/>
      <c r="C176" s="10"/>
      <c r="D176" s="48" t="str">
        <f>IF(Tabla_Registro_Tareas4[[#This Row],[Actividad]]=Indice_Aux_Vacio,"",IFERROR(INDEX(plan!$D$4:$D$52,MATCH(Tabla_Registro_Tareas4[[#This Row],[Actividad]],plan!$C$4:$C$52,0)),""))</f>
        <v/>
      </c>
      <c r="E176" s="48" t="str">
        <f>IFERROR(INDEX(plan!$E$4:$E$52,MATCH(Tabla_Registro_Tareas4[[#This Row],[Actividad]],plan!$C$4:$C$52,0)),"")</f>
        <v/>
      </c>
      <c r="F176" s="49" t="str">
        <f>IF(Tabla_Registro_Tareas4[[#This Row],[Actividad]]=Indice_Aux_Vacio,"",Indice_PROBLAM_Estudiante4)</f>
        <v/>
      </c>
      <c r="G176" s="7"/>
      <c r="H176" s="8"/>
      <c r="I176" s="9"/>
      <c r="K176" s="12" t="str" cm="1">
        <f t="array" ref="K176">IF($B176&lt;&gt;"",TRANSPOSE(_xlfn._xlws.FILTER(plan!$C$4:$C$52, ($B176 &gt;= (plan!$J$4:$J$52-Indice_Plan_ExtensionPlazo))*($B176 &lt;= (plan!$K$4:$K$52+Indice_Plan_ExtensionPlazo)), "")), "")</f>
        <v/>
      </c>
      <c r="BH176" s="4"/>
    </row>
    <row r="177" spans="2:60" x14ac:dyDescent="0.3">
      <c r="B177" s="6"/>
      <c r="C177" s="10"/>
      <c r="D177" s="48" t="str">
        <f>IF(Tabla_Registro_Tareas4[[#This Row],[Actividad]]=Indice_Aux_Vacio,"",IFERROR(INDEX(plan!$D$4:$D$52,MATCH(Tabla_Registro_Tareas4[[#This Row],[Actividad]],plan!$C$4:$C$52,0)),""))</f>
        <v/>
      </c>
      <c r="E177" s="48" t="str">
        <f>IFERROR(INDEX(plan!$E$4:$E$52,MATCH(Tabla_Registro_Tareas4[[#This Row],[Actividad]],plan!$C$4:$C$52,0)),"")</f>
        <v/>
      </c>
      <c r="F177" s="49" t="str">
        <f>IF(Tabla_Registro_Tareas4[[#This Row],[Actividad]]=Indice_Aux_Vacio,"",Indice_PROBLAM_Estudiante4)</f>
        <v/>
      </c>
      <c r="G177" s="7"/>
      <c r="H177" s="8"/>
      <c r="I177" s="9"/>
      <c r="K177" s="12" t="str" cm="1">
        <f t="array" ref="K177">IF($B177&lt;&gt;"",TRANSPOSE(_xlfn._xlws.FILTER(plan!$C$4:$C$52, ($B177 &gt;= (plan!$J$4:$J$52-Indice_Plan_ExtensionPlazo))*($B177 &lt;= (plan!$K$4:$K$52+Indice_Plan_ExtensionPlazo)), "")), "")</f>
        <v/>
      </c>
      <c r="BH177" s="4"/>
    </row>
    <row r="178" spans="2:60" x14ac:dyDescent="0.3">
      <c r="B178" s="6"/>
      <c r="C178" s="10"/>
      <c r="D178" s="48" t="str">
        <f>IF(Tabla_Registro_Tareas4[[#This Row],[Actividad]]=Indice_Aux_Vacio,"",IFERROR(INDEX(plan!$D$4:$D$52,MATCH(Tabla_Registro_Tareas4[[#This Row],[Actividad]],plan!$C$4:$C$52,0)),""))</f>
        <v/>
      </c>
      <c r="E178" s="48" t="str">
        <f>IFERROR(INDEX(plan!$E$4:$E$52,MATCH(Tabla_Registro_Tareas4[[#This Row],[Actividad]],plan!$C$4:$C$52,0)),"")</f>
        <v/>
      </c>
      <c r="F178" s="49" t="str">
        <f>IF(Tabla_Registro_Tareas4[[#This Row],[Actividad]]=Indice_Aux_Vacio,"",Indice_PROBLAM_Estudiante4)</f>
        <v/>
      </c>
      <c r="G178" s="7"/>
      <c r="H178" s="8"/>
      <c r="I178" s="9"/>
      <c r="K178" s="12" t="str" cm="1">
        <f t="array" ref="K178">IF($B178&lt;&gt;"",TRANSPOSE(_xlfn._xlws.FILTER(plan!$C$4:$C$52, ($B178 &gt;= (plan!$J$4:$J$52-Indice_Plan_ExtensionPlazo))*($B178 &lt;= (plan!$K$4:$K$52+Indice_Plan_ExtensionPlazo)), "")), "")</f>
        <v/>
      </c>
      <c r="BH178" s="4"/>
    </row>
    <row r="179" spans="2:60" x14ac:dyDescent="0.3">
      <c r="B179" s="6"/>
      <c r="C179" s="10"/>
      <c r="D179" s="48" t="str">
        <f>IF(Tabla_Registro_Tareas4[[#This Row],[Actividad]]=Indice_Aux_Vacio,"",IFERROR(INDEX(plan!$D$4:$D$52,MATCH(Tabla_Registro_Tareas4[[#This Row],[Actividad]],plan!$C$4:$C$52,0)),""))</f>
        <v/>
      </c>
      <c r="E179" s="48" t="str">
        <f>IFERROR(INDEX(plan!$E$4:$E$52,MATCH(Tabla_Registro_Tareas4[[#This Row],[Actividad]],plan!$C$4:$C$52,0)),"")</f>
        <v/>
      </c>
      <c r="F179" s="49" t="str">
        <f>IF(Tabla_Registro_Tareas4[[#This Row],[Actividad]]=Indice_Aux_Vacio,"",Indice_PROBLAM_Estudiante4)</f>
        <v/>
      </c>
      <c r="G179" s="7"/>
      <c r="H179" s="8"/>
      <c r="I179" s="9"/>
      <c r="K179" s="12" t="str" cm="1">
        <f t="array" ref="K179">IF($B179&lt;&gt;"",TRANSPOSE(_xlfn._xlws.FILTER(plan!$C$4:$C$52, ($B179 &gt;= (plan!$J$4:$J$52-Indice_Plan_ExtensionPlazo))*($B179 &lt;= (plan!$K$4:$K$52+Indice_Plan_ExtensionPlazo)), "")), "")</f>
        <v/>
      </c>
      <c r="BH179" s="4"/>
    </row>
    <row r="180" spans="2:60" x14ac:dyDescent="0.3">
      <c r="B180" s="6"/>
      <c r="C180" s="10"/>
      <c r="D180" s="48" t="str">
        <f>IF(Tabla_Registro_Tareas4[[#This Row],[Actividad]]=Indice_Aux_Vacio,"",IFERROR(INDEX(plan!$D$4:$D$52,MATCH(Tabla_Registro_Tareas4[[#This Row],[Actividad]],plan!$C$4:$C$52,0)),""))</f>
        <v/>
      </c>
      <c r="E180" s="48" t="str">
        <f>IFERROR(INDEX(plan!$E$4:$E$52,MATCH(Tabla_Registro_Tareas4[[#This Row],[Actividad]],plan!$C$4:$C$52,0)),"")</f>
        <v/>
      </c>
      <c r="F180" s="49" t="str">
        <f>IF(Tabla_Registro_Tareas4[[#This Row],[Actividad]]=Indice_Aux_Vacio,"",Indice_PROBLAM_Estudiante4)</f>
        <v/>
      </c>
      <c r="G180" s="7"/>
      <c r="H180" s="8"/>
      <c r="I180" s="9"/>
      <c r="K180" s="12" t="str" cm="1">
        <f t="array" ref="K180">IF($B180&lt;&gt;"",TRANSPOSE(_xlfn._xlws.FILTER(plan!$C$4:$C$52, ($B180 &gt;= (plan!$J$4:$J$52-Indice_Plan_ExtensionPlazo))*($B180 &lt;= (plan!$K$4:$K$52+Indice_Plan_ExtensionPlazo)), "")), "")</f>
        <v/>
      </c>
      <c r="BH180" s="4"/>
    </row>
    <row r="181" spans="2:60" x14ac:dyDescent="0.3">
      <c r="B181" s="6"/>
      <c r="C181" s="10"/>
      <c r="D181" s="48" t="str">
        <f>IF(Tabla_Registro_Tareas4[[#This Row],[Actividad]]=Indice_Aux_Vacio,"",IFERROR(INDEX(plan!$D$4:$D$52,MATCH(Tabla_Registro_Tareas4[[#This Row],[Actividad]],plan!$C$4:$C$52,0)),""))</f>
        <v/>
      </c>
      <c r="E181" s="48" t="str">
        <f>IFERROR(INDEX(plan!$E$4:$E$52,MATCH(Tabla_Registro_Tareas4[[#This Row],[Actividad]],plan!$C$4:$C$52,0)),"")</f>
        <v/>
      </c>
      <c r="F181" s="49" t="str">
        <f>IF(Tabla_Registro_Tareas4[[#This Row],[Actividad]]=Indice_Aux_Vacio,"",Indice_PROBLAM_Estudiante4)</f>
        <v/>
      </c>
      <c r="G181" s="7"/>
      <c r="H181" s="8"/>
      <c r="I181" s="9"/>
      <c r="K181" s="12" t="str" cm="1">
        <f t="array" ref="K181">IF($B181&lt;&gt;"",TRANSPOSE(_xlfn._xlws.FILTER(plan!$C$4:$C$52, ($B181 &gt;= (plan!$J$4:$J$52-Indice_Plan_ExtensionPlazo))*($B181 &lt;= (plan!$K$4:$K$52+Indice_Plan_ExtensionPlazo)), "")), "")</f>
        <v/>
      </c>
      <c r="BH181" s="4"/>
    </row>
    <row r="182" spans="2:60" x14ac:dyDescent="0.3">
      <c r="B182" s="6"/>
      <c r="C182" s="10"/>
      <c r="D182" s="48" t="str">
        <f>IF(Tabla_Registro_Tareas4[[#This Row],[Actividad]]=Indice_Aux_Vacio,"",IFERROR(INDEX(plan!$D$4:$D$52,MATCH(Tabla_Registro_Tareas4[[#This Row],[Actividad]],plan!$C$4:$C$52,0)),""))</f>
        <v/>
      </c>
      <c r="E182" s="48" t="str">
        <f>IFERROR(INDEX(plan!$E$4:$E$52,MATCH(Tabla_Registro_Tareas4[[#This Row],[Actividad]],plan!$C$4:$C$52,0)),"")</f>
        <v/>
      </c>
      <c r="F182" s="49" t="str">
        <f>IF(Tabla_Registro_Tareas4[[#This Row],[Actividad]]=Indice_Aux_Vacio,"",Indice_PROBLAM_Estudiante4)</f>
        <v/>
      </c>
      <c r="G182" s="7"/>
      <c r="H182" s="8"/>
      <c r="I182" s="9"/>
      <c r="K182" s="12" t="str" cm="1">
        <f t="array" ref="K182">IF($B182&lt;&gt;"",TRANSPOSE(_xlfn._xlws.FILTER(plan!$C$4:$C$52, ($B182 &gt;= (plan!$J$4:$J$52-Indice_Plan_ExtensionPlazo))*($B182 &lt;= (plan!$K$4:$K$52+Indice_Plan_ExtensionPlazo)), "")), "")</f>
        <v/>
      </c>
      <c r="BH182" s="4"/>
    </row>
    <row r="183" spans="2:60" x14ac:dyDescent="0.3">
      <c r="B183" s="6"/>
      <c r="C183" s="10"/>
      <c r="D183" s="48" t="str">
        <f>IF(Tabla_Registro_Tareas4[[#This Row],[Actividad]]=Indice_Aux_Vacio,"",IFERROR(INDEX(plan!$D$4:$D$52,MATCH(Tabla_Registro_Tareas4[[#This Row],[Actividad]],plan!$C$4:$C$52,0)),""))</f>
        <v/>
      </c>
      <c r="E183" s="48" t="str">
        <f>IFERROR(INDEX(plan!$E$4:$E$52,MATCH(Tabla_Registro_Tareas4[[#This Row],[Actividad]],plan!$C$4:$C$52,0)),"")</f>
        <v/>
      </c>
      <c r="F183" s="49" t="str">
        <f>IF(Tabla_Registro_Tareas4[[#This Row],[Actividad]]=Indice_Aux_Vacio,"",Indice_PROBLAM_Estudiante4)</f>
        <v/>
      </c>
      <c r="G183" s="7"/>
      <c r="H183" s="8"/>
      <c r="I183" s="9"/>
      <c r="K183" s="12" t="str" cm="1">
        <f t="array" ref="K183">IF($B183&lt;&gt;"",TRANSPOSE(_xlfn._xlws.FILTER(plan!$C$4:$C$52, ($B183 &gt;= (plan!$J$4:$J$52-Indice_Plan_ExtensionPlazo))*($B183 &lt;= (plan!$K$4:$K$52+Indice_Plan_ExtensionPlazo)), "")), "")</f>
        <v/>
      </c>
      <c r="BH183" s="4"/>
    </row>
    <row r="184" spans="2:60" x14ac:dyDescent="0.3">
      <c r="B184" s="6"/>
      <c r="C184" s="10"/>
      <c r="D184" s="48" t="str">
        <f>IF(Tabla_Registro_Tareas4[[#This Row],[Actividad]]=Indice_Aux_Vacio,"",IFERROR(INDEX(plan!$D$4:$D$52,MATCH(Tabla_Registro_Tareas4[[#This Row],[Actividad]],plan!$C$4:$C$52,0)),""))</f>
        <v/>
      </c>
      <c r="E184" s="48" t="str">
        <f>IFERROR(INDEX(plan!$E$4:$E$52,MATCH(Tabla_Registro_Tareas4[[#This Row],[Actividad]],plan!$C$4:$C$52,0)),"")</f>
        <v/>
      </c>
      <c r="F184" s="49" t="str">
        <f>IF(Tabla_Registro_Tareas4[[#This Row],[Actividad]]=Indice_Aux_Vacio,"",Indice_PROBLAM_Estudiante4)</f>
        <v/>
      </c>
      <c r="G184" s="7"/>
      <c r="H184" s="8"/>
      <c r="I184" s="9"/>
      <c r="K184" s="12" t="str" cm="1">
        <f t="array" ref="K184">IF($B184&lt;&gt;"",TRANSPOSE(_xlfn._xlws.FILTER(plan!$C$4:$C$52, ($B184 &gt;= (plan!$J$4:$J$52-Indice_Plan_ExtensionPlazo))*($B184 &lt;= (plan!$K$4:$K$52+Indice_Plan_ExtensionPlazo)), "")), "")</f>
        <v/>
      </c>
      <c r="BH184" s="4"/>
    </row>
    <row r="185" spans="2:60" x14ac:dyDescent="0.3">
      <c r="B185" s="6"/>
      <c r="C185" s="10"/>
      <c r="D185" s="48" t="str">
        <f>IF(Tabla_Registro_Tareas4[[#This Row],[Actividad]]=Indice_Aux_Vacio,"",IFERROR(INDEX(plan!$D$4:$D$52,MATCH(Tabla_Registro_Tareas4[[#This Row],[Actividad]],plan!$C$4:$C$52,0)),""))</f>
        <v/>
      </c>
      <c r="E185" s="48" t="str">
        <f>IFERROR(INDEX(plan!$E$4:$E$52,MATCH(Tabla_Registro_Tareas4[[#This Row],[Actividad]],plan!$C$4:$C$52,0)),"")</f>
        <v/>
      </c>
      <c r="F185" s="49" t="str">
        <f>IF(Tabla_Registro_Tareas4[[#This Row],[Actividad]]=Indice_Aux_Vacio,"",Indice_PROBLAM_Estudiante4)</f>
        <v/>
      </c>
      <c r="G185" s="7"/>
      <c r="H185" s="8"/>
      <c r="I185" s="9"/>
      <c r="K185" s="12" t="str" cm="1">
        <f t="array" ref="K185">IF($B185&lt;&gt;"",TRANSPOSE(_xlfn._xlws.FILTER(plan!$C$4:$C$52, ($B185 &gt;= (plan!$J$4:$J$52-Indice_Plan_ExtensionPlazo))*($B185 &lt;= (plan!$K$4:$K$52+Indice_Plan_ExtensionPlazo)), "")), "")</f>
        <v/>
      </c>
      <c r="BH185" s="4"/>
    </row>
    <row r="186" spans="2:60" x14ac:dyDescent="0.3">
      <c r="B186" s="6"/>
      <c r="C186" s="10"/>
      <c r="D186" s="48" t="str">
        <f>IF(Tabla_Registro_Tareas4[[#This Row],[Actividad]]=Indice_Aux_Vacio,"",IFERROR(INDEX(plan!$D$4:$D$52,MATCH(Tabla_Registro_Tareas4[[#This Row],[Actividad]],plan!$C$4:$C$52,0)),""))</f>
        <v/>
      </c>
      <c r="E186" s="48" t="str">
        <f>IFERROR(INDEX(plan!$E$4:$E$52,MATCH(Tabla_Registro_Tareas4[[#This Row],[Actividad]],plan!$C$4:$C$52,0)),"")</f>
        <v/>
      </c>
      <c r="F186" s="49" t="str">
        <f>IF(Tabla_Registro_Tareas4[[#This Row],[Actividad]]=Indice_Aux_Vacio,"",Indice_PROBLAM_Estudiante4)</f>
        <v/>
      </c>
      <c r="G186" s="7"/>
      <c r="H186" s="8"/>
      <c r="I186" s="9"/>
      <c r="K186" s="12" t="str" cm="1">
        <f t="array" ref="K186">IF($B186&lt;&gt;"",TRANSPOSE(_xlfn._xlws.FILTER(plan!$C$4:$C$52, ($B186 &gt;= (plan!$J$4:$J$52-Indice_Plan_ExtensionPlazo))*($B186 &lt;= (plan!$K$4:$K$52+Indice_Plan_ExtensionPlazo)), "")), "")</f>
        <v/>
      </c>
      <c r="BH186" s="4"/>
    </row>
    <row r="187" spans="2:60" x14ac:dyDescent="0.3">
      <c r="B187" s="6"/>
      <c r="C187" s="10"/>
      <c r="D187" s="48" t="str">
        <f>IF(Tabla_Registro_Tareas4[[#This Row],[Actividad]]=Indice_Aux_Vacio,"",IFERROR(INDEX(plan!$D$4:$D$52,MATCH(Tabla_Registro_Tareas4[[#This Row],[Actividad]],plan!$C$4:$C$52,0)),""))</f>
        <v/>
      </c>
      <c r="E187" s="48" t="str">
        <f>IFERROR(INDEX(plan!$E$4:$E$52,MATCH(Tabla_Registro_Tareas4[[#This Row],[Actividad]],plan!$C$4:$C$52,0)),"")</f>
        <v/>
      </c>
      <c r="F187" s="49" t="str">
        <f>IF(Tabla_Registro_Tareas4[[#This Row],[Actividad]]=Indice_Aux_Vacio,"",Indice_PROBLAM_Estudiante4)</f>
        <v/>
      </c>
      <c r="G187" s="7"/>
      <c r="H187" s="8"/>
      <c r="I187" s="9"/>
      <c r="K187" s="12" t="str" cm="1">
        <f t="array" ref="K187">IF($B187&lt;&gt;"",TRANSPOSE(_xlfn._xlws.FILTER(plan!$C$4:$C$52, ($B187 &gt;= (plan!$J$4:$J$52-Indice_Plan_ExtensionPlazo))*($B187 &lt;= (plan!$K$4:$K$52+Indice_Plan_ExtensionPlazo)), "")), "")</f>
        <v/>
      </c>
      <c r="BH187" s="4"/>
    </row>
    <row r="188" spans="2:60" x14ac:dyDescent="0.3">
      <c r="B188" s="6"/>
      <c r="C188" s="10"/>
      <c r="D188" s="48" t="str">
        <f>IF(Tabla_Registro_Tareas4[[#This Row],[Actividad]]=Indice_Aux_Vacio,"",IFERROR(INDEX(plan!$D$4:$D$52,MATCH(Tabla_Registro_Tareas4[[#This Row],[Actividad]],plan!$C$4:$C$52,0)),""))</f>
        <v/>
      </c>
      <c r="E188" s="48" t="str">
        <f>IFERROR(INDEX(plan!$E$4:$E$52,MATCH(Tabla_Registro_Tareas4[[#This Row],[Actividad]],plan!$C$4:$C$52,0)),"")</f>
        <v/>
      </c>
      <c r="F188" s="49" t="str">
        <f>IF(Tabla_Registro_Tareas4[[#This Row],[Actividad]]=Indice_Aux_Vacio,"",Indice_PROBLAM_Estudiante4)</f>
        <v/>
      </c>
      <c r="G188" s="7"/>
      <c r="H188" s="8"/>
      <c r="I188" s="9"/>
      <c r="K188" s="12" t="str" cm="1">
        <f t="array" ref="K188">IF($B188&lt;&gt;"",TRANSPOSE(_xlfn._xlws.FILTER(plan!$C$4:$C$52, ($B188 &gt;= (plan!$J$4:$J$52-Indice_Plan_ExtensionPlazo))*($B188 &lt;= (plan!$K$4:$K$52+Indice_Plan_ExtensionPlazo)), "")), "")</f>
        <v/>
      </c>
      <c r="BH188" s="4"/>
    </row>
    <row r="189" spans="2:60" x14ac:dyDescent="0.3">
      <c r="B189" s="6"/>
      <c r="C189" s="10"/>
      <c r="D189" s="48" t="str">
        <f>IF(Tabla_Registro_Tareas4[[#This Row],[Actividad]]=Indice_Aux_Vacio,"",IFERROR(INDEX(plan!$D$4:$D$52,MATCH(Tabla_Registro_Tareas4[[#This Row],[Actividad]],plan!$C$4:$C$52,0)),""))</f>
        <v/>
      </c>
      <c r="E189" s="48" t="str">
        <f>IFERROR(INDEX(plan!$E$4:$E$52,MATCH(Tabla_Registro_Tareas4[[#This Row],[Actividad]],plan!$C$4:$C$52,0)),"")</f>
        <v/>
      </c>
      <c r="F189" s="49" t="str">
        <f>IF(Tabla_Registro_Tareas4[[#This Row],[Actividad]]=Indice_Aux_Vacio,"",Indice_PROBLAM_Estudiante4)</f>
        <v/>
      </c>
      <c r="G189" s="7"/>
      <c r="H189" s="8"/>
      <c r="I189" s="9"/>
      <c r="K189" s="12" t="str" cm="1">
        <f t="array" ref="K189">IF($B189&lt;&gt;"",TRANSPOSE(_xlfn._xlws.FILTER(plan!$C$4:$C$52, ($B189 &gt;= (plan!$J$4:$J$52-Indice_Plan_ExtensionPlazo))*($B189 &lt;= (plan!$K$4:$K$52+Indice_Plan_ExtensionPlazo)), "")), "")</f>
        <v/>
      </c>
      <c r="BH189" s="4"/>
    </row>
    <row r="190" spans="2:60" x14ac:dyDescent="0.3">
      <c r="B190" s="6"/>
      <c r="C190" s="10"/>
      <c r="D190" s="48" t="str">
        <f>IF(Tabla_Registro_Tareas4[[#This Row],[Actividad]]=Indice_Aux_Vacio,"",IFERROR(INDEX(plan!$D$4:$D$52,MATCH(Tabla_Registro_Tareas4[[#This Row],[Actividad]],plan!$C$4:$C$52,0)),""))</f>
        <v/>
      </c>
      <c r="E190" s="48" t="str">
        <f>IFERROR(INDEX(plan!$E$4:$E$52,MATCH(Tabla_Registro_Tareas4[[#This Row],[Actividad]],plan!$C$4:$C$52,0)),"")</f>
        <v/>
      </c>
      <c r="F190" s="49" t="str">
        <f>IF(Tabla_Registro_Tareas4[[#This Row],[Actividad]]=Indice_Aux_Vacio,"",Indice_PROBLAM_Estudiante4)</f>
        <v/>
      </c>
      <c r="G190" s="7"/>
      <c r="H190" s="8"/>
      <c r="I190" s="9"/>
      <c r="K190" s="12" t="str" cm="1">
        <f t="array" ref="K190">IF($B190&lt;&gt;"",TRANSPOSE(_xlfn._xlws.FILTER(plan!$C$4:$C$52, ($B190 &gt;= (plan!$J$4:$J$52-Indice_Plan_ExtensionPlazo))*($B190 &lt;= (plan!$K$4:$K$52+Indice_Plan_ExtensionPlazo)), "")), "")</f>
        <v/>
      </c>
      <c r="BH190" s="4"/>
    </row>
    <row r="191" spans="2:60" x14ac:dyDescent="0.3">
      <c r="B191" s="6"/>
      <c r="C191" s="10"/>
      <c r="D191" s="48" t="str">
        <f>IF(Tabla_Registro_Tareas4[[#This Row],[Actividad]]=Indice_Aux_Vacio,"",IFERROR(INDEX(plan!$D$4:$D$52,MATCH(Tabla_Registro_Tareas4[[#This Row],[Actividad]],plan!$C$4:$C$52,0)),""))</f>
        <v/>
      </c>
      <c r="E191" s="48" t="str">
        <f>IFERROR(INDEX(plan!$E$4:$E$52,MATCH(Tabla_Registro_Tareas4[[#This Row],[Actividad]],plan!$C$4:$C$52,0)),"")</f>
        <v/>
      </c>
      <c r="F191" s="49" t="str">
        <f>IF(Tabla_Registro_Tareas4[[#This Row],[Actividad]]=Indice_Aux_Vacio,"",Indice_PROBLAM_Estudiante4)</f>
        <v/>
      </c>
      <c r="G191" s="7"/>
      <c r="H191" s="8"/>
      <c r="I191" s="9"/>
      <c r="K191" s="12" t="str" cm="1">
        <f t="array" ref="K191">IF($B191&lt;&gt;"",TRANSPOSE(_xlfn._xlws.FILTER(plan!$C$4:$C$52, ($B191 &gt;= (plan!$J$4:$J$52-Indice_Plan_ExtensionPlazo))*($B191 &lt;= (plan!$K$4:$K$52+Indice_Plan_ExtensionPlazo)), "")), "")</f>
        <v/>
      </c>
      <c r="BH191" s="4"/>
    </row>
    <row r="192" spans="2:60" x14ac:dyDescent="0.3">
      <c r="B192" s="6"/>
      <c r="C192" s="10"/>
      <c r="D192" s="48" t="str">
        <f>IF(Tabla_Registro_Tareas4[[#This Row],[Actividad]]=Indice_Aux_Vacio,"",IFERROR(INDEX(plan!$D$4:$D$52,MATCH(Tabla_Registro_Tareas4[[#This Row],[Actividad]],plan!$C$4:$C$52,0)),""))</f>
        <v/>
      </c>
      <c r="E192" s="48" t="str">
        <f>IFERROR(INDEX(plan!$E$4:$E$52,MATCH(Tabla_Registro_Tareas4[[#This Row],[Actividad]],plan!$C$4:$C$52,0)),"")</f>
        <v/>
      </c>
      <c r="F192" s="49" t="str">
        <f>IF(Tabla_Registro_Tareas4[[#This Row],[Actividad]]=Indice_Aux_Vacio,"",Indice_PROBLAM_Estudiante4)</f>
        <v/>
      </c>
      <c r="G192" s="7"/>
      <c r="H192" s="8"/>
      <c r="I192" s="9"/>
      <c r="K192" s="12" t="str" cm="1">
        <f t="array" ref="K192">IF($B192&lt;&gt;"",TRANSPOSE(_xlfn._xlws.FILTER(plan!$C$4:$C$52, ($B192 &gt;= (plan!$J$4:$J$52-Indice_Plan_ExtensionPlazo))*($B192 &lt;= (plan!$K$4:$K$52+Indice_Plan_ExtensionPlazo)), "")), "")</f>
        <v/>
      </c>
      <c r="BH192" s="4"/>
    </row>
    <row r="193" spans="2:60" x14ac:dyDescent="0.3">
      <c r="B193" s="6"/>
      <c r="C193" s="10"/>
      <c r="D193" s="48" t="str">
        <f>IF(Tabla_Registro_Tareas4[[#This Row],[Actividad]]=Indice_Aux_Vacio,"",IFERROR(INDEX(plan!$D$4:$D$52,MATCH(Tabla_Registro_Tareas4[[#This Row],[Actividad]],plan!$C$4:$C$52,0)),""))</f>
        <v/>
      </c>
      <c r="E193" s="48" t="str">
        <f>IFERROR(INDEX(plan!$E$4:$E$52,MATCH(Tabla_Registro_Tareas4[[#This Row],[Actividad]],plan!$C$4:$C$52,0)),"")</f>
        <v/>
      </c>
      <c r="F193" s="49" t="str">
        <f>IF(Tabla_Registro_Tareas4[[#This Row],[Actividad]]=Indice_Aux_Vacio,"",Indice_PROBLAM_Estudiante4)</f>
        <v/>
      </c>
      <c r="G193" s="7"/>
      <c r="H193" s="8"/>
      <c r="I193" s="9"/>
      <c r="K193" s="12" t="str" cm="1">
        <f t="array" ref="K193">IF($B193&lt;&gt;"",TRANSPOSE(_xlfn._xlws.FILTER(plan!$C$4:$C$52, ($B193 &gt;= (plan!$J$4:$J$52-Indice_Plan_ExtensionPlazo))*($B193 &lt;= (plan!$K$4:$K$52+Indice_Plan_ExtensionPlazo)), "")), "")</f>
        <v/>
      </c>
      <c r="BH193" s="4"/>
    </row>
    <row r="194" spans="2:60" x14ac:dyDescent="0.3">
      <c r="B194" s="6"/>
      <c r="C194" s="10"/>
      <c r="D194" s="48" t="str">
        <f>IF(Tabla_Registro_Tareas4[[#This Row],[Actividad]]=Indice_Aux_Vacio,"",IFERROR(INDEX(plan!$D$4:$D$52,MATCH(Tabla_Registro_Tareas4[[#This Row],[Actividad]],plan!$C$4:$C$52,0)),""))</f>
        <v/>
      </c>
      <c r="E194" s="48" t="str">
        <f>IFERROR(INDEX(plan!$E$4:$E$52,MATCH(Tabla_Registro_Tareas4[[#This Row],[Actividad]],plan!$C$4:$C$52,0)),"")</f>
        <v/>
      </c>
      <c r="F194" s="49" t="str">
        <f>IF(Tabla_Registro_Tareas4[[#This Row],[Actividad]]=Indice_Aux_Vacio,"",Indice_PROBLAM_Estudiante4)</f>
        <v/>
      </c>
      <c r="G194" s="7"/>
      <c r="H194" s="8"/>
      <c r="I194" s="9"/>
      <c r="K194" s="12" t="str" cm="1">
        <f t="array" ref="K194">IF($B194&lt;&gt;"",TRANSPOSE(_xlfn._xlws.FILTER(plan!$C$4:$C$52, ($B194 &gt;= (plan!$J$4:$J$52-Indice_Plan_ExtensionPlazo))*($B194 &lt;= (plan!$K$4:$K$52+Indice_Plan_ExtensionPlazo)), "")), "")</f>
        <v/>
      </c>
      <c r="BH194" s="4"/>
    </row>
    <row r="195" spans="2:60" x14ac:dyDescent="0.3">
      <c r="B195" s="6"/>
      <c r="C195" s="10"/>
      <c r="D195" s="48" t="str">
        <f>IF(Tabla_Registro_Tareas4[[#This Row],[Actividad]]=Indice_Aux_Vacio,"",IFERROR(INDEX(plan!$D$4:$D$52,MATCH(Tabla_Registro_Tareas4[[#This Row],[Actividad]],plan!$C$4:$C$52,0)),""))</f>
        <v/>
      </c>
      <c r="E195" s="48" t="str">
        <f>IFERROR(INDEX(plan!$E$4:$E$52,MATCH(Tabla_Registro_Tareas4[[#This Row],[Actividad]],plan!$C$4:$C$52,0)),"")</f>
        <v/>
      </c>
      <c r="F195" s="49" t="str">
        <f>IF(Tabla_Registro_Tareas4[[#This Row],[Actividad]]=Indice_Aux_Vacio,"",Indice_PROBLAM_Estudiante4)</f>
        <v/>
      </c>
      <c r="G195" s="7"/>
      <c r="H195" s="8"/>
      <c r="I195" s="9"/>
      <c r="K195" s="12" t="str" cm="1">
        <f t="array" ref="K195">IF($B195&lt;&gt;"",TRANSPOSE(_xlfn._xlws.FILTER(plan!$C$4:$C$52, ($B195 &gt;= (plan!$J$4:$J$52-Indice_Plan_ExtensionPlazo))*($B195 &lt;= (plan!$K$4:$K$52+Indice_Plan_ExtensionPlazo)), "")), "")</f>
        <v/>
      </c>
      <c r="BH195" s="4"/>
    </row>
    <row r="196" spans="2:60" x14ac:dyDescent="0.3">
      <c r="B196" s="6"/>
      <c r="C196" s="10"/>
      <c r="D196" s="48" t="str">
        <f>IF(Tabla_Registro_Tareas4[[#This Row],[Actividad]]=Indice_Aux_Vacio,"",IFERROR(INDEX(plan!$D$4:$D$52,MATCH(Tabla_Registro_Tareas4[[#This Row],[Actividad]],plan!$C$4:$C$52,0)),""))</f>
        <v/>
      </c>
      <c r="E196" s="48" t="str">
        <f>IFERROR(INDEX(plan!$E$4:$E$52,MATCH(Tabla_Registro_Tareas4[[#This Row],[Actividad]],plan!$C$4:$C$52,0)),"")</f>
        <v/>
      </c>
      <c r="F196" s="49" t="str">
        <f>IF(Tabla_Registro_Tareas4[[#This Row],[Actividad]]=Indice_Aux_Vacio,"",Indice_PROBLAM_Estudiante4)</f>
        <v/>
      </c>
      <c r="G196" s="7"/>
      <c r="H196" s="8"/>
      <c r="I196" s="9"/>
      <c r="K196" s="12" t="str" cm="1">
        <f t="array" ref="K196">IF($B196&lt;&gt;"",TRANSPOSE(_xlfn._xlws.FILTER(plan!$C$4:$C$52, ($B196 &gt;= (plan!$J$4:$J$52-Indice_Plan_ExtensionPlazo))*($B196 &lt;= (plan!$K$4:$K$52+Indice_Plan_ExtensionPlazo)), "")), "")</f>
        <v/>
      </c>
      <c r="BH196" s="4"/>
    </row>
    <row r="197" spans="2:60" x14ac:dyDescent="0.3">
      <c r="B197" s="6"/>
      <c r="C197" s="10"/>
      <c r="D197" s="48" t="str">
        <f>IF(Tabla_Registro_Tareas4[[#This Row],[Actividad]]=Indice_Aux_Vacio,"",IFERROR(INDEX(plan!$D$4:$D$52,MATCH(Tabla_Registro_Tareas4[[#This Row],[Actividad]],plan!$C$4:$C$52,0)),""))</f>
        <v/>
      </c>
      <c r="E197" s="48" t="str">
        <f>IFERROR(INDEX(plan!$E$4:$E$52,MATCH(Tabla_Registro_Tareas4[[#This Row],[Actividad]],plan!$C$4:$C$52,0)),"")</f>
        <v/>
      </c>
      <c r="F197" s="49" t="str">
        <f>IF(Tabla_Registro_Tareas4[[#This Row],[Actividad]]=Indice_Aux_Vacio,"",Indice_PROBLAM_Estudiante4)</f>
        <v/>
      </c>
      <c r="G197" s="7"/>
      <c r="H197" s="8"/>
      <c r="I197" s="9"/>
      <c r="K197" s="12" t="str" cm="1">
        <f t="array" ref="K197">IF($B197&lt;&gt;"",TRANSPOSE(_xlfn._xlws.FILTER(plan!$C$4:$C$52, ($B197 &gt;= (plan!$J$4:$J$52-Indice_Plan_ExtensionPlazo))*($B197 &lt;= (plan!$K$4:$K$52+Indice_Plan_ExtensionPlazo)), "")), "")</f>
        <v/>
      </c>
      <c r="BH197" s="4"/>
    </row>
    <row r="198" spans="2:60" x14ac:dyDescent="0.3">
      <c r="B198" s="6"/>
      <c r="C198" s="10"/>
      <c r="D198" s="48" t="str">
        <f>IF(Tabla_Registro_Tareas4[[#This Row],[Actividad]]=Indice_Aux_Vacio,"",IFERROR(INDEX(plan!$D$4:$D$52,MATCH(Tabla_Registro_Tareas4[[#This Row],[Actividad]],plan!$C$4:$C$52,0)),""))</f>
        <v/>
      </c>
      <c r="E198" s="48" t="str">
        <f>IFERROR(INDEX(plan!$E$4:$E$52,MATCH(Tabla_Registro_Tareas4[[#This Row],[Actividad]],plan!$C$4:$C$52,0)),"")</f>
        <v/>
      </c>
      <c r="F198" s="49" t="str">
        <f>IF(Tabla_Registro_Tareas4[[#This Row],[Actividad]]=Indice_Aux_Vacio,"",Indice_PROBLAM_Estudiante4)</f>
        <v/>
      </c>
      <c r="G198" s="7"/>
      <c r="H198" s="8"/>
      <c r="I198" s="9"/>
      <c r="K198" s="12" t="str" cm="1">
        <f t="array" ref="K198">IF($B198&lt;&gt;"",TRANSPOSE(_xlfn._xlws.FILTER(plan!$C$4:$C$52, ($B198 &gt;= (plan!$J$4:$J$52-Indice_Plan_ExtensionPlazo))*($B198 &lt;= (plan!$K$4:$K$52+Indice_Plan_ExtensionPlazo)), "")), "")</f>
        <v/>
      </c>
      <c r="BH198" s="4"/>
    </row>
    <row r="199" spans="2:60" x14ac:dyDescent="0.3">
      <c r="B199" s="6"/>
      <c r="C199" s="10"/>
      <c r="D199" s="48" t="str">
        <f>IF(Tabla_Registro_Tareas4[[#This Row],[Actividad]]=Indice_Aux_Vacio,"",IFERROR(INDEX(plan!$D$4:$D$52,MATCH(Tabla_Registro_Tareas4[[#This Row],[Actividad]],plan!$C$4:$C$52,0)),""))</f>
        <v/>
      </c>
      <c r="E199" s="48" t="str">
        <f>IFERROR(INDEX(plan!$E$4:$E$52,MATCH(Tabla_Registro_Tareas4[[#This Row],[Actividad]],plan!$C$4:$C$52,0)),"")</f>
        <v/>
      </c>
      <c r="F199" s="49" t="str">
        <f>IF(Tabla_Registro_Tareas4[[#This Row],[Actividad]]=Indice_Aux_Vacio,"",Indice_PROBLAM_Estudiante4)</f>
        <v/>
      </c>
      <c r="G199" s="7"/>
      <c r="H199" s="8"/>
      <c r="I199" s="9"/>
      <c r="K199" s="12" t="str" cm="1">
        <f t="array" ref="K199">IF($B199&lt;&gt;"",TRANSPOSE(_xlfn._xlws.FILTER(plan!$C$4:$C$52, ($B199 &gt;= (plan!$J$4:$J$52-Indice_Plan_ExtensionPlazo))*($B199 &lt;= (plan!$K$4:$K$52+Indice_Plan_ExtensionPlazo)), "")), "")</f>
        <v/>
      </c>
      <c r="BH199" s="4"/>
    </row>
    <row r="200" spans="2:60" x14ac:dyDescent="0.3">
      <c r="B200" s="6"/>
      <c r="C200" s="10"/>
      <c r="D200" s="48" t="str">
        <f>IF(Tabla_Registro_Tareas4[[#This Row],[Actividad]]=Indice_Aux_Vacio,"",IFERROR(INDEX(plan!$D$4:$D$52,MATCH(Tabla_Registro_Tareas4[[#This Row],[Actividad]],plan!$C$4:$C$52,0)),""))</f>
        <v/>
      </c>
      <c r="E200" s="48" t="str">
        <f>IFERROR(INDEX(plan!$E$4:$E$52,MATCH(Tabla_Registro_Tareas4[[#This Row],[Actividad]],plan!$C$4:$C$52,0)),"")</f>
        <v/>
      </c>
      <c r="F200" s="49" t="str">
        <f>IF(Tabla_Registro_Tareas4[[#This Row],[Actividad]]=Indice_Aux_Vacio,"",Indice_PROBLAM_Estudiante4)</f>
        <v/>
      </c>
      <c r="G200" s="7"/>
      <c r="H200" s="8"/>
      <c r="I200" s="9"/>
      <c r="K200" s="12" t="str" cm="1">
        <f t="array" ref="K200">IF($B200&lt;&gt;"",TRANSPOSE(_xlfn._xlws.FILTER(plan!$C$4:$C$52, ($B200 &gt;= (plan!$J$4:$J$52-Indice_Plan_ExtensionPlazo))*($B200 &lt;= (plan!$K$4:$K$52+Indice_Plan_ExtensionPlazo)), "")), "")</f>
        <v/>
      </c>
      <c r="BH200" s="4"/>
    </row>
    <row r="201" spans="2:60" x14ac:dyDescent="0.3">
      <c r="B201" s="6"/>
      <c r="C201" s="10"/>
      <c r="D201" s="48" t="str">
        <f>IF(Tabla_Registro_Tareas4[[#This Row],[Actividad]]=Indice_Aux_Vacio,"",IFERROR(INDEX(plan!$D$4:$D$52,MATCH(Tabla_Registro_Tareas4[[#This Row],[Actividad]],plan!$C$4:$C$52,0)),""))</f>
        <v/>
      </c>
      <c r="E201" s="48" t="str">
        <f>IFERROR(INDEX(plan!$E$4:$E$52,MATCH(Tabla_Registro_Tareas4[[#This Row],[Actividad]],plan!$C$4:$C$52,0)),"")</f>
        <v/>
      </c>
      <c r="F201" s="49" t="str">
        <f>IF(Tabla_Registro_Tareas4[[#This Row],[Actividad]]=Indice_Aux_Vacio,"",Indice_PROBLAM_Estudiante4)</f>
        <v/>
      </c>
      <c r="G201" s="7"/>
      <c r="H201" s="8"/>
      <c r="I201" s="9"/>
      <c r="K201" s="12" t="str" cm="1">
        <f t="array" ref="K201">IF($B201&lt;&gt;"",TRANSPOSE(_xlfn._xlws.FILTER(plan!$C$4:$C$52, ($B201 &gt;= (plan!$J$4:$J$52-Indice_Plan_ExtensionPlazo))*($B201 &lt;= (plan!$K$4:$K$52+Indice_Plan_ExtensionPlazo)), "")), "")</f>
        <v/>
      </c>
      <c r="BH201" s="4"/>
    </row>
    <row r="202" spans="2:60" x14ac:dyDescent="0.3">
      <c r="B202" s="6"/>
      <c r="C202" s="10"/>
      <c r="D202" s="48" t="str">
        <f>IF(Tabla_Registro_Tareas4[[#This Row],[Actividad]]=Indice_Aux_Vacio,"",IFERROR(INDEX(plan!$D$4:$D$52,MATCH(Tabla_Registro_Tareas4[[#This Row],[Actividad]],plan!$C$4:$C$52,0)),""))</f>
        <v/>
      </c>
      <c r="E202" s="48" t="str">
        <f>IFERROR(INDEX(plan!$E$4:$E$52,MATCH(Tabla_Registro_Tareas4[[#This Row],[Actividad]],plan!$C$4:$C$52,0)),"")</f>
        <v/>
      </c>
      <c r="F202" s="49" t="str">
        <f>IF(Tabla_Registro_Tareas4[[#This Row],[Actividad]]=Indice_Aux_Vacio,"",Indice_PROBLAM_Estudiante4)</f>
        <v/>
      </c>
      <c r="G202" s="7"/>
      <c r="H202" s="8"/>
      <c r="I202" s="9"/>
      <c r="K202" s="12" t="str" cm="1">
        <f t="array" ref="K202">IF($B202&lt;&gt;"",TRANSPOSE(_xlfn._xlws.FILTER(plan!$C$4:$C$52, ($B202 &gt;= (plan!$J$4:$J$52-Indice_Plan_ExtensionPlazo))*($B202 &lt;= (plan!$K$4:$K$52+Indice_Plan_ExtensionPlazo)), "")), "")</f>
        <v/>
      </c>
      <c r="BH202" s="4"/>
    </row>
    <row r="203" spans="2:60" x14ac:dyDescent="0.3">
      <c r="B203" s="6"/>
      <c r="C203" s="10"/>
      <c r="D203" s="48" t="str">
        <f>IF(Tabla_Registro_Tareas4[[#This Row],[Actividad]]=Indice_Aux_Vacio,"",IFERROR(INDEX(plan!$D$4:$D$52,MATCH(Tabla_Registro_Tareas4[[#This Row],[Actividad]],plan!$C$4:$C$52,0)),""))</f>
        <v/>
      </c>
      <c r="E203" s="48" t="str">
        <f>IFERROR(INDEX(plan!$E$4:$E$52,MATCH(Tabla_Registro_Tareas4[[#This Row],[Actividad]],plan!$C$4:$C$52,0)),"")</f>
        <v/>
      </c>
      <c r="F203" s="49" t="str">
        <f>IF(Tabla_Registro_Tareas4[[#This Row],[Actividad]]=Indice_Aux_Vacio,"",Indice_PROBLAM_Estudiante4)</f>
        <v/>
      </c>
      <c r="G203" s="7"/>
      <c r="H203" s="8"/>
      <c r="I203" s="9"/>
      <c r="K203" s="12" t="str" cm="1">
        <f t="array" ref="K203">IF($B203&lt;&gt;"",TRANSPOSE(_xlfn._xlws.FILTER(plan!$C$4:$C$52, ($B203 &gt;= (plan!$J$4:$J$52-Indice_Plan_ExtensionPlazo))*($B203 &lt;= (plan!$K$4:$K$52+Indice_Plan_ExtensionPlazo)), "")), "")</f>
        <v/>
      </c>
      <c r="BH203" s="4"/>
    </row>
    <row r="204" spans="2:60" x14ac:dyDescent="0.3">
      <c r="B204" s="6"/>
      <c r="C204" s="10"/>
      <c r="D204" s="48" t="str">
        <f>IF(Tabla_Registro_Tareas4[[#This Row],[Actividad]]=Indice_Aux_Vacio,"",IFERROR(INDEX(plan!$D$4:$D$52,MATCH(Tabla_Registro_Tareas4[[#This Row],[Actividad]],plan!$C$4:$C$52,0)),""))</f>
        <v/>
      </c>
      <c r="E204" s="48" t="str">
        <f>IFERROR(INDEX(plan!$E$4:$E$52,MATCH(Tabla_Registro_Tareas4[[#This Row],[Actividad]],plan!$C$4:$C$52,0)),"")</f>
        <v/>
      </c>
      <c r="F204" s="49" t="str">
        <f>IF(Tabla_Registro_Tareas4[[#This Row],[Actividad]]=Indice_Aux_Vacio,"",Indice_PROBLAM_Estudiante4)</f>
        <v/>
      </c>
      <c r="G204" s="7"/>
      <c r="H204" s="8"/>
      <c r="I204" s="9"/>
      <c r="K204" s="12" t="str" cm="1">
        <f t="array" ref="K204">IF($B204&lt;&gt;"",TRANSPOSE(_xlfn._xlws.FILTER(plan!$C$4:$C$52, ($B204 &gt;= (plan!$J$4:$J$52-Indice_Plan_ExtensionPlazo))*($B204 &lt;= (plan!$K$4:$K$52+Indice_Plan_ExtensionPlazo)), "")), "")</f>
        <v/>
      </c>
      <c r="BH204" s="4"/>
    </row>
    <row r="205" spans="2:60" x14ac:dyDescent="0.3">
      <c r="B205" s="6"/>
      <c r="C205" s="10"/>
      <c r="D205" s="48" t="str">
        <f>IF(Tabla_Registro_Tareas4[[#This Row],[Actividad]]=Indice_Aux_Vacio,"",IFERROR(INDEX(plan!$D$4:$D$52,MATCH(Tabla_Registro_Tareas4[[#This Row],[Actividad]],plan!$C$4:$C$52,0)),""))</f>
        <v/>
      </c>
      <c r="E205" s="48" t="str">
        <f>IFERROR(INDEX(plan!$E$4:$E$52,MATCH(Tabla_Registro_Tareas4[[#This Row],[Actividad]],plan!$C$4:$C$52,0)),"")</f>
        <v/>
      </c>
      <c r="F205" s="49" t="str">
        <f>IF(Tabla_Registro_Tareas4[[#This Row],[Actividad]]=Indice_Aux_Vacio,"",Indice_PROBLAM_Estudiante4)</f>
        <v/>
      </c>
      <c r="G205" s="7"/>
      <c r="H205" s="8"/>
      <c r="I205" s="9"/>
      <c r="K205" s="12" t="str" cm="1">
        <f t="array" ref="K205">IF($B205&lt;&gt;"",TRANSPOSE(_xlfn._xlws.FILTER(plan!$C$4:$C$52, ($B205 &gt;= (plan!$J$4:$J$52-Indice_Plan_ExtensionPlazo))*($B205 &lt;= (plan!$K$4:$K$52+Indice_Plan_ExtensionPlazo)), "")), "")</f>
        <v/>
      </c>
      <c r="BH205" s="4"/>
    </row>
    <row r="206" spans="2:60" x14ac:dyDescent="0.3">
      <c r="B206" s="6"/>
      <c r="C206" s="10"/>
      <c r="D206" s="48" t="str">
        <f>IF(Tabla_Registro_Tareas4[[#This Row],[Actividad]]=Indice_Aux_Vacio,"",IFERROR(INDEX(plan!$D$4:$D$52,MATCH(Tabla_Registro_Tareas4[[#This Row],[Actividad]],plan!$C$4:$C$52,0)),""))</f>
        <v/>
      </c>
      <c r="E206" s="48" t="str">
        <f>IFERROR(INDEX(plan!$E$4:$E$52,MATCH(Tabla_Registro_Tareas4[[#This Row],[Actividad]],plan!$C$4:$C$52,0)),"")</f>
        <v/>
      </c>
      <c r="F206" s="49" t="str">
        <f>IF(Tabla_Registro_Tareas4[[#This Row],[Actividad]]=Indice_Aux_Vacio,"",Indice_PROBLAM_Estudiante4)</f>
        <v/>
      </c>
      <c r="G206" s="7"/>
      <c r="H206" s="8"/>
      <c r="I206" s="9"/>
      <c r="K206" s="12" t="str" cm="1">
        <f t="array" ref="K206">IF($B206&lt;&gt;"",TRANSPOSE(_xlfn._xlws.FILTER(plan!$C$4:$C$52, ($B206 &gt;= (plan!$J$4:$J$52-Indice_Plan_ExtensionPlazo))*($B206 &lt;= (plan!$K$4:$K$52+Indice_Plan_ExtensionPlazo)), "")), "")</f>
        <v/>
      </c>
      <c r="BH206" s="4"/>
    </row>
    <row r="207" spans="2:60" x14ac:dyDescent="0.3">
      <c r="B207" s="6"/>
      <c r="C207" s="10"/>
      <c r="D207" s="48" t="str">
        <f>IF(Tabla_Registro_Tareas4[[#This Row],[Actividad]]=Indice_Aux_Vacio,"",IFERROR(INDEX(plan!$D$4:$D$52,MATCH(Tabla_Registro_Tareas4[[#This Row],[Actividad]],plan!$C$4:$C$52,0)),""))</f>
        <v/>
      </c>
      <c r="E207" s="48" t="str">
        <f>IFERROR(INDEX(plan!$E$4:$E$52,MATCH(Tabla_Registro_Tareas4[[#This Row],[Actividad]],plan!$C$4:$C$52,0)),"")</f>
        <v/>
      </c>
      <c r="F207" s="49" t="str">
        <f>IF(Tabla_Registro_Tareas4[[#This Row],[Actividad]]=Indice_Aux_Vacio,"",Indice_PROBLAM_Estudiante4)</f>
        <v/>
      </c>
      <c r="G207" s="7"/>
      <c r="H207" s="8"/>
      <c r="I207" s="9"/>
      <c r="K207" s="12" t="str" cm="1">
        <f t="array" ref="K207">IF($B207&lt;&gt;"",TRANSPOSE(_xlfn._xlws.FILTER(plan!$C$4:$C$52, ($B207 &gt;= (plan!$J$4:$J$52-Indice_Plan_ExtensionPlazo))*($B207 &lt;= (plan!$K$4:$K$52+Indice_Plan_ExtensionPlazo)), "")), "")</f>
        <v/>
      </c>
      <c r="BH207" s="4"/>
    </row>
    <row r="208" spans="2:60" x14ac:dyDescent="0.3">
      <c r="B208" s="6"/>
      <c r="C208" s="10"/>
      <c r="D208" s="48" t="str">
        <f>IF(Tabla_Registro_Tareas4[[#This Row],[Actividad]]=Indice_Aux_Vacio,"",IFERROR(INDEX(plan!$D$4:$D$52,MATCH(Tabla_Registro_Tareas4[[#This Row],[Actividad]],plan!$C$4:$C$52,0)),""))</f>
        <v/>
      </c>
      <c r="E208" s="48" t="str">
        <f>IFERROR(INDEX(plan!$E$4:$E$52,MATCH(Tabla_Registro_Tareas4[[#This Row],[Actividad]],plan!$C$4:$C$52,0)),"")</f>
        <v/>
      </c>
      <c r="F208" s="49" t="str">
        <f>IF(Tabla_Registro_Tareas4[[#This Row],[Actividad]]=Indice_Aux_Vacio,"",Indice_PROBLAM_Estudiante4)</f>
        <v/>
      </c>
      <c r="G208" s="7"/>
      <c r="H208" s="8"/>
      <c r="I208" s="9"/>
      <c r="K208" s="12" t="str" cm="1">
        <f t="array" ref="K208">IF($B208&lt;&gt;"",TRANSPOSE(_xlfn._xlws.FILTER(plan!$C$4:$C$52, ($B208 &gt;= (plan!$J$4:$J$52-Indice_Plan_ExtensionPlazo))*($B208 &lt;= (plan!$K$4:$K$52+Indice_Plan_ExtensionPlazo)), "")), "")</f>
        <v/>
      </c>
      <c r="BH208" s="4"/>
    </row>
    <row r="209" spans="2:60" x14ac:dyDescent="0.3">
      <c r="B209" s="6"/>
      <c r="C209" s="10"/>
      <c r="D209" s="48" t="str">
        <f>IF(Tabla_Registro_Tareas4[[#This Row],[Actividad]]=Indice_Aux_Vacio,"",IFERROR(INDEX(plan!$D$4:$D$52,MATCH(Tabla_Registro_Tareas4[[#This Row],[Actividad]],plan!$C$4:$C$52,0)),""))</f>
        <v/>
      </c>
      <c r="E209" s="48" t="str">
        <f>IFERROR(INDEX(plan!$E$4:$E$52,MATCH(Tabla_Registro_Tareas4[[#This Row],[Actividad]],plan!$C$4:$C$52,0)),"")</f>
        <v/>
      </c>
      <c r="F209" s="49" t="str">
        <f>IF(Tabla_Registro_Tareas4[[#This Row],[Actividad]]=Indice_Aux_Vacio,"",Indice_PROBLAM_Estudiante4)</f>
        <v/>
      </c>
      <c r="G209" s="7"/>
      <c r="H209" s="8"/>
      <c r="I209" s="9"/>
      <c r="K209" s="12" t="str" cm="1">
        <f t="array" ref="K209">IF($B209&lt;&gt;"",TRANSPOSE(_xlfn._xlws.FILTER(plan!$C$4:$C$52, ($B209 &gt;= (plan!$J$4:$J$52-Indice_Plan_ExtensionPlazo))*($B209 &lt;= (plan!$K$4:$K$52+Indice_Plan_ExtensionPlazo)), "")), "")</f>
        <v/>
      </c>
      <c r="BH209" s="4"/>
    </row>
    <row r="210" spans="2:60" x14ac:dyDescent="0.3">
      <c r="B210" s="6"/>
      <c r="C210" s="10"/>
      <c r="D210" s="48" t="str">
        <f>IF(Tabla_Registro_Tareas4[[#This Row],[Actividad]]=Indice_Aux_Vacio,"",IFERROR(INDEX(plan!$D$4:$D$52,MATCH(Tabla_Registro_Tareas4[[#This Row],[Actividad]],plan!$C$4:$C$52,0)),""))</f>
        <v/>
      </c>
      <c r="E210" s="48" t="str">
        <f>IFERROR(INDEX(plan!$E$4:$E$52,MATCH(Tabla_Registro_Tareas4[[#This Row],[Actividad]],plan!$C$4:$C$52,0)),"")</f>
        <v/>
      </c>
      <c r="F210" s="49" t="str">
        <f>IF(Tabla_Registro_Tareas4[[#This Row],[Actividad]]=Indice_Aux_Vacio,"",Indice_PROBLAM_Estudiante4)</f>
        <v/>
      </c>
      <c r="G210" s="7"/>
      <c r="H210" s="8"/>
      <c r="I210" s="9"/>
      <c r="K210" s="12" t="str" cm="1">
        <f t="array" ref="K210">IF($B210&lt;&gt;"",TRANSPOSE(_xlfn._xlws.FILTER(plan!$C$4:$C$52, ($B210 &gt;= (plan!$J$4:$J$52-Indice_Plan_ExtensionPlazo))*($B210 &lt;= (plan!$K$4:$K$52+Indice_Plan_ExtensionPlazo)), "")), "")</f>
        <v/>
      </c>
      <c r="BH210" s="4"/>
    </row>
    <row r="211" spans="2:60" x14ac:dyDescent="0.3">
      <c r="B211" s="6"/>
      <c r="C211" s="10"/>
      <c r="D211" s="48" t="str">
        <f>IF(Tabla_Registro_Tareas4[[#This Row],[Actividad]]=Indice_Aux_Vacio,"",IFERROR(INDEX(plan!$D$4:$D$52,MATCH(Tabla_Registro_Tareas4[[#This Row],[Actividad]],plan!$C$4:$C$52,0)),""))</f>
        <v/>
      </c>
      <c r="E211" s="48" t="str">
        <f>IFERROR(INDEX(plan!$E$4:$E$52,MATCH(Tabla_Registro_Tareas4[[#This Row],[Actividad]],plan!$C$4:$C$52,0)),"")</f>
        <v/>
      </c>
      <c r="F211" s="49" t="str">
        <f>IF(Tabla_Registro_Tareas4[[#This Row],[Actividad]]=Indice_Aux_Vacio,"",Indice_PROBLAM_Estudiante4)</f>
        <v/>
      </c>
      <c r="G211" s="7"/>
      <c r="H211" s="8"/>
      <c r="I211" s="9"/>
      <c r="K211" s="12" t="str" cm="1">
        <f t="array" ref="K211">IF($B211&lt;&gt;"",TRANSPOSE(_xlfn._xlws.FILTER(plan!$C$4:$C$52, ($B211 &gt;= (plan!$J$4:$J$52-Indice_Plan_ExtensionPlazo))*($B211 &lt;= (plan!$K$4:$K$52+Indice_Plan_ExtensionPlazo)), "")), "")</f>
        <v/>
      </c>
      <c r="BH211" s="4"/>
    </row>
    <row r="212" spans="2:60" x14ac:dyDescent="0.3">
      <c r="B212" s="6"/>
      <c r="C212" s="10"/>
      <c r="D212" s="48" t="str">
        <f>IF(Tabla_Registro_Tareas4[[#This Row],[Actividad]]=Indice_Aux_Vacio,"",IFERROR(INDEX(plan!$D$4:$D$52,MATCH(Tabla_Registro_Tareas4[[#This Row],[Actividad]],plan!$C$4:$C$52,0)),""))</f>
        <v/>
      </c>
      <c r="E212" s="48" t="str">
        <f>IFERROR(INDEX(plan!$E$4:$E$52,MATCH(Tabla_Registro_Tareas4[[#This Row],[Actividad]],plan!$C$4:$C$52,0)),"")</f>
        <v/>
      </c>
      <c r="F212" s="49" t="str">
        <f>IF(Tabla_Registro_Tareas4[[#This Row],[Actividad]]=Indice_Aux_Vacio,"",Indice_PROBLAM_Estudiante4)</f>
        <v/>
      </c>
      <c r="G212" s="7"/>
      <c r="H212" s="8"/>
      <c r="I212" s="9"/>
      <c r="K212" s="12" t="str" cm="1">
        <f t="array" ref="K212">IF($B212&lt;&gt;"",TRANSPOSE(_xlfn._xlws.FILTER(plan!$C$4:$C$52, ($B212 &gt;= (plan!$J$4:$J$52-Indice_Plan_ExtensionPlazo))*($B212 &lt;= (plan!$K$4:$K$52+Indice_Plan_ExtensionPlazo)), "")), "")</f>
        <v/>
      </c>
      <c r="BH212" s="4"/>
    </row>
    <row r="213" spans="2:60" x14ac:dyDescent="0.3">
      <c r="B213" s="6"/>
      <c r="C213" s="10"/>
      <c r="D213" s="48" t="str">
        <f>IF(Tabla_Registro_Tareas4[[#This Row],[Actividad]]=Indice_Aux_Vacio,"",IFERROR(INDEX(plan!$D$4:$D$52,MATCH(Tabla_Registro_Tareas4[[#This Row],[Actividad]],plan!$C$4:$C$52,0)),""))</f>
        <v/>
      </c>
      <c r="E213" s="48" t="str">
        <f>IFERROR(INDEX(plan!$E$4:$E$52,MATCH(Tabla_Registro_Tareas4[[#This Row],[Actividad]],plan!$C$4:$C$52,0)),"")</f>
        <v/>
      </c>
      <c r="F213" s="49" t="str">
        <f>IF(Tabla_Registro_Tareas4[[#This Row],[Actividad]]=Indice_Aux_Vacio,"",Indice_PROBLAM_Estudiante4)</f>
        <v/>
      </c>
      <c r="G213" s="7"/>
      <c r="H213" s="8"/>
      <c r="I213" s="9"/>
      <c r="K213" s="12" t="str" cm="1">
        <f t="array" ref="K213">IF($B213&lt;&gt;"",TRANSPOSE(_xlfn._xlws.FILTER(plan!$C$4:$C$52, ($B213 &gt;= (plan!$J$4:$J$52-Indice_Plan_ExtensionPlazo))*($B213 &lt;= (plan!$K$4:$K$52+Indice_Plan_ExtensionPlazo)), "")), "")</f>
        <v/>
      </c>
      <c r="BH213" s="4"/>
    </row>
    <row r="214" spans="2:60" x14ac:dyDescent="0.3">
      <c r="B214" s="6"/>
      <c r="C214" s="10"/>
      <c r="D214" s="48" t="str">
        <f>IF(Tabla_Registro_Tareas4[[#This Row],[Actividad]]=Indice_Aux_Vacio,"",IFERROR(INDEX(plan!$D$4:$D$52,MATCH(Tabla_Registro_Tareas4[[#This Row],[Actividad]],plan!$C$4:$C$52,0)),""))</f>
        <v/>
      </c>
      <c r="E214" s="48" t="str">
        <f>IFERROR(INDEX(plan!$E$4:$E$52,MATCH(Tabla_Registro_Tareas4[[#This Row],[Actividad]],plan!$C$4:$C$52,0)),"")</f>
        <v/>
      </c>
      <c r="F214" s="49" t="str">
        <f>IF(Tabla_Registro_Tareas4[[#This Row],[Actividad]]=Indice_Aux_Vacio,"",Indice_PROBLAM_Estudiante4)</f>
        <v/>
      </c>
      <c r="G214" s="7"/>
      <c r="H214" s="8"/>
      <c r="I214" s="9"/>
      <c r="K214" s="12" t="str" cm="1">
        <f t="array" ref="K214">IF($B214&lt;&gt;"",TRANSPOSE(_xlfn._xlws.FILTER(plan!$C$4:$C$52, ($B214 &gt;= (plan!$J$4:$J$52-Indice_Plan_ExtensionPlazo))*($B214 &lt;= (plan!$K$4:$K$52+Indice_Plan_ExtensionPlazo)), "")), "")</f>
        <v/>
      </c>
      <c r="BH214" s="4"/>
    </row>
    <row r="215" spans="2:60" x14ac:dyDescent="0.3">
      <c r="B215" s="6"/>
      <c r="C215" s="10"/>
      <c r="D215" s="48" t="str">
        <f>IF(Tabla_Registro_Tareas4[[#This Row],[Actividad]]=Indice_Aux_Vacio,"",IFERROR(INDEX(plan!$D$4:$D$52,MATCH(Tabla_Registro_Tareas4[[#This Row],[Actividad]],plan!$C$4:$C$52,0)),""))</f>
        <v/>
      </c>
      <c r="E215" s="48" t="str">
        <f>IFERROR(INDEX(plan!$E$4:$E$52,MATCH(Tabla_Registro_Tareas4[[#This Row],[Actividad]],plan!$C$4:$C$52,0)),"")</f>
        <v/>
      </c>
      <c r="F215" s="49" t="str">
        <f>IF(Tabla_Registro_Tareas4[[#This Row],[Actividad]]=Indice_Aux_Vacio,"",Indice_PROBLAM_Estudiante4)</f>
        <v/>
      </c>
      <c r="G215" s="7"/>
      <c r="H215" s="8"/>
      <c r="I215" s="9"/>
      <c r="K215" s="12" t="str" cm="1">
        <f t="array" ref="K215">IF($B215&lt;&gt;"",TRANSPOSE(_xlfn._xlws.FILTER(plan!$C$4:$C$52, ($B215 &gt;= (plan!$J$4:$J$52-Indice_Plan_ExtensionPlazo))*($B215 &lt;= (plan!$K$4:$K$52+Indice_Plan_ExtensionPlazo)), "")), "")</f>
        <v/>
      </c>
      <c r="BH215" s="4"/>
    </row>
    <row r="216" spans="2:60" x14ac:dyDescent="0.3">
      <c r="B216" s="6"/>
      <c r="C216" s="10"/>
      <c r="D216" s="48" t="str">
        <f>IF(Tabla_Registro_Tareas4[[#This Row],[Actividad]]=Indice_Aux_Vacio,"",IFERROR(INDEX(plan!$D$4:$D$52,MATCH(Tabla_Registro_Tareas4[[#This Row],[Actividad]],plan!$C$4:$C$52,0)),""))</f>
        <v/>
      </c>
      <c r="E216" s="48" t="str">
        <f>IFERROR(INDEX(plan!$E$4:$E$52,MATCH(Tabla_Registro_Tareas4[[#This Row],[Actividad]],plan!$C$4:$C$52,0)),"")</f>
        <v/>
      </c>
      <c r="F216" s="49" t="str">
        <f>IF(Tabla_Registro_Tareas4[[#This Row],[Actividad]]=Indice_Aux_Vacio,"",Indice_PROBLAM_Estudiante4)</f>
        <v/>
      </c>
      <c r="G216" s="7"/>
      <c r="H216" s="8"/>
      <c r="I216" s="9"/>
      <c r="K216" s="12" t="str" cm="1">
        <f t="array" ref="K216">IF($B216&lt;&gt;"",TRANSPOSE(_xlfn._xlws.FILTER(plan!$C$4:$C$52, ($B216 &gt;= (plan!$J$4:$J$52-Indice_Plan_ExtensionPlazo))*($B216 &lt;= (plan!$K$4:$K$52+Indice_Plan_ExtensionPlazo)), "")), "")</f>
        <v/>
      </c>
      <c r="BH216" s="4"/>
    </row>
    <row r="217" spans="2:60" x14ac:dyDescent="0.3">
      <c r="B217" s="6"/>
      <c r="C217" s="10"/>
      <c r="D217" s="48" t="str">
        <f>IF(Tabla_Registro_Tareas4[[#This Row],[Actividad]]=Indice_Aux_Vacio,"",IFERROR(INDEX(plan!$D$4:$D$52,MATCH(Tabla_Registro_Tareas4[[#This Row],[Actividad]],plan!$C$4:$C$52,0)),""))</f>
        <v/>
      </c>
      <c r="E217" s="48" t="str">
        <f>IFERROR(INDEX(plan!$E$4:$E$52,MATCH(Tabla_Registro_Tareas4[[#This Row],[Actividad]],plan!$C$4:$C$52,0)),"")</f>
        <v/>
      </c>
      <c r="F217" s="49" t="str">
        <f>IF(Tabla_Registro_Tareas4[[#This Row],[Actividad]]=Indice_Aux_Vacio,"",Indice_PROBLAM_Estudiante4)</f>
        <v/>
      </c>
      <c r="G217" s="7"/>
      <c r="H217" s="8"/>
      <c r="I217" s="9"/>
      <c r="K217" s="12" t="str" cm="1">
        <f t="array" ref="K217">IF($B217&lt;&gt;"",TRANSPOSE(_xlfn._xlws.FILTER(plan!$C$4:$C$52, ($B217 &gt;= (plan!$J$4:$J$52-Indice_Plan_ExtensionPlazo))*($B217 &lt;= (plan!$K$4:$K$52+Indice_Plan_ExtensionPlazo)), "")), "")</f>
        <v/>
      </c>
      <c r="BH217" s="4"/>
    </row>
    <row r="218" spans="2:60" x14ac:dyDescent="0.3">
      <c r="B218" s="6"/>
      <c r="C218" s="10"/>
      <c r="D218" s="48" t="str">
        <f>IF(Tabla_Registro_Tareas4[[#This Row],[Actividad]]=Indice_Aux_Vacio,"",IFERROR(INDEX(plan!$D$4:$D$52,MATCH(Tabla_Registro_Tareas4[[#This Row],[Actividad]],plan!$C$4:$C$52,0)),""))</f>
        <v/>
      </c>
      <c r="E218" s="48" t="str">
        <f>IFERROR(INDEX(plan!$E$4:$E$52,MATCH(Tabla_Registro_Tareas4[[#This Row],[Actividad]],plan!$C$4:$C$52,0)),"")</f>
        <v/>
      </c>
      <c r="F218" s="49" t="str">
        <f>IF(Tabla_Registro_Tareas4[[#This Row],[Actividad]]=Indice_Aux_Vacio,"",Indice_PROBLAM_Estudiante4)</f>
        <v/>
      </c>
      <c r="G218" s="7"/>
      <c r="H218" s="8"/>
      <c r="I218" s="9"/>
      <c r="K218" s="12" t="str" cm="1">
        <f t="array" ref="K218">IF($B218&lt;&gt;"",TRANSPOSE(_xlfn._xlws.FILTER(plan!$C$4:$C$52, ($B218 &gt;= (plan!$J$4:$J$52-Indice_Plan_ExtensionPlazo))*($B218 &lt;= (plan!$K$4:$K$52+Indice_Plan_ExtensionPlazo)), "")), "")</f>
        <v/>
      </c>
      <c r="BH218" s="4"/>
    </row>
    <row r="219" spans="2:60" x14ac:dyDescent="0.3">
      <c r="B219" s="6"/>
      <c r="C219" s="10"/>
      <c r="D219" s="48" t="str">
        <f>IF(Tabla_Registro_Tareas4[[#This Row],[Actividad]]=Indice_Aux_Vacio,"",IFERROR(INDEX(plan!$D$4:$D$52,MATCH(Tabla_Registro_Tareas4[[#This Row],[Actividad]],plan!$C$4:$C$52,0)),""))</f>
        <v/>
      </c>
      <c r="E219" s="48" t="str">
        <f>IFERROR(INDEX(plan!$E$4:$E$52,MATCH(Tabla_Registro_Tareas4[[#This Row],[Actividad]],plan!$C$4:$C$52,0)),"")</f>
        <v/>
      </c>
      <c r="F219" s="49" t="str">
        <f>IF(Tabla_Registro_Tareas4[[#This Row],[Actividad]]=Indice_Aux_Vacio,"",Indice_PROBLAM_Estudiante4)</f>
        <v/>
      </c>
      <c r="G219" s="7"/>
      <c r="H219" s="8"/>
      <c r="I219" s="9"/>
      <c r="K219" s="12" t="str" cm="1">
        <f t="array" ref="K219">IF($B219&lt;&gt;"",TRANSPOSE(_xlfn._xlws.FILTER(plan!$C$4:$C$52, ($B219 &gt;= (plan!$J$4:$J$52-Indice_Plan_ExtensionPlazo))*($B219 &lt;= (plan!$K$4:$K$52+Indice_Plan_ExtensionPlazo)), "")), "")</f>
        <v/>
      </c>
      <c r="BH219" s="4"/>
    </row>
    <row r="220" spans="2:60" x14ac:dyDescent="0.3">
      <c r="B220" s="6"/>
      <c r="C220" s="10"/>
      <c r="D220" s="48" t="str">
        <f>IF(Tabla_Registro_Tareas4[[#This Row],[Actividad]]=Indice_Aux_Vacio,"",IFERROR(INDEX(plan!$D$4:$D$52,MATCH(Tabla_Registro_Tareas4[[#This Row],[Actividad]],plan!$C$4:$C$52,0)),""))</f>
        <v/>
      </c>
      <c r="E220" s="48" t="str">
        <f>IFERROR(INDEX(plan!$E$4:$E$52,MATCH(Tabla_Registro_Tareas4[[#This Row],[Actividad]],plan!$C$4:$C$52,0)),"")</f>
        <v/>
      </c>
      <c r="F220" s="49" t="str">
        <f>IF(Tabla_Registro_Tareas4[[#This Row],[Actividad]]=Indice_Aux_Vacio,"",Indice_PROBLAM_Estudiante4)</f>
        <v/>
      </c>
      <c r="G220" s="7"/>
      <c r="H220" s="8"/>
      <c r="I220" s="9"/>
      <c r="K220" s="12" t="str" cm="1">
        <f t="array" ref="K220">IF($B220&lt;&gt;"",TRANSPOSE(_xlfn._xlws.FILTER(plan!$C$4:$C$52, ($B220 &gt;= (plan!$J$4:$J$52-Indice_Plan_ExtensionPlazo))*($B220 &lt;= (plan!$K$4:$K$52+Indice_Plan_ExtensionPlazo)), "")), "")</f>
        <v/>
      </c>
      <c r="BH220" s="4"/>
    </row>
    <row r="221" spans="2:60" x14ac:dyDescent="0.3">
      <c r="B221" s="6"/>
      <c r="C221" s="10"/>
      <c r="D221" s="48" t="str">
        <f>IF(Tabla_Registro_Tareas4[[#This Row],[Actividad]]=Indice_Aux_Vacio,"",IFERROR(INDEX(plan!$D$4:$D$52,MATCH(Tabla_Registro_Tareas4[[#This Row],[Actividad]],plan!$C$4:$C$52,0)),""))</f>
        <v/>
      </c>
      <c r="E221" s="48" t="str">
        <f>IFERROR(INDEX(plan!$E$4:$E$52,MATCH(Tabla_Registro_Tareas4[[#This Row],[Actividad]],plan!$C$4:$C$52,0)),"")</f>
        <v/>
      </c>
      <c r="F221" s="49" t="str">
        <f>IF(Tabla_Registro_Tareas4[[#This Row],[Actividad]]=Indice_Aux_Vacio,"",Indice_PROBLAM_Estudiante4)</f>
        <v/>
      </c>
      <c r="G221" s="7"/>
      <c r="H221" s="8"/>
      <c r="I221" s="9"/>
      <c r="K221" s="12" t="str" cm="1">
        <f t="array" ref="K221">IF($B221&lt;&gt;"",TRANSPOSE(_xlfn._xlws.FILTER(plan!$C$4:$C$52, ($B221 &gt;= (plan!$J$4:$J$52-Indice_Plan_ExtensionPlazo))*($B221 &lt;= (plan!$K$4:$K$52+Indice_Plan_ExtensionPlazo)), "")), "")</f>
        <v/>
      </c>
      <c r="BH221" s="4"/>
    </row>
    <row r="222" spans="2:60" x14ac:dyDescent="0.3">
      <c r="B222" s="6"/>
      <c r="C222" s="10"/>
      <c r="D222" s="48" t="str">
        <f>IF(Tabla_Registro_Tareas4[[#This Row],[Actividad]]=Indice_Aux_Vacio,"",IFERROR(INDEX(plan!$D$4:$D$52,MATCH(Tabla_Registro_Tareas4[[#This Row],[Actividad]],plan!$C$4:$C$52,0)),""))</f>
        <v/>
      </c>
      <c r="E222" s="48" t="str">
        <f>IFERROR(INDEX(plan!$E$4:$E$52,MATCH(Tabla_Registro_Tareas4[[#This Row],[Actividad]],plan!$C$4:$C$52,0)),"")</f>
        <v/>
      </c>
      <c r="F222" s="49" t="str">
        <f>IF(Tabla_Registro_Tareas4[[#This Row],[Actividad]]=Indice_Aux_Vacio,"",Indice_PROBLAM_Estudiante4)</f>
        <v/>
      </c>
      <c r="G222" s="7"/>
      <c r="H222" s="8"/>
      <c r="I222" s="9"/>
      <c r="K222" s="12" t="str" cm="1">
        <f t="array" ref="K222">IF($B222&lt;&gt;"",TRANSPOSE(_xlfn._xlws.FILTER(plan!$C$4:$C$52, ($B222 &gt;= (plan!$J$4:$J$52-Indice_Plan_ExtensionPlazo))*($B222 &lt;= (plan!$K$4:$K$52+Indice_Plan_ExtensionPlazo)), "")), "")</f>
        <v/>
      </c>
      <c r="BH222" s="4"/>
    </row>
    <row r="223" spans="2:60" x14ac:dyDescent="0.3">
      <c r="B223" s="6"/>
      <c r="C223" s="10"/>
      <c r="D223" s="48" t="str">
        <f>IF(Tabla_Registro_Tareas4[[#This Row],[Actividad]]=Indice_Aux_Vacio,"",IFERROR(INDEX(plan!$D$4:$D$52,MATCH(Tabla_Registro_Tareas4[[#This Row],[Actividad]],plan!$C$4:$C$52,0)),""))</f>
        <v/>
      </c>
      <c r="E223" s="48" t="str">
        <f>IFERROR(INDEX(plan!$E$4:$E$52,MATCH(Tabla_Registro_Tareas4[[#This Row],[Actividad]],plan!$C$4:$C$52,0)),"")</f>
        <v/>
      </c>
      <c r="F223" s="49" t="str">
        <f>IF(Tabla_Registro_Tareas4[[#This Row],[Actividad]]=Indice_Aux_Vacio,"",Indice_PROBLAM_Estudiante4)</f>
        <v/>
      </c>
      <c r="G223" s="7"/>
      <c r="H223" s="8"/>
      <c r="I223" s="9"/>
      <c r="K223" s="12" t="str" cm="1">
        <f t="array" ref="K223">IF($B223&lt;&gt;"",TRANSPOSE(_xlfn._xlws.FILTER(plan!$C$4:$C$52, ($B223 &gt;= (plan!$J$4:$J$52-Indice_Plan_ExtensionPlazo))*($B223 &lt;= (plan!$K$4:$K$52+Indice_Plan_ExtensionPlazo)), "")), "")</f>
        <v/>
      </c>
      <c r="BH223" s="4"/>
    </row>
    <row r="224" spans="2:60" x14ac:dyDescent="0.3">
      <c r="B224" s="6"/>
      <c r="C224" s="10"/>
      <c r="D224" s="48" t="str">
        <f>IF(Tabla_Registro_Tareas4[[#This Row],[Actividad]]=Indice_Aux_Vacio,"",IFERROR(INDEX(plan!$D$4:$D$52,MATCH(Tabla_Registro_Tareas4[[#This Row],[Actividad]],plan!$C$4:$C$52,0)),""))</f>
        <v/>
      </c>
      <c r="E224" s="48" t="str">
        <f>IFERROR(INDEX(plan!$E$4:$E$52,MATCH(Tabla_Registro_Tareas4[[#This Row],[Actividad]],plan!$C$4:$C$52,0)),"")</f>
        <v/>
      </c>
      <c r="F224" s="49" t="str">
        <f>IF(Tabla_Registro_Tareas4[[#This Row],[Actividad]]=Indice_Aux_Vacio,"",Indice_PROBLAM_Estudiante4)</f>
        <v/>
      </c>
      <c r="G224" s="7"/>
      <c r="H224" s="8"/>
      <c r="I224" s="9"/>
      <c r="K224" s="12" t="str" cm="1">
        <f t="array" ref="K224">IF($B224&lt;&gt;"",TRANSPOSE(_xlfn._xlws.FILTER(plan!$C$4:$C$52, ($B224 &gt;= (plan!$J$4:$J$52-Indice_Plan_ExtensionPlazo))*($B224 &lt;= (plan!$K$4:$K$52+Indice_Plan_ExtensionPlazo)), "")), "")</f>
        <v/>
      </c>
      <c r="BH224" s="4"/>
    </row>
    <row r="225" spans="2:60" x14ac:dyDescent="0.3">
      <c r="B225" s="6"/>
      <c r="C225" s="10"/>
      <c r="D225" s="48" t="str">
        <f>IF(Tabla_Registro_Tareas4[[#This Row],[Actividad]]=Indice_Aux_Vacio,"",IFERROR(INDEX(plan!$D$4:$D$52,MATCH(Tabla_Registro_Tareas4[[#This Row],[Actividad]],plan!$C$4:$C$52,0)),""))</f>
        <v/>
      </c>
      <c r="E225" s="48" t="str">
        <f>IFERROR(INDEX(plan!$E$4:$E$52,MATCH(Tabla_Registro_Tareas4[[#This Row],[Actividad]],plan!$C$4:$C$52,0)),"")</f>
        <v/>
      </c>
      <c r="F225" s="49" t="str">
        <f>IF(Tabla_Registro_Tareas4[[#This Row],[Actividad]]=Indice_Aux_Vacio,"",Indice_PROBLAM_Estudiante4)</f>
        <v/>
      </c>
      <c r="G225" s="7"/>
      <c r="H225" s="8"/>
      <c r="I225" s="9"/>
      <c r="K225" s="12" t="str" cm="1">
        <f t="array" ref="K225">IF($B225&lt;&gt;"",TRANSPOSE(_xlfn._xlws.FILTER(plan!$C$4:$C$52, ($B225 &gt;= (plan!$J$4:$J$52-Indice_Plan_ExtensionPlazo))*($B225 &lt;= (plan!$K$4:$K$52+Indice_Plan_ExtensionPlazo)), "")), "")</f>
        <v/>
      </c>
      <c r="BH225" s="4"/>
    </row>
    <row r="226" spans="2:60" x14ac:dyDescent="0.3">
      <c r="B226" s="6"/>
      <c r="C226" s="10"/>
      <c r="D226" s="48" t="str">
        <f>IF(Tabla_Registro_Tareas4[[#This Row],[Actividad]]=Indice_Aux_Vacio,"",IFERROR(INDEX(plan!$D$4:$D$52,MATCH(Tabla_Registro_Tareas4[[#This Row],[Actividad]],plan!$C$4:$C$52,0)),""))</f>
        <v/>
      </c>
      <c r="E226" s="48" t="str">
        <f>IFERROR(INDEX(plan!$E$4:$E$52,MATCH(Tabla_Registro_Tareas4[[#This Row],[Actividad]],plan!$C$4:$C$52,0)),"")</f>
        <v/>
      </c>
      <c r="F226" s="49" t="str">
        <f>IF(Tabla_Registro_Tareas4[[#This Row],[Actividad]]=Indice_Aux_Vacio,"",Indice_PROBLAM_Estudiante4)</f>
        <v/>
      </c>
      <c r="G226" s="7"/>
      <c r="H226" s="8"/>
      <c r="I226" s="9"/>
      <c r="K226" s="12" t="str" cm="1">
        <f t="array" ref="K226">IF($B226&lt;&gt;"",TRANSPOSE(_xlfn._xlws.FILTER(plan!$C$4:$C$52, ($B226 &gt;= (plan!$J$4:$J$52-Indice_Plan_ExtensionPlazo))*($B226 &lt;= (plan!$K$4:$K$52+Indice_Plan_ExtensionPlazo)), "")), "")</f>
        <v/>
      </c>
      <c r="BH226" s="4"/>
    </row>
    <row r="227" spans="2:60" x14ac:dyDescent="0.3">
      <c r="B227" s="6"/>
      <c r="C227" s="10"/>
      <c r="D227" s="48" t="str">
        <f>IF(Tabla_Registro_Tareas4[[#This Row],[Actividad]]=Indice_Aux_Vacio,"",IFERROR(INDEX(plan!$D$4:$D$52,MATCH(Tabla_Registro_Tareas4[[#This Row],[Actividad]],plan!$C$4:$C$52,0)),""))</f>
        <v/>
      </c>
      <c r="E227" s="48" t="str">
        <f>IFERROR(INDEX(plan!$E$4:$E$52,MATCH(Tabla_Registro_Tareas4[[#This Row],[Actividad]],plan!$C$4:$C$52,0)),"")</f>
        <v/>
      </c>
      <c r="F227" s="49" t="str">
        <f>IF(Tabla_Registro_Tareas4[[#This Row],[Actividad]]=Indice_Aux_Vacio,"",Indice_PROBLAM_Estudiante4)</f>
        <v/>
      </c>
      <c r="G227" s="7"/>
      <c r="H227" s="8"/>
      <c r="I227" s="9"/>
      <c r="K227" s="12" t="str" cm="1">
        <f t="array" ref="K227">IF($B227&lt;&gt;"",TRANSPOSE(_xlfn._xlws.FILTER(plan!$C$4:$C$52, ($B227 &gt;= (plan!$J$4:$J$52-Indice_Plan_ExtensionPlazo))*($B227 &lt;= (plan!$K$4:$K$52+Indice_Plan_ExtensionPlazo)), "")), "")</f>
        <v/>
      </c>
      <c r="BH227" s="4"/>
    </row>
    <row r="228" spans="2:60" x14ac:dyDescent="0.3">
      <c r="B228" s="6"/>
      <c r="C228" s="10"/>
      <c r="D228" s="48" t="str">
        <f>IF(Tabla_Registro_Tareas4[[#This Row],[Actividad]]=Indice_Aux_Vacio,"",IFERROR(INDEX(plan!$D$4:$D$52,MATCH(Tabla_Registro_Tareas4[[#This Row],[Actividad]],plan!$C$4:$C$52,0)),""))</f>
        <v/>
      </c>
      <c r="E228" s="48" t="str">
        <f>IFERROR(INDEX(plan!$E$4:$E$52,MATCH(Tabla_Registro_Tareas4[[#This Row],[Actividad]],plan!$C$4:$C$52,0)),"")</f>
        <v/>
      </c>
      <c r="F228" s="49" t="str">
        <f>IF(Tabla_Registro_Tareas4[[#This Row],[Actividad]]=Indice_Aux_Vacio,"",Indice_PROBLAM_Estudiante4)</f>
        <v/>
      </c>
      <c r="G228" s="7"/>
      <c r="H228" s="8"/>
      <c r="I228" s="9"/>
      <c r="K228" s="12" t="str" cm="1">
        <f t="array" ref="K228">IF($B228&lt;&gt;"",TRANSPOSE(_xlfn._xlws.FILTER(plan!$C$4:$C$52, ($B228 &gt;= (plan!$J$4:$J$52-Indice_Plan_ExtensionPlazo))*($B228 &lt;= (plan!$K$4:$K$52+Indice_Plan_ExtensionPlazo)), "")), "")</f>
        <v/>
      </c>
      <c r="BH228" s="4"/>
    </row>
    <row r="229" spans="2:60" x14ac:dyDescent="0.3">
      <c r="B229" s="6"/>
      <c r="C229" s="10"/>
      <c r="D229" s="48" t="str">
        <f>IF(Tabla_Registro_Tareas4[[#This Row],[Actividad]]=Indice_Aux_Vacio,"",IFERROR(INDEX(plan!$D$4:$D$52,MATCH(Tabla_Registro_Tareas4[[#This Row],[Actividad]],plan!$C$4:$C$52,0)),""))</f>
        <v/>
      </c>
      <c r="E229" s="48" t="str">
        <f>IFERROR(INDEX(plan!$E$4:$E$52,MATCH(Tabla_Registro_Tareas4[[#This Row],[Actividad]],plan!$C$4:$C$52,0)),"")</f>
        <v/>
      </c>
      <c r="F229" s="49" t="str">
        <f>IF(Tabla_Registro_Tareas4[[#This Row],[Actividad]]=Indice_Aux_Vacio,"",Indice_PROBLAM_Estudiante4)</f>
        <v/>
      </c>
      <c r="G229" s="7"/>
      <c r="H229" s="8"/>
      <c r="I229" s="9"/>
      <c r="K229" s="12" t="str" cm="1">
        <f t="array" ref="K229">IF($B229&lt;&gt;"",TRANSPOSE(_xlfn._xlws.FILTER(plan!$C$4:$C$52, ($B229 &gt;= (plan!$J$4:$J$52-Indice_Plan_ExtensionPlazo))*($B229 &lt;= (plan!$K$4:$K$52+Indice_Plan_ExtensionPlazo)), "")), "")</f>
        <v/>
      </c>
      <c r="BH229" s="4"/>
    </row>
    <row r="230" spans="2:60" x14ac:dyDescent="0.3">
      <c r="B230" s="6"/>
      <c r="C230" s="10"/>
      <c r="D230" s="48" t="str">
        <f>IF(Tabla_Registro_Tareas4[[#This Row],[Actividad]]=Indice_Aux_Vacio,"",IFERROR(INDEX(plan!$D$4:$D$52,MATCH(Tabla_Registro_Tareas4[[#This Row],[Actividad]],plan!$C$4:$C$52,0)),""))</f>
        <v/>
      </c>
      <c r="E230" s="48" t="str">
        <f>IFERROR(INDEX(plan!$E$4:$E$52,MATCH(Tabla_Registro_Tareas4[[#This Row],[Actividad]],plan!$C$4:$C$52,0)),"")</f>
        <v/>
      </c>
      <c r="F230" s="49" t="str">
        <f>IF(Tabla_Registro_Tareas4[[#This Row],[Actividad]]=Indice_Aux_Vacio,"",Indice_PROBLAM_Estudiante4)</f>
        <v/>
      </c>
      <c r="G230" s="7"/>
      <c r="H230" s="8"/>
      <c r="I230" s="9"/>
      <c r="K230" s="12" t="str" cm="1">
        <f t="array" ref="K230">IF($B230&lt;&gt;"",TRANSPOSE(_xlfn._xlws.FILTER(plan!$C$4:$C$52, ($B230 &gt;= (plan!$J$4:$J$52-Indice_Plan_ExtensionPlazo))*($B230 &lt;= (plan!$K$4:$K$52+Indice_Plan_ExtensionPlazo)), "")), "")</f>
        <v/>
      </c>
      <c r="BH230" s="4"/>
    </row>
    <row r="231" spans="2:60" x14ac:dyDescent="0.3">
      <c r="B231" s="6"/>
      <c r="C231" s="10"/>
      <c r="D231" s="48" t="str">
        <f>IF(Tabla_Registro_Tareas4[[#This Row],[Actividad]]=Indice_Aux_Vacio,"",IFERROR(INDEX(plan!$D$4:$D$52,MATCH(Tabla_Registro_Tareas4[[#This Row],[Actividad]],plan!$C$4:$C$52,0)),""))</f>
        <v/>
      </c>
      <c r="E231" s="48" t="str">
        <f>IFERROR(INDEX(plan!$E$4:$E$52,MATCH(Tabla_Registro_Tareas4[[#This Row],[Actividad]],plan!$C$4:$C$52,0)),"")</f>
        <v/>
      </c>
      <c r="F231" s="49" t="str">
        <f>IF(Tabla_Registro_Tareas4[[#This Row],[Actividad]]=Indice_Aux_Vacio,"",Indice_PROBLAM_Estudiante4)</f>
        <v/>
      </c>
      <c r="G231" s="7"/>
      <c r="H231" s="8"/>
      <c r="I231" s="9"/>
      <c r="K231" s="12" t="str" cm="1">
        <f t="array" ref="K231">IF($B231&lt;&gt;"",TRANSPOSE(_xlfn._xlws.FILTER(plan!$C$4:$C$52, ($B231 &gt;= (plan!$J$4:$J$52-Indice_Plan_ExtensionPlazo))*($B231 &lt;= (plan!$K$4:$K$52+Indice_Plan_ExtensionPlazo)), "")), "")</f>
        <v/>
      </c>
      <c r="BH231" s="4"/>
    </row>
    <row r="232" spans="2:60" x14ac:dyDescent="0.3">
      <c r="B232" s="6"/>
      <c r="C232" s="10"/>
      <c r="D232" s="48" t="str">
        <f>IF(Tabla_Registro_Tareas4[[#This Row],[Actividad]]=Indice_Aux_Vacio,"",IFERROR(INDEX(plan!$D$4:$D$52,MATCH(Tabla_Registro_Tareas4[[#This Row],[Actividad]],plan!$C$4:$C$52,0)),""))</f>
        <v/>
      </c>
      <c r="E232" s="48" t="str">
        <f>IFERROR(INDEX(plan!$E$4:$E$52,MATCH(Tabla_Registro_Tareas4[[#This Row],[Actividad]],plan!$C$4:$C$52,0)),"")</f>
        <v/>
      </c>
      <c r="F232" s="49" t="str">
        <f>IF(Tabla_Registro_Tareas4[[#This Row],[Actividad]]=Indice_Aux_Vacio,"",Indice_PROBLAM_Estudiante4)</f>
        <v/>
      </c>
      <c r="G232" s="7"/>
      <c r="H232" s="8"/>
      <c r="I232" s="9"/>
      <c r="K232" s="12" t="str" cm="1">
        <f t="array" ref="K232">IF($B232&lt;&gt;"",TRANSPOSE(_xlfn._xlws.FILTER(plan!$C$4:$C$52, ($B232 &gt;= (plan!$J$4:$J$52-Indice_Plan_ExtensionPlazo))*($B232 &lt;= (plan!$K$4:$K$52+Indice_Plan_ExtensionPlazo)), "")), "")</f>
        <v/>
      </c>
      <c r="BH232" s="4"/>
    </row>
    <row r="233" spans="2:60" x14ac:dyDescent="0.3">
      <c r="B233" s="6"/>
      <c r="C233" s="10"/>
      <c r="D233" s="48" t="str">
        <f>IF(Tabla_Registro_Tareas4[[#This Row],[Actividad]]=Indice_Aux_Vacio,"",IFERROR(INDEX(plan!$D$4:$D$52,MATCH(Tabla_Registro_Tareas4[[#This Row],[Actividad]],plan!$C$4:$C$52,0)),""))</f>
        <v/>
      </c>
      <c r="E233" s="48" t="str">
        <f>IFERROR(INDEX(plan!$E$4:$E$52,MATCH(Tabla_Registro_Tareas4[[#This Row],[Actividad]],plan!$C$4:$C$52,0)),"")</f>
        <v/>
      </c>
      <c r="F233" s="49" t="str">
        <f>IF(Tabla_Registro_Tareas4[[#This Row],[Actividad]]=Indice_Aux_Vacio,"",Indice_PROBLAM_Estudiante4)</f>
        <v/>
      </c>
      <c r="G233" s="7"/>
      <c r="H233" s="8"/>
      <c r="I233" s="9"/>
      <c r="K233" s="12" t="str" cm="1">
        <f t="array" ref="K233">IF($B233&lt;&gt;"",TRANSPOSE(_xlfn._xlws.FILTER(plan!$C$4:$C$52, ($B233 &gt;= (plan!$J$4:$J$52-Indice_Plan_ExtensionPlazo))*($B233 &lt;= (plan!$K$4:$K$52+Indice_Plan_ExtensionPlazo)), "")), "")</f>
        <v/>
      </c>
      <c r="BH233" s="4"/>
    </row>
    <row r="234" spans="2:60" x14ac:dyDescent="0.3">
      <c r="B234" s="6"/>
      <c r="C234" s="10"/>
      <c r="D234" s="48" t="str">
        <f>IF(Tabla_Registro_Tareas4[[#This Row],[Actividad]]=Indice_Aux_Vacio,"",IFERROR(INDEX(plan!$D$4:$D$52,MATCH(Tabla_Registro_Tareas4[[#This Row],[Actividad]],plan!$C$4:$C$52,0)),""))</f>
        <v/>
      </c>
      <c r="E234" s="48" t="str">
        <f>IFERROR(INDEX(plan!$E$4:$E$52,MATCH(Tabla_Registro_Tareas4[[#This Row],[Actividad]],plan!$C$4:$C$52,0)),"")</f>
        <v/>
      </c>
      <c r="F234" s="49" t="str">
        <f>IF(Tabla_Registro_Tareas4[[#This Row],[Actividad]]=Indice_Aux_Vacio,"",Indice_PROBLAM_Estudiante4)</f>
        <v/>
      </c>
      <c r="G234" s="7"/>
      <c r="H234" s="8"/>
      <c r="I234" s="9"/>
      <c r="K234" s="12" t="str" cm="1">
        <f t="array" ref="K234">IF($B234&lt;&gt;"",TRANSPOSE(_xlfn._xlws.FILTER(plan!$C$4:$C$52, ($B234 &gt;= (plan!$J$4:$J$52-Indice_Plan_ExtensionPlazo))*($B234 &lt;= (plan!$K$4:$K$52+Indice_Plan_ExtensionPlazo)), "")), "")</f>
        <v/>
      </c>
      <c r="BH234" s="4"/>
    </row>
    <row r="235" spans="2:60" x14ac:dyDescent="0.3">
      <c r="B235" s="6"/>
      <c r="C235" s="10"/>
      <c r="D235" s="48" t="str">
        <f>IF(Tabla_Registro_Tareas4[[#This Row],[Actividad]]=Indice_Aux_Vacio,"",IFERROR(INDEX(plan!$D$4:$D$52,MATCH(Tabla_Registro_Tareas4[[#This Row],[Actividad]],plan!$C$4:$C$52,0)),""))</f>
        <v/>
      </c>
      <c r="E235" s="48" t="str">
        <f>IFERROR(INDEX(plan!$E$4:$E$52,MATCH(Tabla_Registro_Tareas4[[#This Row],[Actividad]],plan!$C$4:$C$52,0)),"")</f>
        <v/>
      </c>
      <c r="F235" s="49" t="str">
        <f>IF(Tabla_Registro_Tareas4[[#This Row],[Actividad]]=Indice_Aux_Vacio,"",Indice_PROBLAM_Estudiante4)</f>
        <v/>
      </c>
      <c r="G235" s="7"/>
      <c r="H235" s="8"/>
      <c r="I235" s="9"/>
      <c r="K235" s="12" t="str" cm="1">
        <f t="array" ref="K235">IF($B235&lt;&gt;"",TRANSPOSE(_xlfn._xlws.FILTER(plan!$C$4:$C$52, ($B235 &gt;= (plan!$J$4:$J$52-Indice_Plan_ExtensionPlazo))*($B235 &lt;= (plan!$K$4:$K$52+Indice_Plan_ExtensionPlazo)), "")), "")</f>
        <v/>
      </c>
      <c r="BH235" s="4"/>
    </row>
    <row r="236" spans="2:60" x14ac:dyDescent="0.3">
      <c r="B236" s="6"/>
      <c r="C236" s="10"/>
      <c r="D236" s="48" t="str">
        <f>IF(Tabla_Registro_Tareas4[[#This Row],[Actividad]]=Indice_Aux_Vacio,"",IFERROR(INDEX(plan!$D$4:$D$52,MATCH(Tabla_Registro_Tareas4[[#This Row],[Actividad]],plan!$C$4:$C$52,0)),""))</f>
        <v/>
      </c>
      <c r="E236" s="48" t="str">
        <f>IFERROR(INDEX(plan!$E$4:$E$52,MATCH(Tabla_Registro_Tareas4[[#This Row],[Actividad]],plan!$C$4:$C$52,0)),"")</f>
        <v/>
      </c>
      <c r="F236" s="49" t="str">
        <f>IF(Tabla_Registro_Tareas4[[#This Row],[Actividad]]=Indice_Aux_Vacio,"",Indice_PROBLAM_Estudiante4)</f>
        <v/>
      </c>
      <c r="G236" s="7"/>
      <c r="H236" s="8"/>
      <c r="I236" s="9"/>
      <c r="K236" s="12" t="str" cm="1">
        <f t="array" ref="K236">IF($B236&lt;&gt;"",TRANSPOSE(_xlfn._xlws.FILTER(plan!$C$4:$C$52, ($B236 &gt;= (plan!$J$4:$J$52-Indice_Plan_ExtensionPlazo))*($B236 &lt;= (plan!$K$4:$K$52+Indice_Plan_ExtensionPlazo)), "")), "")</f>
        <v/>
      </c>
      <c r="BH236" s="4"/>
    </row>
    <row r="237" spans="2:60" x14ac:dyDescent="0.3">
      <c r="B237" s="6"/>
      <c r="C237" s="10"/>
      <c r="D237" s="48" t="str">
        <f>IF(Tabla_Registro_Tareas4[[#This Row],[Actividad]]=Indice_Aux_Vacio,"",IFERROR(INDEX(plan!$D$4:$D$52,MATCH(Tabla_Registro_Tareas4[[#This Row],[Actividad]],plan!$C$4:$C$52,0)),""))</f>
        <v/>
      </c>
      <c r="E237" s="48" t="str">
        <f>IFERROR(INDEX(plan!$E$4:$E$52,MATCH(Tabla_Registro_Tareas4[[#This Row],[Actividad]],plan!$C$4:$C$52,0)),"")</f>
        <v/>
      </c>
      <c r="F237" s="49" t="str">
        <f>IF(Tabla_Registro_Tareas4[[#This Row],[Actividad]]=Indice_Aux_Vacio,"",Indice_PROBLAM_Estudiante4)</f>
        <v/>
      </c>
      <c r="G237" s="7"/>
      <c r="H237" s="8"/>
      <c r="I237" s="9"/>
      <c r="K237" s="12" t="str" cm="1">
        <f t="array" ref="K237">IF($B237&lt;&gt;"",TRANSPOSE(_xlfn._xlws.FILTER(plan!$C$4:$C$52, ($B237 &gt;= (plan!$J$4:$J$52-Indice_Plan_ExtensionPlazo))*($B237 &lt;= (plan!$K$4:$K$52+Indice_Plan_ExtensionPlazo)), "")), "")</f>
        <v/>
      </c>
      <c r="BH237" s="4"/>
    </row>
    <row r="238" spans="2:60" x14ac:dyDescent="0.3">
      <c r="B238" s="6"/>
      <c r="C238" s="10"/>
      <c r="D238" s="48" t="str">
        <f>IF(Tabla_Registro_Tareas4[[#This Row],[Actividad]]=Indice_Aux_Vacio,"",IFERROR(INDEX(plan!$D$4:$D$52,MATCH(Tabla_Registro_Tareas4[[#This Row],[Actividad]],plan!$C$4:$C$52,0)),""))</f>
        <v/>
      </c>
      <c r="E238" s="48" t="str">
        <f>IFERROR(INDEX(plan!$E$4:$E$52,MATCH(Tabla_Registro_Tareas4[[#This Row],[Actividad]],plan!$C$4:$C$52,0)),"")</f>
        <v/>
      </c>
      <c r="F238" s="49" t="str">
        <f>IF(Tabla_Registro_Tareas4[[#This Row],[Actividad]]=Indice_Aux_Vacio,"",Indice_PROBLAM_Estudiante4)</f>
        <v/>
      </c>
      <c r="G238" s="7"/>
      <c r="H238" s="8"/>
      <c r="I238" s="9"/>
      <c r="K238" s="12" t="str" cm="1">
        <f t="array" ref="K238">IF($B238&lt;&gt;"",TRANSPOSE(_xlfn._xlws.FILTER(plan!$C$4:$C$52, ($B238 &gt;= (plan!$J$4:$J$52-Indice_Plan_ExtensionPlazo))*($B238 &lt;= (plan!$K$4:$K$52+Indice_Plan_ExtensionPlazo)), "")), "")</f>
        <v/>
      </c>
      <c r="BH238" s="4"/>
    </row>
    <row r="239" spans="2:60" x14ac:dyDescent="0.3">
      <c r="B239" s="6"/>
      <c r="C239" s="10"/>
      <c r="D239" s="48" t="str">
        <f>IF(Tabla_Registro_Tareas4[[#This Row],[Actividad]]=Indice_Aux_Vacio,"",IFERROR(INDEX(plan!$D$4:$D$52,MATCH(Tabla_Registro_Tareas4[[#This Row],[Actividad]],plan!$C$4:$C$52,0)),""))</f>
        <v/>
      </c>
      <c r="E239" s="48" t="str">
        <f>IFERROR(INDEX(plan!$E$4:$E$52,MATCH(Tabla_Registro_Tareas4[[#This Row],[Actividad]],plan!$C$4:$C$52,0)),"")</f>
        <v/>
      </c>
      <c r="F239" s="49" t="str">
        <f>IF(Tabla_Registro_Tareas4[[#This Row],[Actividad]]=Indice_Aux_Vacio,"",Indice_PROBLAM_Estudiante4)</f>
        <v/>
      </c>
      <c r="G239" s="7"/>
      <c r="H239" s="8"/>
      <c r="I239" s="9"/>
      <c r="K239" s="12" t="str" cm="1">
        <f t="array" ref="K239">IF($B239&lt;&gt;"",TRANSPOSE(_xlfn._xlws.FILTER(plan!$C$4:$C$52, ($B239 &gt;= (plan!$J$4:$J$52-Indice_Plan_ExtensionPlazo))*($B239 &lt;= (plan!$K$4:$K$52+Indice_Plan_ExtensionPlazo)), "")), "")</f>
        <v/>
      </c>
      <c r="BH239" s="4"/>
    </row>
    <row r="240" spans="2:60" x14ac:dyDescent="0.3">
      <c r="B240" s="6"/>
      <c r="C240" s="10"/>
      <c r="D240" s="48" t="str">
        <f>IF(Tabla_Registro_Tareas4[[#This Row],[Actividad]]=Indice_Aux_Vacio,"",IFERROR(INDEX(plan!$D$4:$D$52,MATCH(Tabla_Registro_Tareas4[[#This Row],[Actividad]],plan!$C$4:$C$52,0)),""))</f>
        <v/>
      </c>
      <c r="E240" s="48" t="str">
        <f>IFERROR(INDEX(plan!$E$4:$E$52,MATCH(Tabla_Registro_Tareas4[[#This Row],[Actividad]],plan!$C$4:$C$52,0)),"")</f>
        <v/>
      </c>
      <c r="F240" s="49" t="str">
        <f>IF(Tabla_Registro_Tareas4[[#This Row],[Actividad]]=Indice_Aux_Vacio,"",Indice_PROBLAM_Estudiante4)</f>
        <v/>
      </c>
      <c r="G240" s="7"/>
      <c r="H240" s="8"/>
      <c r="I240" s="9"/>
      <c r="K240" s="12" t="str" cm="1">
        <f t="array" ref="K240">IF($B240&lt;&gt;"",TRANSPOSE(_xlfn._xlws.FILTER(plan!$C$4:$C$52, ($B240 &gt;= (plan!$J$4:$J$52-Indice_Plan_ExtensionPlazo))*($B240 &lt;= (plan!$K$4:$K$52+Indice_Plan_ExtensionPlazo)), "")), "")</f>
        <v/>
      </c>
      <c r="BH240" s="4"/>
    </row>
    <row r="241" spans="2:60" x14ac:dyDescent="0.3">
      <c r="B241" s="6"/>
      <c r="C241" s="10"/>
      <c r="D241" s="48" t="str">
        <f>IF(Tabla_Registro_Tareas4[[#This Row],[Actividad]]=Indice_Aux_Vacio,"",IFERROR(INDEX(plan!$D$4:$D$52,MATCH(Tabla_Registro_Tareas4[[#This Row],[Actividad]],plan!$C$4:$C$52,0)),""))</f>
        <v/>
      </c>
      <c r="E241" s="48" t="str">
        <f>IFERROR(INDEX(plan!$E$4:$E$52,MATCH(Tabla_Registro_Tareas4[[#This Row],[Actividad]],plan!$C$4:$C$52,0)),"")</f>
        <v/>
      </c>
      <c r="F241" s="49" t="str">
        <f>IF(Tabla_Registro_Tareas4[[#This Row],[Actividad]]=Indice_Aux_Vacio,"",Indice_PROBLAM_Estudiante4)</f>
        <v/>
      </c>
      <c r="G241" s="7"/>
      <c r="H241" s="8"/>
      <c r="I241" s="9"/>
      <c r="K241" s="12" t="str" cm="1">
        <f t="array" ref="K241">IF($B241&lt;&gt;"",TRANSPOSE(_xlfn._xlws.FILTER(plan!$C$4:$C$52, ($B241 &gt;= (plan!$J$4:$J$52-Indice_Plan_ExtensionPlazo))*($B241 &lt;= (plan!$K$4:$K$52+Indice_Plan_ExtensionPlazo)), "")), "")</f>
        <v/>
      </c>
      <c r="BH241" s="4"/>
    </row>
    <row r="242" spans="2:60" x14ac:dyDescent="0.3">
      <c r="B242" s="6"/>
      <c r="C242" s="10"/>
      <c r="D242" s="48" t="str">
        <f>IF(Tabla_Registro_Tareas4[[#This Row],[Actividad]]=Indice_Aux_Vacio,"",IFERROR(INDEX(plan!$D$4:$D$52,MATCH(Tabla_Registro_Tareas4[[#This Row],[Actividad]],plan!$C$4:$C$52,0)),""))</f>
        <v/>
      </c>
      <c r="E242" s="48" t="str">
        <f>IFERROR(INDEX(plan!$E$4:$E$52,MATCH(Tabla_Registro_Tareas4[[#This Row],[Actividad]],plan!$C$4:$C$52,0)),"")</f>
        <v/>
      </c>
      <c r="F242" s="49" t="str">
        <f>IF(Tabla_Registro_Tareas4[[#This Row],[Actividad]]=Indice_Aux_Vacio,"",Indice_PROBLAM_Estudiante4)</f>
        <v/>
      </c>
      <c r="G242" s="7"/>
      <c r="H242" s="8"/>
      <c r="I242" s="9"/>
      <c r="K242" s="12" t="str" cm="1">
        <f t="array" ref="K242">IF($B242&lt;&gt;"",TRANSPOSE(_xlfn._xlws.FILTER(plan!$C$4:$C$52, ($B242 &gt;= (plan!$J$4:$J$52-Indice_Plan_ExtensionPlazo))*($B242 &lt;= (plan!$K$4:$K$52+Indice_Plan_ExtensionPlazo)), "")), "")</f>
        <v/>
      </c>
      <c r="BH242" s="4"/>
    </row>
    <row r="243" spans="2:60" x14ac:dyDescent="0.3">
      <c r="B243" s="6"/>
      <c r="C243" s="10"/>
      <c r="D243" s="48" t="str">
        <f>IF(Tabla_Registro_Tareas4[[#This Row],[Actividad]]=Indice_Aux_Vacio,"",IFERROR(INDEX(plan!$D$4:$D$52,MATCH(Tabla_Registro_Tareas4[[#This Row],[Actividad]],plan!$C$4:$C$52,0)),""))</f>
        <v/>
      </c>
      <c r="E243" s="48" t="str">
        <f>IFERROR(INDEX(plan!$E$4:$E$52,MATCH(Tabla_Registro_Tareas4[[#This Row],[Actividad]],plan!$C$4:$C$52,0)),"")</f>
        <v/>
      </c>
      <c r="F243" s="49" t="str">
        <f>IF(Tabla_Registro_Tareas4[[#This Row],[Actividad]]=Indice_Aux_Vacio,"",Indice_PROBLAM_Estudiante4)</f>
        <v/>
      </c>
      <c r="G243" s="7"/>
      <c r="H243" s="8"/>
      <c r="I243" s="9"/>
      <c r="K243" s="12" t="str" cm="1">
        <f t="array" ref="K243">IF($B243&lt;&gt;"",TRANSPOSE(_xlfn._xlws.FILTER(plan!$C$4:$C$52, ($B243 &gt;= (plan!$J$4:$J$52-Indice_Plan_ExtensionPlazo))*($B243 &lt;= (plan!$K$4:$K$52+Indice_Plan_ExtensionPlazo)), "")), "")</f>
        <v/>
      </c>
      <c r="BH243" s="4"/>
    </row>
    <row r="244" spans="2:60" x14ac:dyDescent="0.3">
      <c r="B244" s="6"/>
      <c r="C244" s="10"/>
      <c r="D244" s="48" t="str">
        <f>IF(Tabla_Registro_Tareas4[[#This Row],[Actividad]]=Indice_Aux_Vacio,"",IFERROR(INDEX(plan!$D$4:$D$52,MATCH(Tabla_Registro_Tareas4[[#This Row],[Actividad]],plan!$C$4:$C$52,0)),""))</f>
        <v/>
      </c>
      <c r="E244" s="48" t="str">
        <f>IFERROR(INDEX(plan!$E$4:$E$52,MATCH(Tabla_Registro_Tareas4[[#This Row],[Actividad]],plan!$C$4:$C$52,0)),"")</f>
        <v/>
      </c>
      <c r="F244" s="49" t="str">
        <f>IF(Tabla_Registro_Tareas4[[#This Row],[Actividad]]=Indice_Aux_Vacio,"",Indice_PROBLAM_Estudiante4)</f>
        <v/>
      </c>
      <c r="G244" s="7"/>
      <c r="H244" s="8"/>
      <c r="I244" s="9"/>
      <c r="K244" s="12" t="str" cm="1">
        <f t="array" ref="K244">IF($B244&lt;&gt;"",TRANSPOSE(_xlfn._xlws.FILTER(plan!$C$4:$C$52, ($B244 &gt;= (plan!$J$4:$J$52-Indice_Plan_ExtensionPlazo))*($B244 &lt;= (plan!$K$4:$K$52+Indice_Plan_ExtensionPlazo)), "")), "")</f>
        <v/>
      </c>
      <c r="BH244" s="4"/>
    </row>
    <row r="245" spans="2:60" x14ac:dyDescent="0.3">
      <c r="B245" s="6"/>
      <c r="C245" s="10"/>
      <c r="D245" s="48" t="str">
        <f>IF(Tabla_Registro_Tareas4[[#This Row],[Actividad]]=Indice_Aux_Vacio,"",IFERROR(INDEX(plan!$D$4:$D$52,MATCH(Tabla_Registro_Tareas4[[#This Row],[Actividad]],plan!$C$4:$C$52,0)),""))</f>
        <v/>
      </c>
      <c r="E245" s="48" t="str">
        <f>IFERROR(INDEX(plan!$E$4:$E$52,MATCH(Tabla_Registro_Tareas4[[#This Row],[Actividad]],plan!$C$4:$C$52,0)),"")</f>
        <v/>
      </c>
      <c r="F245" s="49" t="str">
        <f>IF(Tabla_Registro_Tareas4[[#This Row],[Actividad]]=Indice_Aux_Vacio,"",Indice_PROBLAM_Estudiante4)</f>
        <v/>
      </c>
      <c r="G245" s="7"/>
      <c r="H245" s="8"/>
      <c r="I245" s="9"/>
      <c r="K245" s="12" t="str" cm="1">
        <f t="array" ref="K245">IF($B245&lt;&gt;"",TRANSPOSE(_xlfn._xlws.FILTER(plan!$C$4:$C$52, ($B245 &gt;= (plan!$J$4:$J$52-Indice_Plan_ExtensionPlazo))*($B245 &lt;= (plan!$K$4:$K$52+Indice_Plan_ExtensionPlazo)), "")), "")</f>
        <v/>
      </c>
      <c r="BH245" s="4"/>
    </row>
    <row r="246" spans="2:60" x14ac:dyDescent="0.3">
      <c r="B246" s="6"/>
      <c r="C246" s="10"/>
      <c r="D246" s="48" t="str">
        <f>IF(Tabla_Registro_Tareas4[[#This Row],[Actividad]]=Indice_Aux_Vacio,"",IFERROR(INDEX(plan!$D$4:$D$52,MATCH(Tabla_Registro_Tareas4[[#This Row],[Actividad]],plan!$C$4:$C$52,0)),""))</f>
        <v/>
      </c>
      <c r="E246" s="48" t="str">
        <f>IFERROR(INDEX(plan!$E$4:$E$52,MATCH(Tabla_Registro_Tareas4[[#This Row],[Actividad]],plan!$C$4:$C$52,0)),"")</f>
        <v/>
      </c>
      <c r="F246" s="49" t="str">
        <f>IF(Tabla_Registro_Tareas4[[#This Row],[Actividad]]=Indice_Aux_Vacio,"",Indice_PROBLAM_Estudiante4)</f>
        <v/>
      </c>
      <c r="G246" s="7"/>
      <c r="H246" s="8"/>
      <c r="I246" s="9"/>
      <c r="K246" s="12" t="str" cm="1">
        <f t="array" ref="K246">IF($B246&lt;&gt;"",TRANSPOSE(_xlfn._xlws.FILTER(plan!$C$4:$C$52, ($B246 &gt;= (plan!$J$4:$J$52-Indice_Plan_ExtensionPlazo))*($B246 &lt;= (plan!$K$4:$K$52+Indice_Plan_ExtensionPlazo)), "")), "")</f>
        <v/>
      </c>
      <c r="BH246" s="4"/>
    </row>
    <row r="247" spans="2:60" x14ac:dyDescent="0.3">
      <c r="B247" s="6"/>
      <c r="C247" s="10"/>
      <c r="D247" s="48" t="str">
        <f>IF(Tabla_Registro_Tareas4[[#This Row],[Actividad]]=Indice_Aux_Vacio,"",IFERROR(INDEX(plan!$D$4:$D$52,MATCH(Tabla_Registro_Tareas4[[#This Row],[Actividad]],plan!$C$4:$C$52,0)),""))</f>
        <v/>
      </c>
      <c r="E247" s="48" t="str">
        <f>IFERROR(INDEX(plan!$E$4:$E$52,MATCH(Tabla_Registro_Tareas4[[#This Row],[Actividad]],plan!$C$4:$C$52,0)),"")</f>
        <v/>
      </c>
      <c r="F247" s="49" t="str">
        <f>IF(Tabla_Registro_Tareas4[[#This Row],[Actividad]]=Indice_Aux_Vacio,"",Indice_PROBLAM_Estudiante4)</f>
        <v/>
      </c>
      <c r="G247" s="7"/>
      <c r="H247" s="8"/>
      <c r="I247" s="9"/>
      <c r="K247" s="12" t="str" cm="1">
        <f t="array" ref="K247">IF($B247&lt;&gt;"",TRANSPOSE(_xlfn._xlws.FILTER(plan!$C$4:$C$52, ($B247 &gt;= (plan!$J$4:$J$52-Indice_Plan_ExtensionPlazo))*($B247 &lt;= (plan!$K$4:$K$52+Indice_Plan_ExtensionPlazo)), "")), "")</f>
        <v/>
      </c>
      <c r="BH247" s="4"/>
    </row>
    <row r="248" spans="2:60" x14ac:dyDescent="0.3">
      <c r="B248" s="6"/>
      <c r="C248" s="10"/>
      <c r="D248" s="48" t="str">
        <f>IF(Tabla_Registro_Tareas4[[#This Row],[Actividad]]=Indice_Aux_Vacio,"",IFERROR(INDEX(plan!$D$4:$D$52,MATCH(Tabla_Registro_Tareas4[[#This Row],[Actividad]],plan!$C$4:$C$52,0)),""))</f>
        <v/>
      </c>
      <c r="E248" s="48" t="str">
        <f>IFERROR(INDEX(plan!$E$4:$E$52,MATCH(Tabla_Registro_Tareas4[[#This Row],[Actividad]],plan!$C$4:$C$52,0)),"")</f>
        <v/>
      </c>
      <c r="F248" s="49" t="str">
        <f>IF(Tabla_Registro_Tareas4[[#This Row],[Actividad]]=Indice_Aux_Vacio,"",Indice_PROBLAM_Estudiante4)</f>
        <v/>
      </c>
      <c r="G248" s="7"/>
      <c r="H248" s="8"/>
      <c r="I248" s="9"/>
      <c r="K248" s="12" t="str" cm="1">
        <f t="array" ref="K248">IF($B248&lt;&gt;"",TRANSPOSE(_xlfn._xlws.FILTER(plan!$C$4:$C$52, ($B248 &gt;= (plan!$J$4:$J$52-Indice_Plan_ExtensionPlazo))*($B248 &lt;= (plan!$K$4:$K$52+Indice_Plan_ExtensionPlazo)), "")), "")</f>
        <v/>
      </c>
      <c r="BH248" s="4"/>
    </row>
    <row r="249" spans="2:60" x14ac:dyDescent="0.3">
      <c r="B249" s="6"/>
      <c r="C249" s="10"/>
      <c r="D249" s="48" t="str">
        <f>IF(Tabla_Registro_Tareas4[[#This Row],[Actividad]]=Indice_Aux_Vacio,"",IFERROR(INDEX(plan!$D$4:$D$52,MATCH(Tabla_Registro_Tareas4[[#This Row],[Actividad]],plan!$C$4:$C$52,0)),""))</f>
        <v/>
      </c>
      <c r="E249" s="48" t="str">
        <f>IFERROR(INDEX(plan!$E$4:$E$52,MATCH(Tabla_Registro_Tareas4[[#This Row],[Actividad]],plan!$C$4:$C$52,0)),"")</f>
        <v/>
      </c>
      <c r="F249" s="49" t="str">
        <f>IF(Tabla_Registro_Tareas4[[#This Row],[Actividad]]=Indice_Aux_Vacio,"",Indice_PROBLAM_Estudiante4)</f>
        <v/>
      </c>
      <c r="G249" s="7"/>
      <c r="H249" s="8"/>
      <c r="I249" s="9"/>
      <c r="K249" s="12" t="str" cm="1">
        <f t="array" ref="K249">IF($B249&lt;&gt;"",TRANSPOSE(_xlfn._xlws.FILTER(plan!$C$4:$C$52, ($B249 &gt;= (plan!$J$4:$J$52-Indice_Plan_ExtensionPlazo))*($B249 &lt;= (plan!$K$4:$K$52+Indice_Plan_ExtensionPlazo)), "")), "")</f>
        <v/>
      </c>
      <c r="BH249" s="4"/>
    </row>
    <row r="250" spans="2:60" x14ac:dyDescent="0.3">
      <c r="B250" s="6"/>
      <c r="C250" s="10"/>
      <c r="D250" s="48" t="str">
        <f>IF(Tabla_Registro_Tareas4[[#This Row],[Actividad]]=Indice_Aux_Vacio,"",IFERROR(INDEX(plan!$D$4:$D$52,MATCH(Tabla_Registro_Tareas4[[#This Row],[Actividad]],plan!$C$4:$C$52,0)),""))</f>
        <v/>
      </c>
      <c r="E250" s="48" t="str">
        <f>IFERROR(INDEX(plan!$E$4:$E$52,MATCH(Tabla_Registro_Tareas4[[#This Row],[Actividad]],plan!$C$4:$C$52,0)),"")</f>
        <v/>
      </c>
      <c r="F250" s="49" t="str">
        <f>IF(Tabla_Registro_Tareas4[[#This Row],[Actividad]]=Indice_Aux_Vacio,"",Indice_PROBLAM_Estudiante4)</f>
        <v/>
      </c>
      <c r="G250" s="7"/>
      <c r="H250" s="8"/>
      <c r="I250" s="9"/>
      <c r="K250" s="12" t="str" cm="1">
        <f t="array" ref="K250">IF($B250&lt;&gt;"",TRANSPOSE(_xlfn._xlws.FILTER(plan!$C$4:$C$52, ($B250 &gt;= (plan!$J$4:$J$52-Indice_Plan_ExtensionPlazo))*($B250 &lt;= (plan!$K$4:$K$52+Indice_Plan_ExtensionPlazo)), "")), "")</f>
        <v/>
      </c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4"/>
    </row>
  </sheetData>
  <sheetProtection algorithmName="SHA-512" hashValue="uKFbtPqHjJnAyf0r3JyJlJhHJooTZvFUdvzVWSw48GyS81TLNBrwp0hDP4MTAScM5ZduzGNY39yh/BKdx0m9xg==" saltValue="z2WysqiBk4P6awwSTRbsfQ==" spinCount="100000" sheet="1" selectLockedCells="1"/>
  <conditionalFormatting sqref="B3:C250">
    <cfRule type="containsBlanks" dxfId="9" priority="1">
      <formula>LEN(TRIM(B3))=0</formula>
    </cfRule>
  </conditionalFormatting>
  <conditionalFormatting sqref="F3 I3:I6 F4:G6 F7:I250">
    <cfRule type="containsBlanks" dxfId="8" priority="7">
      <formula>LEN(TRIM(F3))=0</formula>
    </cfRule>
  </conditionalFormatting>
  <conditionalFormatting sqref="G3:H3">
    <cfRule type="containsBlanks" dxfId="7" priority="3">
      <formula>LEN(TRIM(G3))=0</formula>
    </cfRule>
  </conditionalFormatting>
  <conditionalFormatting sqref="H4:H6">
    <cfRule type="containsBlanks" dxfId="6" priority="5">
      <formula>LEN(TRIM(H4))=0</formula>
    </cfRule>
  </conditionalFormatting>
  <dataValidations count="6">
    <dataValidation type="list" allowBlank="1" showInputMessage="1" showErrorMessage="1" sqref="C3:C250" xr:uid="{238E6B16-20E1-41B6-A45C-DC0A1EE0E757}">
      <formula1>IF($B3&lt;&gt;"",_xlfn.ANCHORARRAY($K3),Indice_Aux_Vacio)</formula1>
    </dataValidation>
    <dataValidation type="custom" operator="greaterThan" showInputMessage="1" showErrorMessage="1" error="No puedes asignar tiempo a una actividad no definida o el tiempo asignado es inferior a 1 minuto." sqref="H3" xr:uid="{6BB9F906-639B-448C-A582-0FA9F107B9C2}">
      <formula1>IF($C3="",ISBLANK(H3),ISNUMBER(H3))</formula1>
    </dataValidation>
    <dataValidation allowBlank="1" showInputMessage="1" showErrorMessage="1" error="El valor indicado no se corresponde con ninguno de los tipos soportados en esta columna." sqref="D3:D250" xr:uid="{DC1A4B30-2B06-4B1E-B7F9-1E48527A0711}"/>
    <dataValidation type="date" allowBlank="1" showInputMessage="1" showErrorMessage="1" error="La fecha está fuera del periodo temporal planificado en este sprint." sqref="B3:B250" xr:uid="{7F0FE7E7-C7FE-49B5-8B35-8631A0D4EA86}">
      <formula1>Indice_Plan_FechaInicio</formula1>
      <formula2>Indice_Plan_FechaFin</formula2>
    </dataValidation>
    <dataValidation type="whole" operator="greaterThan" allowBlank="1" showInputMessage="1" showErrorMessage="1" error="La tarea no puede tener una duración inferior a 1 minuto." sqref="H5:H250" xr:uid="{5025EEB4-BF03-437E-9E14-26B67F6104CA}">
      <formula1>0</formula1>
    </dataValidation>
    <dataValidation type="custom" operator="greaterThan" allowBlank="1" showInputMessage="1" showErrorMessage="1" error="La tarea no puede tener una duración inferior a 1 minuto." sqref="H4" xr:uid="{68446C86-A22A-466C-908F-695C582DC0F1}">
      <formula1>OR($C4="",AND(ISNUMBER($H4),$H4&lt;&gt;""))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6BF76-0ECE-4A55-ADEC-96F755C392A1}">
  <dimension ref="B1:BH250"/>
  <sheetViews>
    <sheetView workbookViewId="0">
      <selection activeCell="B5" sqref="B5"/>
    </sheetView>
  </sheetViews>
  <sheetFormatPr baseColWidth="10" defaultColWidth="11.44140625" defaultRowHeight="15.05" x14ac:dyDescent="0.3"/>
  <cols>
    <col min="1" max="1" width="2.5546875" style="2" customWidth="1"/>
    <col min="2" max="2" width="11.44140625" style="2"/>
    <col min="3" max="3" width="33.88671875" style="2" customWidth="1"/>
    <col min="4" max="4" width="15.109375" style="2" hidden="1" customWidth="1"/>
    <col min="5" max="5" width="16.6640625" style="2" hidden="1" customWidth="1"/>
    <col min="6" max="6" width="24.6640625" style="2" customWidth="1"/>
    <col min="7" max="7" width="38.5546875" style="2" customWidth="1"/>
    <col min="8" max="8" width="16.5546875" style="2" customWidth="1"/>
    <col min="9" max="9" width="60.109375" style="2" customWidth="1"/>
    <col min="10" max="10" width="2.5546875" style="2" customWidth="1"/>
    <col min="11" max="11" width="19.5546875" style="2" hidden="1" customWidth="1"/>
    <col min="12" max="60" width="11.44140625" style="2" hidden="1" customWidth="1"/>
    <col min="61" max="16384" width="11.44140625" style="2"/>
  </cols>
  <sheetData>
    <row r="1" spans="2:60" x14ac:dyDescent="0.3"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</row>
    <row r="2" spans="2:60" x14ac:dyDescent="0.3">
      <c r="B2" s="5" t="s">
        <v>0</v>
      </c>
      <c r="C2" s="5" t="s">
        <v>11</v>
      </c>
      <c r="D2" s="5" t="s">
        <v>49</v>
      </c>
      <c r="E2" s="5" t="s">
        <v>50</v>
      </c>
      <c r="F2" s="5" t="s">
        <v>45</v>
      </c>
      <c r="G2" s="5" t="s">
        <v>14</v>
      </c>
      <c r="H2" s="5" t="s">
        <v>1</v>
      </c>
      <c r="I2" s="5" t="s">
        <v>52</v>
      </c>
      <c r="K2" s="12"/>
      <c r="BH2" s="4"/>
    </row>
    <row r="3" spans="2:60" hidden="1" x14ac:dyDescent="0.3">
      <c r="B3" s="6">
        <v>46062</v>
      </c>
      <c r="C3" s="10" t="s">
        <v>117</v>
      </c>
      <c r="D3" s="48" t="str">
        <f>IF(Tabla_Registro_Tareas5[[#This Row],[Actividad]]=Indice_Aux_Vacio,"",IFERROR(INDEX(plan!$D$4:$D$52,MATCH(Tabla_Registro_Tareas5[[#This Row],[Actividad]],plan!$C$4:$C$52,0)),""))</f>
        <v>Gestión de transacciones</v>
      </c>
      <c r="E3" s="48" t="str">
        <f>IFERROR(INDEX(plan!$E$4:$E$52,MATCH(Tabla_Registro_Tareas5[[#This Row],[Actividad]],plan!$C$4:$C$52,0)),"")</f>
        <v>Ficticia #5</v>
      </c>
      <c r="F3" s="49" t="str">
        <f>IF(Tabla_Registro_Tareas5[[#This Row],[Actividad]]=Indice_Aux_Vacio,"",Indice_PROBLAM_Estudiante5)</f>
        <v>Nombre#5 Apellido#51 Apellido#52</v>
      </c>
      <c r="G3" s="7" t="s">
        <v>96</v>
      </c>
      <c r="H3" s="8">
        <v>0</v>
      </c>
      <c r="I3" s="9"/>
      <c r="K3" s="12" t="str" cm="1">
        <f t="array" ref="K3">IF($B3&lt;&gt;"",TRANSPOSE(_xlfn._xlws.FILTER(plan!$C$4:$C$52, ($B3 &gt;= (plan!$J$4:$J$52-Indice_Plan_ExtensionPlazo))*($B3 &lt;= (plan!$K$4:$K$52+Indice_Plan_ExtensionPlazo)), "")), "")</f>
        <v/>
      </c>
      <c r="BH3" s="4"/>
    </row>
    <row r="4" spans="2:60" hidden="1" x14ac:dyDescent="0.3">
      <c r="B4" s="6">
        <v>46062</v>
      </c>
      <c r="C4" s="10" t="s">
        <v>118</v>
      </c>
      <c r="D4" s="48" t="str">
        <f>IF(Tabla_Registro_Tareas5[[#This Row],[Actividad]]=Indice_Aux_Vacio,"",IFERROR(INDEX(plan!$D$4:$D$52,MATCH(Tabla_Registro_Tareas5[[#This Row],[Actividad]],plan!$C$4:$C$52,0)),""))</f>
        <v>SQL avanzado</v>
      </c>
      <c r="E4" s="48" t="str">
        <f>IFERROR(INDEX(plan!$E$4:$E$52,MATCH(Tabla_Registro_Tareas5[[#This Row],[Actividad]],plan!$C$4:$C$52,0)),"")</f>
        <v>Ficticia #6</v>
      </c>
      <c r="F4" s="49" t="str">
        <f>IF(Tabla_Registro_Tareas5[[#This Row],[Actividad]]=Indice_Aux_Vacio,"",Indice_PROBLAM_Estudiante5)</f>
        <v>Nombre#5 Apellido#51 Apellido#52</v>
      </c>
      <c r="G4" s="7" t="s">
        <v>96</v>
      </c>
      <c r="H4" s="8">
        <v>0</v>
      </c>
      <c r="I4" s="9"/>
      <c r="K4" s="12" t="str" cm="1">
        <f t="array" ref="K4">IF($B4&lt;&gt;"",TRANSPOSE(_xlfn._xlws.FILTER(plan!$C$4:$C$52, ($B4 &gt;= (plan!$J$4:$J$52-Indice_Plan_ExtensionPlazo))*($B4 &lt;= (plan!$K$4:$K$52+Indice_Plan_ExtensionPlazo)), "")), "")</f>
        <v/>
      </c>
      <c r="BH4" s="4"/>
    </row>
    <row r="5" spans="2:60" x14ac:dyDescent="0.3">
      <c r="B5" s="6"/>
      <c r="C5" s="10"/>
      <c r="D5" s="48" t="str">
        <f>IF(Tabla_Registro_Tareas5[[#This Row],[Actividad]]=Indice_Aux_Vacio,"",IFERROR(INDEX(plan!$D$4:$D$52,MATCH(Tabla_Registro_Tareas5[[#This Row],[Actividad]],plan!$C$4:$C$52,0)),""))</f>
        <v/>
      </c>
      <c r="E5" s="48" t="str">
        <f>IFERROR(INDEX(plan!$E$4:$E$52,MATCH(Tabla_Registro_Tareas5[[#This Row],[Actividad]],plan!$C$4:$C$52,0)),"")</f>
        <v/>
      </c>
      <c r="F5" s="49" t="str">
        <f>IF(Tabla_Registro_Tareas5[[#This Row],[Actividad]]=Indice_Aux_Vacio,"",Indice_PROBLAM_Estudiante5)</f>
        <v/>
      </c>
      <c r="G5" s="7"/>
      <c r="H5" s="8"/>
      <c r="I5" s="9"/>
      <c r="K5" s="12" t="str" cm="1">
        <f t="array" ref="K5">IF($B5&lt;&gt;"",TRANSPOSE(_xlfn._xlws.FILTER(plan!$C$4:$C$52, ($B5 &gt;= (plan!$J$4:$J$52-Indice_Plan_ExtensionPlazo))*($B5 &lt;= (plan!$K$4:$K$52+Indice_Plan_ExtensionPlazo)), "")), "")</f>
        <v/>
      </c>
      <c r="BH5" s="4"/>
    </row>
    <row r="6" spans="2:60" x14ac:dyDescent="0.3">
      <c r="B6" s="6"/>
      <c r="C6" s="10"/>
      <c r="D6" s="48" t="str">
        <f>IF(Tabla_Registro_Tareas5[[#This Row],[Actividad]]=Indice_Aux_Vacio,"",IFERROR(INDEX(plan!$D$4:$D$52,MATCH(Tabla_Registro_Tareas5[[#This Row],[Actividad]],plan!$C$4:$C$52,0)),""))</f>
        <v/>
      </c>
      <c r="E6" s="48" t="str">
        <f>IFERROR(INDEX(plan!$E$4:$E$52,MATCH(Tabla_Registro_Tareas5[[#This Row],[Actividad]],plan!$C$4:$C$52,0)),"")</f>
        <v/>
      </c>
      <c r="F6" s="49" t="str">
        <f>IF(Tabla_Registro_Tareas5[[#This Row],[Actividad]]=Indice_Aux_Vacio,"",Indice_PROBLAM_Estudiante5)</f>
        <v/>
      </c>
      <c r="G6" s="7"/>
      <c r="H6" s="8"/>
      <c r="I6" s="9"/>
      <c r="K6" s="12" t="str" cm="1">
        <f t="array" ref="K6">IF($B6&lt;&gt;"",TRANSPOSE(_xlfn._xlws.FILTER(plan!$C$4:$C$52, ($B6 &gt;= (plan!$J$4:$J$52-Indice_Plan_ExtensionPlazo))*($B6 &lt;= (plan!$K$4:$K$52+Indice_Plan_ExtensionPlazo)), "")), "")</f>
        <v/>
      </c>
      <c r="BH6" s="4"/>
    </row>
    <row r="7" spans="2:60" x14ac:dyDescent="0.3">
      <c r="B7" s="6"/>
      <c r="C7" s="10"/>
      <c r="D7" s="48" t="str">
        <f>IF(Tabla_Registro_Tareas5[[#This Row],[Actividad]]=Indice_Aux_Vacio,"",IFERROR(INDEX(plan!$D$4:$D$52,MATCH(Tabla_Registro_Tareas5[[#This Row],[Actividad]],plan!$C$4:$C$52,0)),""))</f>
        <v/>
      </c>
      <c r="E7" s="48" t="str">
        <f>IFERROR(INDEX(plan!$E$4:$E$52,MATCH(Tabla_Registro_Tareas5[[#This Row],[Actividad]],plan!$C$4:$C$52,0)),"")</f>
        <v/>
      </c>
      <c r="F7" s="49" t="str">
        <f>IF(Tabla_Registro_Tareas5[[#This Row],[Actividad]]=Indice_Aux_Vacio,"",Indice_PROBLAM_Estudiante5)</f>
        <v/>
      </c>
      <c r="G7" s="7"/>
      <c r="H7" s="8"/>
      <c r="I7" s="9"/>
      <c r="K7" s="12" t="str" cm="1">
        <f t="array" ref="K7">IF($B7&lt;&gt;"",TRANSPOSE(_xlfn._xlws.FILTER(plan!$C$4:$C$52, ($B7 &gt;= (plan!$J$4:$J$52-Indice_Plan_ExtensionPlazo))*($B7 &lt;= (plan!$K$4:$K$52+Indice_Plan_ExtensionPlazo)), "")), "")</f>
        <v/>
      </c>
      <c r="BH7" s="4"/>
    </row>
    <row r="8" spans="2:60" x14ac:dyDescent="0.3">
      <c r="B8" s="6"/>
      <c r="C8" s="10"/>
      <c r="D8" s="48" t="str">
        <f>IF(Tabla_Registro_Tareas5[[#This Row],[Actividad]]=Indice_Aux_Vacio,"",IFERROR(INDEX(plan!$D$4:$D$52,MATCH(Tabla_Registro_Tareas5[[#This Row],[Actividad]],plan!$C$4:$C$52,0)),""))</f>
        <v/>
      </c>
      <c r="E8" s="48" t="str">
        <f>IFERROR(INDEX(plan!$E$4:$E$52,MATCH(Tabla_Registro_Tareas5[[#This Row],[Actividad]],plan!$C$4:$C$52,0)),"")</f>
        <v/>
      </c>
      <c r="F8" s="49" t="str">
        <f>IF(Tabla_Registro_Tareas5[[#This Row],[Actividad]]=Indice_Aux_Vacio,"",Indice_PROBLAM_Estudiante5)</f>
        <v/>
      </c>
      <c r="G8" s="7"/>
      <c r="H8" s="8"/>
      <c r="I8" s="9"/>
      <c r="K8" s="12" t="str" cm="1">
        <f t="array" ref="K8">IF($B8&lt;&gt;"",TRANSPOSE(_xlfn._xlws.FILTER(plan!$C$4:$C$52, ($B8 &gt;= (plan!$J$4:$J$52-Indice_Plan_ExtensionPlazo))*($B8 &lt;= (plan!$K$4:$K$52+Indice_Plan_ExtensionPlazo)), "")), "")</f>
        <v/>
      </c>
      <c r="BH8" s="4"/>
    </row>
    <row r="9" spans="2:60" x14ac:dyDescent="0.3">
      <c r="B9" s="6"/>
      <c r="C9" s="10"/>
      <c r="D9" s="48" t="str">
        <f>IF(Tabla_Registro_Tareas5[[#This Row],[Actividad]]=Indice_Aux_Vacio,"",IFERROR(INDEX(plan!$D$4:$D$52,MATCH(Tabla_Registro_Tareas5[[#This Row],[Actividad]],plan!$C$4:$C$52,0)),""))</f>
        <v/>
      </c>
      <c r="E9" s="48" t="str">
        <f>IFERROR(INDEX(plan!$E$4:$E$52,MATCH(Tabla_Registro_Tareas5[[#This Row],[Actividad]],plan!$C$4:$C$52,0)),"")</f>
        <v/>
      </c>
      <c r="F9" s="49" t="str">
        <f>IF(Tabla_Registro_Tareas5[[#This Row],[Actividad]]=Indice_Aux_Vacio,"",Indice_PROBLAM_Estudiante5)</f>
        <v/>
      </c>
      <c r="G9" s="7"/>
      <c r="H9" s="8"/>
      <c r="I9" s="9"/>
      <c r="K9" s="12" t="str" cm="1">
        <f t="array" ref="K9">IF($B9&lt;&gt;"",TRANSPOSE(_xlfn._xlws.FILTER(plan!$C$4:$C$52, ($B9 &gt;= (plan!$J$4:$J$52-Indice_Plan_ExtensionPlazo))*($B9 &lt;= (plan!$K$4:$K$52+Indice_Plan_ExtensionPlazo)), "")), "")</f>
        <v/>
      </c>
      <c r="BH9" s="4"/>
    </row>
    <row r="10" spans="2:60" x14ac:dyDescent="0.3">
      <c r="B10" s="6"/>
      <c r="C10" s="10"/>
      <c r="D10" s="48" t="str">
        <f>IF(Tabla_Registro_Tareas5[[#This Row],[Actividad]]=Indice_Aux_Vacio,"",IFERROR(INDEX(plan!$D$4:$D$52,MATCH(Tabla_Registro_Tareas5[[#This Row],[Actividad]],plan!$C$4:$C$52,0)),""))</f>
        <v/>
      </c>
      <c r="E10" s="48" t="str">
        <f>IFERROR(INDEX(plan!$E$4:$E$52,MATCH(Tabla_Registro_Tareas5[[#This Row],[Actividad]],plan!$C$4:$C$52,0)),"")</f>
        <v/>
      </c>
      <c r="F10" s="49" t="str">
        <f>IF(Tabla_Registro_Tareas5[[#This Row],[Actividad]]=Indice_Aux_Vacio,"",Indice_PROBLAM_Estudiante5)</f>
        <v/>
      </c>
      <c r="G10" s="7"/>
      <c r="H10" s="8"/>
      <c r="I10" s="9"/>
      <c r="K10" s="12" t="str" cm="1">
        <f t="array" ref="K10">IF($B10&lt;&gt;"",TRANSPOSE(_xlfn._xlws.FILTER(plan!$C$4:$C$52, ($B10 &gt;= (plan!$J$4:$J$52-Indice_Plan_ExtensionPlazo))*($B10 &lt;= (plan!$K$4:$K$52+Indice_Plan_ExtensionPlazo)), "")), "")</f>
        <v/>
      </c>
      <c r="BH10" s="4"/>
    </row>
    <row r="11" spans="2:60" x14ac:dyDescent="0.3">
      <c r="B11" s="6"/>
      <c r="C11" s="10"/>
      <c r="D11" s="48" t="str">
        <f>IF(Tabla_Registro_Tareas5[[#This Row],[Actividad]]=Indice_Aux_Vacio,"",IFERROR(INDEX(plan!$D$4:$D$52,MATCH(Tabla_Registro_Tareas5[[#This Row],[Actividad]],plan!$C$4:$C$52,0)),""))</f>
        <v/>
      </c>
      <c r="E11" s="48" t="str">
        <f>IFERROR(INDEX(plan!$E$4:$E$52,MATCH(Tabla_Registro_Tareas5[[#This Row],[Actividad]],plan!$C$4:$C$52,0)),"")</f>
        <v/>
      </c>
      <c r="F11" s="49" t="str">
        <f>IF(Tabla_Registro_Tareas5[[#This Row],[Actividad]]=Indice_Aux_Vacio,"",Indice_PROBLAM_Estudiante5)</f>
        <v/>
      </c>
      <c r="G11" s="7"/>
      <c r="H11" s="8"/>
      <c r="I11" s="9"/>
      <c r="K11" s="12" t="str" cm="1">
        <f t="array" ref="K11">IF($B11&lt;&gt;"",TRANSPOSE(_xlfn._xlws.FILTER(plan!$C$4:$C$52, ($B11 &gt;= (plan!$J$4:$J$52-Indice_Plan_ExtensionPlazo))*($B11 &lt;= (plan!$K$4:$K$52+Indice_Plan_ExtensionPlazo)), "")), "")</f>
        <v/>
      </c>
      <c r="BH11" s="4"/>
    </row>
    <row r="12" spans="2:60" x14ac:dyDescent="0.3">
      <c r="B12" s="6"/>
      <c r="C12" s="10"/>
      <c r="D12" s="48" t="str">
        <f>IF(Tabla_Registro_Tareas5[[#This Row],[Actividad]]=Indice_Aux_Vacio,"",IFERROR(INDEX(plan!$D$4:$D$52,MATCH(Tabla_Registro_Tareas5[[#This Row],[Actividad]],plan!$C$4:$C$52,0)),""))</f>
        <v/>
      </c>
      <c r="E12" s="48" t="str">
        <f>IFERROR(INDEX(plan!$E$4:$E$52,MATCH(Tabla_Registro_Tareas5[[#This Row],[Actividad]],plan!$C$4:$C$52,0)),"")</f>
        <v/>
      </c>
      <c r="F12" s="49" t="str">
        <f>IF(Tabla_Registro_Tareas5[[#This Row],[Actividad]]=Indice_Aux_Vacio,"",Indice_PROBLAM_Estudiante5)</f>
        <v/>
      </c>
      <c r="G12" s="7"/>
      <c r="H12" s="8"/>
      <c r="I12" s="9"/>
      <c r="K12" s="12" t="str" cm="1">
        <f t="array" ref="K12">IF($B12&lt;&gt;"",TRANSPOSE(_xlfn._xlws.FILTER(plan!$C$4:$C$52, ($B12 &gt;= (plan!$J$4:$J$52-Indice_Plan_ExtensionPlazo))*($B12 &lt;= (plan!$K$4:$K$52+Indice_Plan_ExtensionPlazo)), "")), "")</f>
        <v/>
      </c>
      <c r="BH12" s="4"/>
    </row>
    <row r="13" spans="2:60" x14ac:dyDescent="0.3">
      <c r="B13" s="6"/>
      <c r="C13" s="10"/>
      <c r="D13" s="48" t="str">
        <f>IF(Tabla_Registro_Tareas5[[#This Row],[Actividad]]=Indice_Aux_Vacio,"",IFERROR(INDEX(plan!$D$4:$D$52,MATCH(Tabla_Registro_Tareas5[[#This Row],[Actividad]],plan!$C$4:$C$52,0)),""))</f>
        <v/>
      </c>
      <c r="E13" s="48" t="str">
        <f>IFERROR(INDEX(plan!$E$4:$E$52,MATCH(Tabla_Registro_Tareas5[[#This Row],[Actividad]],plan!$C$4:$C$52,0)),"")</f>
        <v/>
      </c>
      <c r="F13" s="49" t="str">
        <f>IF(Tabla_Registro_Tareas5[[#This Row],[Actividad]]=Indice_Aux_Vacio,"",Indice_PROBLAM_Estudiante5)</f>
        <v/>
      </c>
      <c r="G13" s="7"/>
      <c r="H13" s="8"/>
      <c r="I13" s="9"/>
      <c r="K13" s="12" t="str" cm="1">
        <f t="array" ref="K13">IF($B13&lt;&gt;"",TRANSPOSE(_xlfn._xlws.FILTER(plan!$C$4:$C$52, ($B13 &gt;= (plan!$J$4:$J$52-Indice_Plan_ExtensionPlazo))*($B13 &lt;= (plan!$K$4:$K$52+Indice_Plan_ExtensionPlazo)), "")), "")</f>
        <v/>
      </c>
      <c r="BH13" s="4"/>
    </row>
    <row r="14" spans="2:60" x14ac:dyDescent="0.3">
      <c r="B14" s="6"/>
      <c r="C14" s="10"/>
      <c r="D14" s="48" t="str">
        <f>IF(Tabla_Registro_Tareas5[[#This Row],[Actividad]]=Indice_Aux_Vacio,"",IFERROR(INDEX(plan!$D$4:$D$52,MATCH(Tabla_Registro_Tareas5[[#This Row],[Actividad]],plan!$C$4:$C$52,0)),""))</f>
        <v/>
      </c>
      <c r="E14" s="48" t="str">
        <f>IFERROR(INDEX(plan!$E$4:$E$52,MATCH(Tabla_Registro_Tareas5[[#This Row],[Actividad]],plan!$C$4:$C$52,0)),"")</f>
        <v/>
      </c>
      <c r="F14" s="49" t="str">
        <f>IF(Tabla_Registro_Tareas5[[#This Row],[Actividad]]=Indice_Aux_Vacio,"",Indice_PROBLAM_Estudiante5)</f>
        <v/>
      </c>
      <c r="G14" s="7"/>
      <c r="H14" s="8"/>
      <c r="I14" s="9"/>
      <c r="K14" s="12" t="str" cm="1">
        <f t="array" ref="K14">IF($B14&lt;&gt;"",TRANSPOSE(_xlfn._xlws.FILTER(plan!$C$4:$C$52, ($B14 &gt;= (plan!$J$4:$J$52-Indice_Plan_ExtensionPlazo))*($B14 &lt;= (plan!$K$4:$K$52+Indice_Plan_ExtensionPlazo)), "")), "")</f>
        <v/>
      </c>
      <c r="BH14" s="4"/>
    </row>
    <row r="15" spans="2:60" x14ac:dyDescent="0.3">
      <c r="B15" s="6"/>
      <c r="C15" s="10"/>
      <c r="D15" s="48" t="str">
        <f>IF(Tabla_Registro_Tareas5[[#This Row],[Actividad]]=Indice_Aux_Vacio,"",IFERROR(INDEX(plan!$D$4:$D$52,MATCH(Tabla_Registro_Tareas5[[#This Row],[Actividad]],plan!$C$4:$C$52,0)),""))</f>
        <v/>
      </c>
      <c r="E15" s="48" t="str">
        <f>IFERROR(INDEX(plan!$E$4:$E$52,MATCH(Tabla_Registro_Tareas5[[#This Row],[Actividad]],plan!$C$4:$C$52,0)),"")</f>
        <v/>
      </c>
      <c r="F15" s="49" t="str">
        <f>IF(Tabla_Registro_Tareas5[[#This Row],[Actividad]]=Indice_Aux_Vacio,"",Indice_PROBLAM_Estudiante5)</f>
        <v/>
      </c>
      <c r="G15" s="7"/>
      <c r="H15" s="8"/>
      <c r="I15" s="9"/>
      <c r="K15" s="12" t="str" cm="1">
        <f t="array" ref="K15">IF($B15&lt;&gt;"",TRANSPOSE(_xlfn._xlws.FILTER(plan!$C$4:$C$52, ($B15 &gt;= (plan!$J$4:$J$52-Indice_Plan_ExtensionPlazo))*($B15 &lt;= (plan!$K$4:$K$52+Indice_Plan_ExtensionPlazo)), "")), "")</f>
        <v/>
      </c>
      <c r="BH15" s="4"/>
    </row>
    <row r="16" spans="2:60" x14ac:dyDescent="0.3">
      <c r="B16" s="6"/>
      <c r="C16" s="10"/>
      <c r="D16" s="48" t="str">
        <f>IF(Tabla_Registro_Tareas5[[#This Row],[Actividad]]=Indice_Aux_Vacio,"",IFERROR(INDEX(plan!$D$4:$D$52,MATCH(Tabla_Registro_Tareas5[[#This Row],[Actividad]],plan!$C$4:$C$52,0)),""))</f>
        <v/>
      </c>
      <c r="E16" s="48" t="str">
        <f>IFERROR(INDEX(plan!$E$4:$E$52,MATCH(Tabla_Registro_Tareas5[[#This Row],[Actividad]],plan!$C$4:$C$52,0)),"")</f>
        <v/>
      </c>
      <c r="F16" s="49" t="str">
        <f>IF(Tabla_Registro_Tareas5[[#This Row],[Actividad]]=Indice_Aux_Vacio,"",Indice_PROBLAM_Estudiante5)</f>
        <v/>
      </c>
      <c r="G16" s="7"/>
      <c r="H16" s="8"/>
      <c r="I16" s="9"/>
      <c r="K16" s="12" t="str" cm="1">
        <f t="array" ref="K16">IF($B16&lt;&gt;"",TRANSPOSE(_xlfn._xlws.FILTER(plan!$C$4:$C$52, ($B16 &gt;= (plan!$J$4:$J$52-Indice_Plan_ExtensionPlazo))*($B16 &lt;= (plan!$K$4:$K$52+Indice_Plan_ExtensionPlazo)), "")), "")</f>
        <v/>
      </c>
      <c r="BH16" s="4"/>
    </row>
    <row r="17" spans="2:60" x14ac:dyDescent="0.3">
      <c r="B17" s="6"/>
      <c r="C17" s="10"/>
      <c r="D17" s="48" t="str">
        <f>IF(Tabla_Registro_Tareas5[[#This Row],[Actividad]]=Indice_Aux_Vacio,"",IFERROR(INDEX(plan!$D$4:$D$52,MATCH(Tabla_Registro_Tareas5[[#This Row],[Actividad]],plan!$C$4:$C$52,0)),""))</f>
        <v/>
      </c>
      <c r="E17" s="48" t="str">
        <f>IFERROR(INDEX(plan!$E$4:$E$52,MATCH(Tabla_Registro_Tareas5[[#This Row],[Actividad]],plan!$C$4:$C$52,0)),"")</f>
        <v/>
      </c>
      <c r="F17" s="49" t="str">
        <f>IF(Tabla_Registro_Tareas5[[#This Row],[Actividad]]=Indice_Aux_Vacio,"",Indice_PROBLAM_Estudiante5)</f>
        <v/>
      </c>
      <c r="G17" s="7"/>
      <c r="H17" s="8"/>
      <c r="I17" s="9"/>
      <c r="K17" s="12" t="str" cm="1">
        <f t="array" ref="K17">IF($B17&lt;&gt;"",TRANSPOSE(_xlfn._xlws.FILTER(plan!$C$4:$C$52, ($B17 &gt;= (plan!$J$4:$J$52-Indice_Plan_ExtensionPlazo))*($B17 &lt;= (plan!$K$4:$K$52+Indice_Plan_ExtensionPlazo)), "")), "")</f>
        <v/>
      </c>
      <c r="BH17" s="4"/>
    </row>
    <row r="18" spans="2:60" x14ac:dyDescent="0.3">
      <c r="B18" s="6"/>
      <c r="C18" s="10"/>
      <c r="D18" s="48" t="str">
        <f>IF(Tabla_Registro_Tareas5[[#This Row],[Actividad]]=Indice_Aux_Vacio,"",IFERROR(INDEX(plan!$D$4:$D$52,MATCH(Tabla_Registro_Tareas5[[#This Row],[Actividad]],plan!$C$4:$C$52,0)),""))</f>
        <v/>
      </c>
      <c r="E18" s="48" t="str">
        <f>IFERROR(INDEX(plan!$E$4:$E$52,MATCH(Tabla_Registro_Tareas5[[#This Row],[Actividad]],plan!$C$4:$C$52,0)),"")</f>
        <v/>
      </c>
      <c r="F18" s="49" t="str">
        <f>IF(Tabla_Registro_Tareas5[[#This Row],[Actividad]]=Indice_Aux_Vacio,"",Indice_PROBLAM_Estudiante5)</f>
        <v/>
      </c>
      <c r="G18" s="7"/>
      <c r="H18" s="8"/>
      <c r="I18" s="9"/>
      <c r="K18" s="12" t="str" cm="1">
        <f t="array" ref="K18">IF($B18&lt;&gt;"",TRANSPOSE(_xlfn._xlws.FILTER(plan!$C$4:$C$52, ($B18 &gt;= (plan!$J$4:$J$52-Indice_Plan_ExtensionPlazo))*($B18 &lt;= (plan!$K$4:$K$52+Indice_Plan_ExtensionPlazo)), "")), "")</f>
        <v/>
      </c>
      <c r="BH18" s="4"/>
    </row>
    <row r="19" spans="2:60" x14ac:dyDescent="0.3">
      <c r="B19" s="6"/>
      <c r="C19" s="10"/>
      <c r="D19" s="48" t="str">
        <f>IF(Tabla_Registro_Tareas5[[#This Row],[Actividad]]=Indice_Aux_Vacio,"",IFERROR(INDEX(plan!$D$4:$D$52,MATCH(Tabla_Registro_Tareas5[[#This Row],[Actividad]],plan!$C$4:$C$52,0)),""))</f>
        <v/>
      </c>
      <c r="E19" s="48" t="str">
        <f>IFERROR(INDEX(plan!$E$4:$E$52,MATCH(Tabla_Registro_Tareas5[[#This Row],[Actividad]],plan!$C$4:$C$52,0)),"")</f>
        <v/>
      </c>
      <c r="F19" s="49" t="str">
        <f>IF(Tabla_Registro_Tareas5[[#This Row],[Actividad]]=Indice_Aux_Vacio,"",Indice_PROBLAM_Estudiante5)</f>
        <v/>
      </c>
      <c r="G19" s="7"/>
      <c r="H19" s="8"/>
      <c r="I19" s="9"/>
      <c r="K19" s="12" t="str" cm="1">
        <f t="array" ref="K19">IF($B19&lt;&gt;"",TRANSPOSE(_xlfn._xlws.FILTER(plan!$C$4:$C$52, ($B19 &gt;= (plan!$J$4:$J$52-Indice_Plan_ExtensionPlazo))*($B19 &lt;= (plan!$K$4:$K$52+Indice_Plan_ExtensionPlazo)), "")), "")</f>
        <v/>
      </c>
      <c r="BH19" s="4"/>
    </row>
    <row r="20" spans="2:60" x14ac:dyDescent="0.3">
      <c r="B20" s="6"/>
      <c r="C20" s="10"/>
      <c r="D20" s="48" t="str">
        <f>IF(Tabla_Registro_Tareas5[[#This Row],[Actividad]]=Indice_Aux_Vacio,"",IFERROR(INDEX(plan!$D$4:$D$52,MATCH(Tabla_Registro_Tareas5[[#This Row],[Actividad]],plan!$C$4:$C$52,0)),""))</f>
        <v/>
      </c>
      <c r="E20" s="48" t="str">
        <f>IFERROR(INDEX(plan!$E$4:$E$52,MATCH(Tabla_Registro_Tareas5[[#This Row],[Actividad]],plan!$C$4:$C$52,0)),"")</f>
        <v/>
      </c>
      <c r="F20" s="49" t="str">
        <f>IF(Tabla_Registro_Tareas5[[#This Row],[Actividad]]=Indice_Aux_Vacio,"",Indice_PROBLAM_Estudiante5)</f>
        <v/>
      </c>
      <c r="G20" s="7"/>
      <c r="H20" s="8"/>
      <c r="I20" s="9"/>
      <c r="K20" s="12" t="str" cm="1">
        <f t="array" ref="K20">IF($B20&lt;&gt;"",TRANSPOSE(_xlfn._xlws.FILTER(plan!$C$4:$C$52, ($B20 &gt;= (plan!$J$4:$J$52-Indice_Plan_ExtensionPlazo))*($B20 &lt;= (plan!$K$4:$K$52+Indice_Plan_ExtensionPlazo)), "")), "")</f>
        <v/>
      </c>
      <c r="BH20" s="4"/>
    </row>
    <row r="21" spans="2:60" x14ac:dyDescent="0.3">
      <c r="B21" s="6"/>
      <c r="C21" s="10"/>
      <c r="D21" s="48" t="str">
        <f>IF(Tabla_Registro_Tareas5[[#This Row],[Actividad]]=Indice_Aux_Vacio,"",IFERROR(INDEX(plan!$D$4:$D$52,MATCH(Tabla_Registro_Tareas5[[#This Row],[Actividad]],plan!$C$4:$C$52,0)),""))</f>
        <v/>
      </c>
      <c r="E21" s="48" t="str">
        <f>IFERROR(INDEX(plan!$E$4:$E$52,MATCH(Tabla_Registro_Tareas5[[#This Row],[Actividad]],plan!$C$4:$C$52,0)),"")</f>
        <v/>
      </c>
      <c r="F21" s="49" t="str">
        <f>IF(Tabla_Registro_Tareas5[[#This Row],[Actividad]]=Indice_Aux_Vacio,"",Indice_PROBLAM_Estudiante5)</f>
        <v/>
      </c>
      <c r="G21" s="7"/>
      <c r="H21" s="8"/>
      <c r="I21" s="9"/>
      <c r="K21" s="12" t="str" cm="1">
        <f t="array" ref="K21">IF($B21&lt;&gt;"",TRANSPOSE(_xlfn._xlws.FILTER(plan!$C$4:$C$52, ($B21 &gt;= (plan!$J$4:$J$52-Indice_Plan_ExtensionPlazo))*($B21 &lt;= (plan!$K$4:$K$52+Indice_Plan_ExtensionPlazo)), "")), "")</f>
        <v/>
      </c>
      <c r="BH21" s="4"/>
    </row>
    <row r="22" spans="2:60" x14ac:dyDescent="0.3">
      <c r="B22" s="6"/>
      <c r="C22" s="10"/>
      <c r="D22" s="48" t="str">
        <f>IF(Tabla_Registro_Tareas5[[#This Row],[Actividad]]=Indice_Aux_Vacio,"",IFERROR(INDEX(plan!$D$4:$D$52,MATCH(Tabla_Registro_Tareas5[[#This Row],[Actividad]],plan!$C$4:$C$52,0)),""))</f>
        <v/>
      </c>
      <c r="E22" s="48" t="str">
        <f>IFERROR(INDEX(plan!$E$4:$E$52,MATCH(Tabla_Registro_Tareas5[[#This Row],[Actividad]],plan!$C$4:$C$52,0)),"")</f>
        <v/>
      </c>
      <c r="F22" s="49" t="str">
        <f>IF(Tabla_Registro_Tareas5[[#This Row],[Actividad]]=Indice_Aux_Vacio,"",Indice_PROBLAM_Estudiante5)</f>
        <v/>
      </c>
      <c r="G22" s="7"/>
      <c r="H22" s="8"/>
      <c r="I22" s="9"/>
      <c r="K22" s="12" t="str" cm="1">
        <f t="array" ref="K22">IF($B22&lt;&gt;"",TRANSPOSE(_xlfn._xlws.FILTER(plan!$C$4:$C$52, ($B22 &gt;= (plan!$J$4:$J$52-Indice_Plan_ExtensionPlazo))*($B22 &lt;= (plan!$K$4:$K$52+Indice_Plan_ExtensionPlazo)), "")), "")</f>
        <v/>
      </c>
      <c r="BH22" s="4"/>
    </row>
    <row r="23" spans="2:60" x14ac:dyDescent="0.3">
      <c r="B23" s="6"/>
      <c r="C23" s="10"/>
      <c r="D23" s="48" t="str">
        <f>IF(Tabla_Registro_Tareas5[[#This Row],[Actividad]]=Indice_Aux_Vacio,"",IFERROR(INDEX(plan!$D$4:$D$52,MATCH(Tabla_Registro_Tareas5[[#This Row],[Actividad]],plan!$C$4:$C$52,0)),""))</f>
        <v/>
      </c>
      <c r="E23" s="48" t="str">
        <f>IFERROR(INDEX(plan!$E$4:$E$52,MATCH(Tabla_Registro_Tareas5[[#This Row],[Actividad]],plan!$C$4:$C$52,0)),"")</f>
        <v/>
      </c>
      <c r="F23" s="49" t="str">
        <f>IF(Tabla_Registro_Tareas5[[#This Row],[Actividad]]=Indice_Aux_Vacio,"",Indice_PROBLAM_Estudiante5)</f>
        <v/>
      </c>
      <c r="G23" s="7"/>
      <c r="H23" s="8"/>
      <c r="I23" s="9"/>
      <c r="K23" s="12" t="str" cm="1">
        <f t="array" ref="K23">IF($B23&lt;&gt;"",TRANSPOSE(_xlfn._xlws.FILTER(plan!$C$4:$C$52, ($B23 &gt;= (plan!$J$4:$J$52-Indice_Plan_ExtensionPlazo))*($B23 &lt;= (plan!$K$4:$K$52+Indice_Plan_ExtensionPlazo)), "")), "")</f>
        <v/>
      </c>
      <c r="BH23" s="4"/>
    </row>
    <row r="24" spans="2:60" x14ac:dyDescent="0.3">
      <c r="B24" s="6"/>
      <c r="C24" s="10"/>
      <c r="D24" s="48" t="str">
        <f>IF(Tabla_Registro_Tareas5[[#This Row],[Actividad]]=Indice_Aux_Vacio,"",IFERROR(INDEX(plan!$D$4:$D$52,MATCH(Tabla_Registro_Tareas5[[#This Row],[Actividad]],plan!$C$4:$C$52,0)),""))</f>
        <v/>
      </c>
      <c r="E24" s="48" t="str">
        <f>IFERROR(INDEX(plan!$E$4:$E$52,MATCH(Tabla_Registro_Tareas5[[#This Row],[Actividad]],plan!$C$4:$C$52,0)),"")</f>
        <v/>
      </c>
      <c r="F24" s="49" t="str">
        <f>IF(Tabla_Registro_Tareas5[[#This Row],[Actividad]]=Indice_Aux_Vacio,"",Indice_PROBLAM_Estudiante5)</f>
        <v/>
      </c>
      <c r="G24" s="7"/>
      <c r="H24" s="8"/>
      <c r="I24" s="9"/>
      <c r="K24" s="12" t="str" cm="1">
        <f t="array" ref="K24">IF($B24&lt;&gt;"",TRANSPOSE(_xlfn._xlws.FILTER(plan!$C$4:$C$52, ($B24 &gt;= (plan!$J$4:$J$52-Indice_Plan_ExtensionPlazo))*($B24 &lt;= (plan!$K$4:$K$52+Indice_Plan_ExtensionPlazo)), "")), "")</f>
        <v/>
      </c>
      <c r="BH24" s="4"/>
    </row>
    <row r="25" spans="2:60" x14ac:dyDescent="0.3">
      <c r="B25" s="6"/>
      <c r="C25" s="10"/>
      <c r="D25" s="48" t="str">
        <f>IF(Tabla_Registro_Tareas5[[#This Row],[Actividad]]=Indice_Aux_Vacio,"",IFERROR(INDEX(plan!$D$4:$D$52,MATCH(Tabla_Registro_Tareas5[[#This Row],[Actividad]],plan!$C$4:$C$52,0)),""))</f>
        <v/>
      </c>
      <c r="E25" s="48" t="str">
        <f>IFERROR(INDEX(plan!$E$4:$E$52,MATCH(Tabla_Registro_Tareas5[[#This Row],[Actividad]],plan!$C$4:$C$52,0)),"")</f>
        <v/>
      </c>
      <c r="F25" s="49" t="str">
        <f>IF(Tabla_Registro_Tareas5[[#This Row],[Actividad]]=Indice_Aux_Vacio,"",Indice_PROBLAM_Estudiante5)</f>
        <v/>
      </c>
      <c r="G25" s="7"/>
      <c r="H25" s="8"/>
      <c r="I25" s="9"/>
      <c r="K25" s="12" t="str" cm="1">
        <f t="array" ref="K25">IF($B25&lt;&gt;"",TRANSPOSE(_xlfn._xlws.FILTER(plan!$C$4:$C$52, ($B25 &gt;= (plan!$J$4:$J$52-Indice_Plan_ExtensionPlazo))*($B25 &lt;= (plan!$K$4:$K$52+Indice_Plan_ExtensionPlazo)), "")), "")</f>
        <v/>
      </c>
      <c r="BH25" s="4"/>
    </row>
    <row r="26" spans="2:60" x14ac:dyDescent="0.3">
      <c r="B26" s="6"/>
      <c r="C26" s="10"/>
      <c r="D26" s="48" t="str">
        <f>IF(Tabla_Registro_Tareas5[[#This Row],[Actividad]]=Indice_Aux_Vacio,"",IFERROR(INDEX(plan!$D$4:$D$52,MATCH(Tabla_Registro_Tareas5[[#This Row],[Actividad]],plan!$C$4:$C$52,0)),""))</f>
        <v/>
      </c>
      <c r="E26" s="48" t="str">
        <f>IFERROR(INDEX(plan!$E$4:$E$52,MATCH(Tabla_Registro_Tareas5[[#This Row],[Actividad]],plan!$C$4:$C$52,0)),"")</f>
        <v/>
      </c>
      <c r="F26" s="49" t="str">
        <f>IF(Tabla_Registro_Tareas5[[#This Row],[Actividad]]=Indice_Aux_Vacio,"",Indice_PROBLAM_Estudiante5)</f>
        <v/>
      </c>
      <c r="G26" s="7"/>
      <c r="H26" s="8"/>
      <c r="I26" s="9"/>
      <c r="K26" s="12" t="str" cm="1">
        <f t="array" ref="K26">IF($B26&lt;&gt;"",TRANSPOSE(_xlfn._xlws.FILTER(plan!$C$4:$C$52, ($B26 &gt;= (plan!$J$4:$J$52-Indice_Plan_ExtensionPlazo))*($B26 &lt;= (plan!$K$4:$K$52+Indice_Plan_ExtensionPlazo)), "")), "")</f>
        <v/>
      </c>
      <c r="BH26" s="4"/>
    </row>
    <row r="27" spans="2:60" x14ac:dyDescent="0.3">
      <c r="B27" s="6"/>
      <c r="C27" s="10"/>
      <c r="D27" s="48" t="str">
        <f>IF(Tabla_Registro_Tareas5[[#This Row],[Actividad]]=Indice_Aux_Vacio,"",IFERROR(INDEX(plan!$D$4:$D$52,MATCH(Tabla_Registro_Tareas5[[#This Row],[Actividad]],plan!$C$4:$C$52,0)),""))</f>
        <v/>
      </c>
      <c r="E27" s="48" t="str">
        <f>IFERROR(INDEX(plan!$E$4:$E$52,MATCH(Tabla_Registro_Tareas5[[#This Row],[Actividad]],plan!$C$4:$C$52,0)),"")</f>
        <v/>
      </c>
      <c r="F27" s="49" t="str">
        <f>IF(Tabla_Registro_Tareas5[[#This Row],[Actividad]]=Indice_Aux_Vacio,"",Indice_PROBLAM_Estudiante5)</f>
        <v/>
      </c>
      <c r="G27" s="7"/>
      <c r="H27" s="8"/>
      <c r="I27" s="9"/>
      <c r="K27" s="12" t="str" cm="1">
        <f t="array" ref="K27">IF($B27&lt;&gt;"",TRANSPOSE(_xlfn._xlws.FILTER(plan!$C$4:$C$52, ($B27 &gt;= (plan!$J$4:$J$52-Indice_Plan_ExtensionPlazo))*($B27 &lt;= (plan!$K$4:$K$52+Indice_Plan_ExtensionPlazo)), "")), "")</f>
        <v/>
      </c>
      <c r="BH27" s="4"/>
    </row>
    <row r="28" spans="2:60" x14ac:dyDescent="0.3">
      <c r="B28" s="6"/>
      <c r="C28" s="10"/>
      <c r="D28" s="48" t="str">
        <f>IF(Tabla_Registro_Tareas5[[#This Row],[Actividad]]=Indice_Aux_Vacio,"",IFERROR(INDEX(plan!$D$4:$D$52,MATCH(Tabla_Registro_Tareas5[[#This Row],[Actividad]],plan!$C$4:$C$52,0)),""))</f>
        <v/>
      </c>
      <c r="E28" s="48" t="str">
        <f>IFERROR(INDEX(plan!$E$4:$E$52,MATCH(Tabla_Registro_Tareas5[[#This Row],[Actividad]],plan!$C$4:$C$52,0)),"")</f>
        <v/>
      </c>
      <c r="F28" s="49" t="str">
        <f>IF(Tabla_Registro_Tareas5[[#This Row],[Actividad]]=Indice_Aux_Vacio,"",Indice_PROBLAM_Estudiante5)</f>
        <v/>
      </c>
      <c r="G28" s="7"/>
      <c r="H28" s="8"/>
      <c r="I28" s="9"/>
      <c r="K28" s="12" t="str" cm="1">
        <f t="array" ref="K28">IF($B28&lt;&gt;"",TRANSPOSE(_xlfn._xlws.FILTER(plan!$C$4:$C$52, ($B28 &gt;= (plan!$J$4:$J$52-Indice_Plan_ExtensionPlazo))*($B28 &lt;= (plan!$K$4:$K$52+Indice_Plan_ExtensionPlazo)), "")), "")</f>
        <v/>
      </c>
      <c r="BH28" s="4"/>
    </row>
    <row r="29" spans="2:60" x14ac:dyDescent="0.3">
      <c r="B29" s="6"/>
      <c r="C29" s="10"/>
      <c r="D29" s="48" t="str">
        <f>IF(Tabla_Registro_Tareas5[[#This Row],[Actividad]]=Indice_Aux_Vacio,"",IFERROR(INDEX(plan!$D$4:$D$52,MATCH(Tabla_Registro_Tareas5[[#This Row],[Actividad]],plan!$C$4:$C$52,0)),""))</f>
        <v/>
      </c>
      <c r="E29" s="48" t="str">
        <f>IFERROR(INDEX(plan!$E$4:$E$52,MATCH(Tabla_Registro_Tareas5[[#This Row],[Actividad]],plan!$C$4:$C$52,0)),"")</f>
        <v/>
      </c>
      <c r="F29" s="49" t="str">
        <f>IF(Tabla_Registro_Tareas5[[#This Row],[Actividad]]=Indice_Aux_Vacio,"",Indice_PROBLAM_Estudiante5)</f>
        <v/>
      </c>
      <c r="G29" s="7"/>
      <c r="H29" s="8"/>
      <c r="I29" s="9"/>
      <c r="K29" s="12" t="str" cm="1">
        <f t="array" ref="K29">IF($B29&lt;&gt;"",TRANSPOSE(_xlfn._xlws.FILTER(plan!$C$4:$C$52, ($B29 &gt;= (plan!$J$4:$J$52-Indice_Plan_ExtensionPlazo))*($B29 &lt;= (plan!$K$4:$K$52+Indice_Plan_ExtensionPlazo)), "")), "")</f>
        <v/>
      </c>
      <c r="BH29" s="4"/>
    </row>
    <row r="30" spans="2:60" x14ac:dyDescent="0.3">
      <c r="B30" s="6"/>
      <c r="C30" s="10"/>
      <c r="D30" s="48" t="str">
        <f>IF(Tabla_Registro_Tareas5[[#This Row],[Actividad]]=Indice_Aux_Vacio,"",IFERROR(INDEX(plan!$D$4:$D$52,MATCH(Tabla_Registro_Tareas5[[#This Row],[Actividad]],plan!$C$4:$C$52,0)),""))</f>
        <v/>
      </c>
      <c r="E30" s="48" t="str">
        <f>IFERROR(INDEX(plan!$E$4:$E$52,MATCH(Tabla_Registro_Tareas5[[#This Row],[Actividad]],plan!$C$4:$C$52,0)),"")</f>
        <v/>
      </c>
      <c r="F30" s="49" t="str">
        <f>IF(Tabla_Registro_Tareas5[[#This Row],[Actividad]]=Indice_Aux_Vacio,"",Indice_PROBLAM_Estudiante5)</f>
        <v/>
      </c>
      <c r="G30" s="7"/>
      <c r="H30" s="8"/>
      <c r="I30" s="9"/>
      <c r="K30" s="12" t="str" cm="1">
        <f t="array" ref="K30">IF($B30&lt;&gt;"",TRANSPOSE(_xlfn._xlws.FILTER(plan!$C$4:$C$52, ($B30 &gt;= (plan!$J$4:$J$52-Indice_Plan_ExtensionPlazo))*($B30 &lt;= (plan!$K$4:$K$52+Indice_Plan_ExtensionPlazo)), "")), "")</f>
        <v/>
      </c>
      <c r="BH30" s="4"/>
    </row>
    <row r="31" spans="2:60" x14ac:dyDescent="0.3">
      <c r="B31" s="6"/>
      <c r="C31" s="10"/>
      <c r="D31" s="48" t="str">
        <f>IF(Tabla_Registro_Tareas5[[#This Row],[Actividad]]=Indice_Aux_Vacio,"",IFERROR(INDEX(plan!$D$4:$D$52,MATCH(Tabla_Registro_Tareas5[[#This Row],[Actividad]],plan!$C$4:$C$52,0)),""))</f>
        <v/>
      </c>
      <c r="E31" s="48" t="str">
        <f>IFERROR(INDEX(plan!$E$4:$E$52,MATCH(Tabla_Registro_Tareas5[[#This Row],[Actividad]],plan!$C$4:$C$52,0)),"")</f>
        <v/>
      </c>
      <c r="F31" s="49" t="str">
        <f>IF(Tabla_Registro_Tareas5[[#This Row],[Actividad]]=Indice_Aux_Vacio,"",Indice_PROBLAM_Estudiante5)</f>
        <v/>
      </c>
      <c r="G31" s="7"/>
      <c r="H31" s="8"/>
      <c r="I31" s="9"/>
      <c r="K31" s="12" t="str" cm="1">
        <f t="array" ref="K31">IF($B31&lt;&gt;"",TRANSPOSE(_xlfn._xlws.FILTER(plan!$C$4:$C$52, ($B31 &gt;= (plan!$J$4:$J$52-Indice_Plan_ExtensionPlazo))*($B31 &lt;= (plan!$K$4:$K$52+Indice_Plan_ExtensionPlazo)), "")), "")</f>
        <v/>
      </c>
      <c r="BH31" s="4"/>
    </row>
    <row r="32" spans="2:60" x14ac:dyDescent="0.3">
      <c r="B32" s="6"/>
      <c r="C32" s="10"/>
      <c r="D32" s="48" t="str">
        <f>IF(Tabla_Registro_Tareas5[[#This Row],[Actividad]]=Indice_Aux_Vacio,"",IFERROR(INDEX(plan!$D$4:$D$52,MATCH(Tabla_Registro_Tareas5[[#This Row],[Actividad]],plan!$C$4:$C$52,0)),""))</f>
        <v/>
      </c>
      <c r="E32" s="48" t="str">
        <f>IFERROR(INDEX(plan!$E$4:$E$52,MATCH(Tabla_Registro_Tareas5[[#This Row],[Actividad]],plan!$C$4:$C$52,0)),"")</f>
        <v/>
      </c>
      <c r="F32" s="49" t="str">
        <f>IF(Tabla_Registro_Tareas5[[#This Row],[Actividad]]=Indice_Aux_Vacio,"",Indice_PROBLAM_Estudiante5)</f>
        <v/>
      </c>
      <c r="G32" s="7"/>
      <c r="H32" s="8"/>
      <c r="I32" s="9"/>
      <c r="K32" s="12" t="str" cm="1">
        <f t="array" ref="K32">IF($B32&lt;&gt;"",TRANSPOSE(_xlfn._xlws.FILTER(plan!$C$4:$C$52, ($B32 &gt;= (plan!$J$4:$J$52-Indice_Plan_ExtensionPlazo))*($B32 &lt;= (plan!$K$4:$K$52+Indice_Plan_ExtensionPlazo)), "")), "")</f>
        <v/>
      </c>
      <c r="BH32" s="4"/>
    </row>
    <row r="33" spans="2:60" x14ac:dyDescent="0.3">
      <c r="B33" s="6"/>
      <c r="C33" s="10"/>
      <c r="D33" s="48" t="str">
        <f>IF(Tabla_Registro_Tareas5[[#This Row],[Actividad]]=Indice_Aux_Vacio,"",IFERROR(INDEX(plan!$D$4:$D$52,MATCH(Tabla_Registro_Tareas5[[#This Row],[Actividad]],plan!$C$4:$C$52,0)),""))</f>
        <v/>
      </c>
      <c r="E33" s="48" t="str">
        <f>IFERROR(INDEX(plan!$E$4:$E$52,MATCH(Tabla_Registro_Tareas5[[#This Row],[Actividad]],plan!$C$4:$C$52,0)),"")</f>
        <v/>
      </c>
      <c r="F33" s="49" t="str">
        <f>IF(Tabla_Registro_Tareas5[[#This Row],[Actividad]]=Indice_Aux_Vacio,"",Indice_PROBLAM_Estudiante5)</f>
        <v/>
      </c>
      <c r="G33" s="7"/>
      <c r="H33" s="8"/>
      <c r="I33" s="9"/>
      <c r="K33" s="12" t="str" cm="1">
        <f t="array" ref="K33">IF($B33&lt;&gt;"",TRANSPOSE(_xlfn._xlws.FILTER(plan!$C$4:$C$52, ($B33 &gt;= (plan!$J$4:$J$52-Indice_Plan_ExtensionPlazo))*($B33 &lt;= (plan!$K$4:$K$52+Indice_Plan_ExtensionPlazo)), "")), "")</f>
        <v/>
      </c>
      <c r="BH33" s="4"/>
    </row>
    <row r="34" spans="2:60" x14ac:dyDescent="0.3">
      <c r="B34" s="6"/>
      <c r="C34" s="10"/>
      <c r="D34" s="48" t="str">
        <f>IF(Tabla_Registro_Tareas5[[#This Row],[Actividad]]=Indice_Aux_Vacio,"",IFERROR(INDEX(plan!$D$4:$D$52,MATCH(Tabla_Registro_Tareas5[[#This Row],[Actividad]],plan!$C$4:$C$52,0)),""))</f>
        <v/>
      </c>
      <c r="E34" s="48" t="str">
        <f>IFERROR(INDEX(plan!$E$4:$E$52,MATCH(Tabla_Registro_Tareas5[[#This Row],[Actividad]],plan!$C$4:$C$52,0)),"")</f>
        <v/>
      </c>
      <c r="F34" s="49" t="str">
        <f>IF(Tabla_Registro_Tareas5[[#This Row],[Actividad]]=Indice_Aux_Vacio,"",Indice_PROBLAM_Estudiante5)</f>
        <v/>
      </c>
      <c r="G34" s="7"/>
      <c r="H34" s="8"/>
      <c r="I34" s="9"/>
      <c r="K34" s="12" t="str" cm="1">
        <f t="array" ref="K34">IF($B34&lt;&gt;"",TRANSPOSE(_xlfn._xlws.FILTER(plan!$C$4:$C$52, ($B34 &gt;= (plan!$J$4:$J$52-Indice_Plan_ExtensionPlazo))*($B34 &lt;= (plan!$K$4:$K$52+Indice_Plan_ExtensionPlazo)), "")), "")</f>
        <v/>
      </c>
      <c r="BH34" s="4"/>
    </row>
    <row r="35" spans="2:60" x14ac:dyDescent="0.3">
      <c r="B35" s="6"/>
      <c r="C35" s="10"/>
      <c r="D35" s="48" t="str">
        <f>IF(Tabla_Registro_Tareas5[[#This Row],[Actividad]]=Indice_Aux_Vacio,"",IFERROR(INDEX(plan!$D$4:$D$52,MATCH(Tabla_Registro_Tareas5[[#This Row],[Actividad]],plan!$C$4:$C$52,0)),""))</f>
        <v/>
      </c>
      <c r="E35" s="48" t="str">
        <f>IFERROR(INDEX(plan!$E$4:$E$52,MATCH(Tabla_Registro_Tareas5[[#This Row],[Actividad]],plan!$C$4:$C$52,0)),"")</f>
        <v/>
      </c>
      <c r="F35" s="49" t="str">
        <f>IF(Tabla_Registro_Tareas5[[#This Row],[Actividad]]=Indice_Aux_Vacio,"",Indice_PROBLAM_Estudiante5)</f>
        <v/>
      </c>
      <c r="G35" s="7"/>
      <c r="H35" s="8"/>
      <c r="I35" s="9"/>
      <c r="K35" s="12" t="str" cm="1">
        <f t="array" ref="K35">IF($B35&lt;&gt;"",TRANSPOSE(_xlfn._xlws.FILTER(plan!$C$4:$C$52, ($B35 &gt;= (plan!$J$4:$J$52-Indice_Plan_ExtensionPlazo))*($B35 &lt;= (plan!$K$4:$K$52+Indice_Plan_ExtensionPlazo)), "")), "")</f>
        <v/>
      </c>
      <c r="BH35" s="4"/>
    </row>
    <row r="36" spans="2:60" x14ac:dyDescent="0.3">
      <c r="B36" s="6"/>
      <c r="C36" s="10"/>
      <c r="D36" s="48" t="str">
        <f>IF(Tabla_Registro_Tareas5[[#This Row],[Actividad]]=Indice_Aux_Vacio,"",IFERROR(INDEX(plan!$D$4:$D$52,MATCH(Tabla_Registro_Tareas5[[#This Row],[Actividad]],plan!$C$4:$C$52,0)),""))</f>
        <v/>
      </c>
      <c r="E36" s="48" t="str">
        <f>IFERROR(INDEX(plan!$E$4:$E$52,MATCH(Tabla_Registro_Tareas5[[#This Row],[Actividad]],plan!$C$4:$C$52,0)),"")</f>
        <v/>
      </c>
      <c r="F36" s="49" t="str">
        <f>IF(Tabla_Registro_Tareas5[[#This Row],[Actividad]]=Indice_Aux_Vacio,"",Indice_PROBLAM_Estudiante5)</f>
        <v/>
      </c>
      <c r="G36" s="7"/>
      <c r="H36" s="8"/>
      <c r="I36" s="9"/>
      <c r="K36" s="12" t="str" cm="1">
        <f t="array" ref="K36">IF($B36&lt;&gt;"",TRANSPOSE(_xlfn._xlws.FILTER(plan!$C$4:$C$52, ($B36 &gt;= (plan!$J$4:$J$52-Indice_Plan_ExtensionPlazo))*($B36 &lt;= (plan!$K$4:$K$52+Indice_Plan_ExtensionPlazo)), "")), "")</f>
        <v/>
      </c>
      <c r="BH36" s="4"/>
    </row>
    <row r="37" spans="2:60" x14ac:dyDescent="0.3">
      <c r="B37" s="6"/>
      <c r="C37" s="10"/>
      <c r="D37" s="48" t="str">
        <f>IF(Tabla_Registro_Tareas5[[#This Row],[Actividad]]=Indice_Aux_Vacio,"",IFERROR(INDEX(plan!$D$4:$D$52,MATCH(Tabla_Registro_Tareas5[[#This Row],[Actividad]],plan!$C$4:$C$52,0)),""))</f>
        <v/>
      </c>
      <c r="E37" s="48" t="str">
        <f>IFERROR(INDEX(plan!$E$4:$E$52,MATCH(Tabla_Registro_Tareas5[[#This Row],[Actividad]],plan!$C$4:$C$52,0)),"")</f>
        <v/>
      </c>
      <c r="F37" s="49" t="str">
        <f>IF(Tabla_Registro_Tareas5[[#This Row],[Actividad]]=Indice_Aux_Vacio,"",Indice_PROBLAM_Estudiante5)</f>
        <v/>
      </c>
      <c r="G37" s="7"/>
      <c r="H37" s="8"/>
      <c r="I37" s="9"/>
      <c r="K37" s="12" t="str" cm="1">
        <f t="array" ref="K37">IF($B37&lt;&gt;"",TRANSPOSE(_xlfn._xlws.FILTER(plan!$C$4:$C$52, ($B37 &gt;= (plan!$J$4:$J$52-Indice_Plan_ExtensionPlazo))*($B37 &lt;= (plan!$K$4:$K$52+Indice_Plan_ExtensionPlazo)), "")), "")</f>
        <v/>
      </c>
      <c r="BH37" s="4"/>
    </row>
    <row r="38" spans="2:60" x14ac:dyDescent="0.3">
      <c r="B38" s="6"/>
      <c r="C38" s="10"/>
      <c r="D38" s="48" t="str">
        <f>IF(Tabla_Registro_Tareas5[[#This Row],[Actividad]]=Indice_Aux_Vacio,"",IFERROR(INDEX(plan!$D$4:$D$52,MATCH(Tabla_Registro_Tareas5[[#This Row],[Actividad]],plan!$C$4:$C$52,0)),""))</f>
        <v/>
      </c>
      <c r="E38" s="48" t="str">
        <f>IFERROR(INDEX(plan!$E$4:$E$52,MATCH(Tabla_Registro_Tareas5[[#This Row],[Actividad]],plan!$C$4:$C$52,0)),"")</f>
        <v/>
      </c>
      <c r="F38" s="49" t="str">
        <f>IF(Tabla_Registro_Tareas5[[#This Row],[Actividad]]=Indice_Aux_Vacio,"",Indice_PROBLAM_Estudiante5)</f>
        <v/>
      </c>
      <c r="G38" s="7"/>
      <c r="H38" s="8"/>
      <c r="I38" s="9"/>
      <c r="K38" s="12" t="str" cm="1">
        <f t="array" ref="K38">IF($B38&lt;&gt;"",TRANSPOSE(_xlfn._xlws.FILTER(plan!$C$4:$C$52, ($B38 &gt;= (plan!$J$4:$J$52-Indice_Plan_ExtensionPlazo))*($B38 &lt;= (plan!$K$4:$K$52+Indice_Plan_ExtensionPlazo)), "")), "")</f>
        <v/>
      </c>
      <c r="BH38" s="4"/>
    </row>
    <row r="39" spans="2:60" x14ac:dyDescent="0.3">
      <c r="B39" s="6"/>
      <c r="C39" s="10"/>
      <c r="D39" s="48" t="str">
        <f>IF(Tabla_Registro_Tareas5[[#This Row],[Actividad]]=Indice_Aux_Vacio,"",IFERROR(INDEX(plan!$D$4:$D$52,MATCH(Tabla_Registro_Tareas5[[#This Row],[Actividad]],plan!$C$4:$C$52,0)),""))</f>
        <v/>
      </c>
      <c r="E39" s="48" t="str">
        <f>IFERROR(INDEX(plan!$E$4:$E$52,MATCH(Tabla_Registro_Tareas5[[#This Row],[Actividad]],plan!$C$4:$C$52,0)),"")</f>
        <v/>
      </c>
      <c r="F39" s="49" t="str">
        <f>IF(Tabla_Registro_Tareas5[[#This Row],[Actividad]]=Indice_Aux_Vacio,"",Indice_PROBLAM_Estudiante5)</f>
        <v/>
      </c>
      <c r="G39" s="7"/>
      <c r="H39" s="8"/>
      <c r="I39" s="9"/>
      <c r="K39" s="12" t="str" cm="1">
        <f t="array" ref="K39">IF($B39&lt;&gt;"",TRANSPOSE(_xlfn._xlws.FILTER(plan!$C$4:$C$52, ($B39 &gt;= (plan!$J$4:$J$52-Indice_Plan_ExtensionPlazo))*($B39 &lt;= (plan!$K$4:$K$52+Indice_Plan_ExtensionPlazo)), "")), "")</f>
        <v/>
      </c>
      <c r="BH39" s="4"/>
    </row>
    <row r="40" spans="2:60" x14ac:dyDescent="0.3">
      <c r="B40" s="6"/>
      <c r="C40" s="10"/>
      <c r="D40" s="48" t="str">
        <f>IF(Tabla_Registro_Tareas5[[#This Row],[Actividad]]=Indice_Aux_Vacio,"",IFERROR(INDEX(plan!$D$4:$D$52,MATCH(Tabla_Registro_Tareas5[[#This Row],[Actividad]],plan!$C$4:$C$52,0)),""))</f>
        <v/>
      </c>
      <c r="E40" s="48" t="str">
        <f>IFERROR(INDEX(plan!$E$4:$E$52,MATCH(Tabla_Registro_Tareas5[[#This Row],[Actividad]],plan!$C$4:$C$52,0)),"")</f>
        <v/>
      </c>
      <c r="F40" s="49" t="str">
        <f>IF(Tabla_Registro_Tareas5[[#This Row],[Actividad]]=Indice_Aux_Vacio,"",Indice_PROBLAM_Estudiante5)</f>
        <v/>
      </c>
      <c r="G40" s="7"/>
      <c r="H40" s="8"/>
      <c r="I40" s="9"/>
      <c r="K40" s="12" t="str" cm="1">
        <f t="array" ref="K40">IF($B40&lt;&gt;"",TRANSPOSE(_xlfn._xlws.FILTER(plan!$C$4:$C$52, ($B40 &gt;= (plan!$J$4:$J$52-Indice_Plan_ExtensionPlazo))*($B40 &lt;= (plan!$K$4:$K$52+Indice_Plan_ExtensionPlazo)), "")), "")</f>
        <v/>
      </c>
      <c r="BH40" s="4"/>
    </row>
    <row r="41" spans="2:60" x14ac:dyDescent="0.3">
      <c r="B41" s="6"/>
      <c r="C41" s="10"/>
      <c r="D41" s="48" t="str">
        <f>IF(Tabla_Registro_Tareas5[[#This Row],[Actividad]]=Indice_Aux_Vacio,"",IFERROR(INDEX(plan!$D$4:$D$52,MATCH(Tabla_Registro_Tareas5[[#This Row],[Actividad]],plan!$C$4:$C$52,0)),""))</f>
        <v/>
      </c>
      <c r="E41" s="48" t="str">
        <f>IFERROR(INDEX(plan!$E$4:$E$52,MATCH(Tabla_Registro_Tareas5[[#This Row],[Actividad]],plan!$C$4:$C$52,0)),"")</f>
        <v/>
      </c>
      <c r="F41" s="49" t="str">
        <f>IF(Tabla_Registro_Tareas5[[#This Row],[Actividad]]=Indice_Aux_Vacio,"",Indice_PROBLAM_Estudiante5)</f>
        <v/>
      </c>
      <c r="G41" s="7"/>
      <c r="H41" s="8"/>
      <c r="I41" s="9"/>
      <c r="K41" s="12" t="str" cm="1">
        <f t="array" ref="K41">IF($B41&lt;&gt;"",TRANSPOSE(_xlfn._xlws.FILTER(plan!$C$4:$C$52, ($B41 &gt;= (plan!$J$4:$J$52-Indice_Plan_ExtensionPlazo))*($B41 &lt;= (plan!$K$4:$K$52+Indice_Plan_ExtensionPlazo)), "")), "")</f>
        <v/>
      </c>
      <c r="BH41" s="4"/>
    </row>
    <row r="42" spans="2:60" x14ac:dyDescent="0.3">
      <c r="B42" s="6"/>
      <c r="C42" s="10"/>
      <c r="D42" s="48" t="str">
        <f>IF(Tabla_Registro_Tareas5[[#This Row],[Actividad]]=Indice_Aux_Vacio,"",IFERROR(INDEX(plan!$D$4:$D$52,MATCH(Tabla_Registro_Tareas5[[#This Row],[Actividad]],plan!$C$4:$C$52,0)),""))</f>
        <v/>
      </c>
      <c r="E42" s="48" t="str">
        <f>IFERROR(INDEX(plan!$E$4:$E$52,MATCH(Tabla_Registro_Tareas5[[#This Row],[Actividad]],plan!$C$4:$C$52,0)),"")</f>
        <v/>
      </c>
      <c r="F42" s="49" t="str">
        <f>IF(Tabla_Registro_Tareas5[[#This Row],[Actividad]]=Indice_Aux_Vacio,"",Indice_PROBLAM_Estudiante5)</f>
        <v/>
      </c>
      <c r="G42" s="7"/>
      <c r="H42" s="8"/>
      <c r="I42" s="9"/>
      <c r="K42" s="12" t="str" cm="1">
        <f t="array" ref="K42">IF($B42&lt;&gt;"",TRANSPOSE(_xlfn._xlws.FILTER(plan!$C$4:$C$52, ($B42 &gt;= (plan!$J$4:$J$52-Indice_Plan_ExtensionPlazo))*($B42 &lt;= (plan!$K$4:$K$52+Indice_Plan_ExtensionPlazo)), "")), "")</f>
        <v/>
      </c>
      <c r="BH42" s="4"/>
    </row>
    <row r="43" spans="2:60" x14ac:dyDescent="0.3">
      <c r="B43" s="6"/>
      <c r="C43" s="10"/>
      <c r="D43" s="48" t="str">
        <f>IF(Tabla_Registro_Tareas5[[#This Row],[Actividad]]=Indice_Aux_Vacio,"",IFERROR(INDEX(plan!$D$4:$D$52,MATCH(Tabla_Registro_Tareas5[[#This Row],[Actividad]],plan!$C$4:$C$52,0)),""))</f>
        <v/>
      </c>
      <c r="E43" s="48" t="str">
        <f>IFERROR(INDEX(plan!$E$4:$E$52,MATCH(Tabla_Registro_Tareas5[[#This Row],[Actividad]],plan!$C$4:$C$52,0)),"")</f>
        <v/>
      </c>
      <c r="F43" s="49" t="str">
        <f>IF(Tabla_Registro_Tareas5[[#This Row],[Actividad]]=Indice_Aux_Vacio,"",Indice_PROBLAM_Estudiante5)</f>
        <v/>
      </c>
      <c r="G43" s="7"/>
      <c r="H43" s="8"/>
      <c r="I43" s="9"/>
      <c r="K43" s="12" t="str" cm="1">
        <f t="array" ref="K43">IF($B43&lt;&gt;"",TRANSPOSE(_xlfn._xlws.FILTER(plan!$C$4:$C$52, ($B43 &gt;= (plan!$J$4:$J$52-Indice_Plan_ExtensionPlazo))*($B43 &lt;= (plan!$K$4:$K$52+Indice_Plan_ExtensionPlazo)), "")), "")</f>
        <v/>
      </c>
      <c r="BH43" s="4"/>
    </row>
    <row r="44" spans="2:60" x14ac:dyDescent="0.3">
      <c r="B44" s="6"/>
      <c r="C44" s="10"/>
      <c r="D44" s="48" t="str">
        <f>IF(Tabla_Registro_Tareas5[[#This Row],[Actividad]]=Indice_Aux_Vacio,"",IFERROR(INDEX(plan!$D$4:$D$52,MATCH(Tabla_Registro_Tareas5[[#This Row],[Actividad]],plan!$C$4:$C$52,0)),""))</f>
        <v/>
      </c>
      <c r="E44" s="48" t="str">
        <f>IFERROR(INDEX(plan!$E$4:$E$52,MATCH(Tabla_Registro_Tareas5[[#This Row],[Actividad]],plan!$C$4:$C$52,0)),"")</f>
        <v/>
      </c>
      <c r="F44" s="49" t="str">
        <f>IF(Tabla_Registro_Tareas5[[#This Row],[Actividad]]=Indice_Aux_Vacio,"",Indice_PROBLAM_Estudiante5)</f>
        <v/>
      </c>
      <c r="G44" s="7"/>
      <c r="H44" s="8"/>
      <c r="I44" s="9"/>
      <c r="K44" s="12" t="str" cm="1">
        <f t="array" ref="K44">IF($B44&lt;&gt;"",TRANSPOSE(_xlfn._xlws.FILTER(plan!$C$4:$C$52, ($B44 &gt;= (plan!$J$4:$J$52-Indice_Plan_ExtensionPlazo))*($B44 &lt;= (plan!$K$4:$K$52+Indice_Plan_ExtensionPlazo)), "")), "")</f>
        <v/>
      </c>
      <c r="BH44" s="4"/>
    </row>
    <row r="45" spans="2:60" x14ac:dyDescent="0.3">
      <c r="B45" s="6"/>
      <c r="C45" s="10"/>
      <c r="D45" s="48" t="str">
        <f>IF(Tabla_Registro_Tareas5[[#This Row],[Actividad]]=Indice_Aux_Vacio,"",IFERROR(INDEX(plan!$D$4:$D$52,MATCH(Tabla_Registro_Tareas5[[#This Row],[Actividad]],plan!$C$4:$C$52,0)),""))</f>
        <v/>
      </c>
      <c r="E45" s="48" t="str">
        <f>IFERROR(INDEX(plan!$E$4:$E$52,MATCH(Tabla_Registro_Tareas5[[#This Row],[Actividad]],plan!$C$4:$C$52,0)),"")</f>
        <v/>
      </c>
      <c r="F45" s="49" t="str">
        <f>IF(Tabla_Registro_Tareas5[[#This Row],[Actividad]]=Indice_Aux_Vacio,"",Indice_PROBLAM_Estudiante5)</f>
        <v/>
      </c>
      <c r="G45" s="7"/>
      <c r="H45" s="8"/>
      <c r="I45" s="9"/>
      <c r="K45" s="12" t="str" cm="1">
        <f t="array" ref="K45">IF($B45&lt;&gt;"",TRANSPOSE(_xlfn._xlws.FILTER(plan!$C$4:$C$52, ($B45 &gt;= (plan!$J$4:$J$52-Indice_Plan_ExtensionPlazo))*($B45 &lt;= (plan!$K$4:$K$52+Indice_Plan_ExtensionPlazo)), "")), "")</f>
        <v/>
      </c>
      <c r="BH45" s="4"/>
    </row>
    <row r="46" spans="2:60" x14ac:dyDescent="0.3">
      <c r="B46" s="6"/>
      <c r="C46" s="10"/>
      <c r="D46" s="48" t="str">
        <f>IF(Tabla_Registro_Tareas5[[#This Row],[Actividad]]=Indice_Aux_Vacio,"",IFERROR(INDEX(plan!$D$4:$D$52,MATCH(Tabla_Registro_Tareas5[[#This Row],[Actividad]],plan!$C$4:$C$52,0)),""))</f>
        <v/>
      </c>
      <c r="E46" s="48" t="str">
        <f>IFERROR(INDEX(plan!$E$4:$E$52,MATCH(Tabla_Registro_Tareas5[[#This Row],[Actividad]],plan!$C$4:$C$52,0)),"")</f>
        <v/>
      </c>
      <c r="F46" s="49" t="str">
        <f>IF(Tabla_Registro_Tareas5[[#This Row],[Actividad]]=Indice_Aux_Vacio,"",Indice_PROBLAM_Estudiante5)</f>
        <v/>
      </c>
      <c r="G46" s="7"/>
      <c r="H46" s="8"/>
      <c r="I46" s="9"/>
      <c r="K46" s="12" t="str" cm="1">
        <f t="array" ref="K46">IF($B46&lt;&gt;"",TRANSPOSE(_xlfn._xlws.FILTER(plan!$C$4:$C$52, ($B46 &gt;= (plan!$J$4:$J$52-Indice_Plan_ExtensionPlazo))*($B46 &lt;= (plan!$K$4:$K$52+Indice_Plan_ExtensionPlazo)), "")), "")</f>
        <v/>
      </c>
      <c r="BH46" s="4"/>
    </row>
    <row r="47" spans="2:60" x14ac:dyDescent="0.3">
      <c r="B47" s="6"/>
      <c r="C47" s="10"/>
      <c r="D47" s="48" t="str">
        <f>IF(Tabla_Registro_Tareas5[[#This Row],[Actividad]]=Indice_Aux_Vacio,"",IFERROR(INDEX(plan!$D$4:$D$52,MATCH(Tabla_Registro_Tareas5[[#This Row],[Actividad]],plan!$C$4:$C$52,0)),""))</f>
        <v/>
      </c>
      <c r="E47" s="48" t="str">
        <f>IFERROR(INDEX(plan!$E$4:$E$52,MATCH(Tabla_Registro_Tareas5[[#This Row],[Actividad]],plan!$C$4:$C$52,0)),"")</f>
        <v/>
      </c>
      <c r="F47" s="49" t="str">
        <f>IF(Tabla_Registro_Tareas5[[#This Row],[Actividad]]=Indice_Aux_Vacio,"",Indice_PROBLAM_Estudiante5)</f>
        <v/>
      </c>
      <c r="G47" s="7"/>
      <c r="H47" s="8"/>
      <c r="I47" s="9"/>
      <c r="K47" s="12" t="str" cm="1">
        <f t="array" ref="K47">IF($B47&lt;&gt;"",TRANSPOSE(_xlfn._xlws.FILTER(plan!$C$4:$C$52, ($B47 &gt;= (plan!$J$4:$J$52-Indice_Plan_ExtensionPlazo))*($B47 &lt;= (plan!$K$4:$K$52+Indice_Plan_ExtensionPlazo)), "")), "")</f>
        <v/>
      </c>
      <c r="BH47" s="4"/>
    </row>
    <row r="48" spans="2:60" x14ac:dyDescent="0.3">
      <c r="B48" s="6"/>
      <c r="C48" s="10"/>
      <c r="D48" s="48" t="str">
        <f>IF(Tabla_Registro_Tareas5[[#This Row],[Actividad]]=Indice_Aux_Vacio,"",IFERROR(INDEX(plan!$D$4:$D$52,MATCH(Tabla_Registro_Tareas5[[#This Row],[Actividad]],plan!$C$4:$C$52,0)),""))</f>
        <v/>
      </c>
      <c r="E48" s="48" t="str">
        <f>IFERROR(INDEX(plan!$E$4:$E$52,MATCH(Tabla_Registro_Tareas5[[#This Row],[Actividad]],plan!$C$4:$C$52,0)),"")</f>
        <v/>
      </c>
      <c r="F48" s="49" t="str">
        <f>IF(Tabla_Registro_Tareas5[[#This Row],[Actividad]]=Indice_Aux_Vacio,"",Indice_PROBLAM_Estudiante5)</f>
        <v/>
      </c>
      <c r="G48" s="7"/>
      <c r="H48" s="8"/>
      <c r="I48" s="9"/>
      <c r="K48" s="12" t="str" cm="1">
        <f t="array" ref="K48">IF($B48&lt;&gt;"",TRANSPOSE(_xlfn._xlws.FILTER(plan!$C$4:$C$52, ($B48 &gt;= (plan!$J$4:$J$52-Indice_Plan_ExtensionPlazo))*($B48 &lt;= (plan!$K$4:$K$52+Indice_Plan_ExtensionPlazo)), "")), "")</f>
        <v/>
      </c>
      <c r="BH48" s="4"/>
    </row>
    <row r="49" spans="2:60" x14ac:dyDescent="0.3">
      <c r="B49" s="6"/>
      <c r="C49" s="10"/>
      <c r="D49" s="48" t="str">
        <f>IF(Tabla_Registro_Tareas5[[#This Row],[Actividad]]=Indice_Aux_Vacio,"",IFERROR(INDEX(plan!$D$4:$D$52,MATCH(Tabla_Registro_Tareas5[[#This Row],[Actividad]],plan!$C$4:$C$52,0)),""))</f>
        <v/>
      </c>
      <c r="E49" s="48" t="str">
        <f>IFERROR(INDEX(plan!$E$4:$E$52,MATCH(Tabla_Registro_Tareas5[[#This Row],[Actividad]],plan!$C$4:$C$52,0)),"")</f>
        <v/>
      </c>
      <c r="F49" s="49" t="str">
        <f>IF(Tabla_Registro_Tareas5[[#This Row],[Actividad]]=Indice_Aux_Vacio,"",Indice_PROBLAM_Estudiante5)</f>
        <v/>
      </c>
      <c r="G49" s="7"/>
      <c r="H49" s="8"/>
      <c r="I49" s="9"/>
      <c r="K49" s="12" t="str" cm="1">
        <f t="array" ref="K49">IF($B49&lt;&gt;"",TRANSPOSE(_xlfn._xlws.FILTER(plan!$C$4:$C$52, ($B49 &gt;= (plan!$J$4:$J$52-Indice_Plan_ExtensionPlazo))*($B49 &lt;= (plan!$K$4:$K$52+Indice_Plan_ExtensionPlazo)), "")), "")</f>
        <v/>
      </c>
      <c r="BH49" s="4"/>
    </row>
    <row r="50" spans="2:60" x14ac:dyDescent="0.3">
      <c r="B50" s="6"/>
      <c r="C50" s="10"/>
      <c r="D50" s="48" t="str">
        <f>IF(Tabla_Registro_Tareas5[[#This Row],[Actividad]]=Indice_Aux_Vacio,"",IFERROR(INDEX(plan!$D$4:$D$52,MATCH(Tabla_Registro_Tareas5[[#This Row],[Actividad]],plan!$C$4:$C$52,0)),""))</f>
        <v/>
      </c>
      <c r="E50" s="48" t="str">
        <f>IFERROR(INDEX(plan!$E$4:$E$52,MATCH(Tabla_Registro_Tareas5[[#This Row],[Actividad]],plan!$C$4:$C$52,0)),"")</f>
        <v/>
      </c>
      <c r="F50" s="49" t="str">
        <f>IF(Tabla_Registro_Tareas5[[#This Row],[Actividad]]=Indice_Aux_Vacio,"",Indice_PROBLAM_Estudiante5)</f>
        <v/>
      </c>
      <c r="G50" s="7"/>
      <c r="H50" s="8"/>
      <c r="I50" s="9"/>
      <c r="K50" s="12" t="str" cm="1">
        <f t="array" ref="K50">IF($B50&lt;&gt;"",TRANSPOSE(_xlfn._xlws.FILTER(plan!$C$4:$C$52, ($B50 &gt;= (plan!$J$4:$J$52-Indice_Plan_ExtensionPlazo))*($B50 &lt;= (plan!$K$4:$K$52+Indice_Plan_ExtensionPlazo)), "")), "")</f>
        <v/>
      </c>
      <c r="BH50" s="4"/>
    </row>
    <row r="51" spans="2:60" x14ac:dyDescent="0.3">
      <c r="B51" s="6"/>
      <c r="C51" s="10"/>
      <c r="D51" s="48" t="str">
        <f>IF(Tabla_Registro_Tareas5[[#This Row],[Actividad]]=Indice_Aux_Vacio,"",IFERROR(INDEX(plan!$D$4:$D$52,MATCH(Tabla_Registro_Tareas5[[#This Row],[Actividad]],plan!$C$4:$C$52,0)),""))</f>
        <v/>
      </c>
      <c r="E51" s="48" t="str">
        <f>IFERROR(INDEX(plan!$E$4:$E$52,MATCH(Tabla_Registro_Tareas5[[#This Row],[Actividad]],plan!$C$4:$C$52,0)),"")</f>
        <v/>
      </c>
      <c r="F51" s="49" t="str">
        <f>IF(Tabla_Registro_Tareas5[[#This Row],[Actividad]]=Indice_Aux_Vacio,"",Indice_PROBLAM_Estudiante5)</f>
        <v/>
      </c>
      <c r="G51" s="7"/>
      <c r="H51" s="8"/>
      <c r="I51" s="9"/>
      <c r="K51" s="12" t="str" cm="1">
        <f t="array" ref="K51">IF($B51&lt;&gt;"",TRANSPOSE(_xlfn._xlws.FILTER(plan!$C$4:$C$52, ($B51 &gt;= (plan!$J$4:$J$52-Indice_Plan_ExtensionPlazo))*($B51 &lt;= (plan!$K$4:$K$52+Indice_Plan_ExtensionPlazo)), "")), "")</f>
        <v/>
      </c>
      <c r="BH51" s="4"/>
    </row>
    <row r="52" spans="2:60" x14ac:dyDescent="0.3">
      <c r="B52" s="6"/>
      <c r="C52" s="10"/>
      <c r="D52" s="48" t="str">
        <f>IF(Tabla_Registro_Tareas5[[#This Row],[Actividad]]=Indice_Aux_Vacio,"",IFERROR(INDEX(plan!$D$4:$D$52,MATCH(Tabla_Registro_Tareas5[[#This Row],[Actividad]],plan!$C$4:$C$52,0)),""))</f>
        <v/>
      </c>
      <c r="E52" s="48" t="str">
        <f>IFERROR(INDEX(plan!$E$4:$E$52,MATCH(Tabla_Registro_Tareas5[[#This Row],[Actividad]],plan!$C$4:$C$52,0)),"")</f>
        <v/>
      </c>
      <c r="F52" s="49" t="str">
        <f>IF(Tabla_Registro_Tareas5[[#This Row],[Actividad]]=Indice_Aux_Vacio,"",Indice_PROBLAM_Estudiante5)</f>
        <v/>
      </c>
      <c r="G52" s="7"/>
      <c r="H52" s="8"/>
      <c r="I52" s="9"/>
      <c r="K52" s="12" t="str" cm="1">
        <f t="array" ref="K52">IF($B52&lt;&gt;"",TRANSPOSE(_xlfn._xlws.FILTER(plan!$C$4:$C$52, ($B52 &gt;= (plan!$J$4:$J$52-Indice_Plan_ExtensionPlazo))*($B52 &lt;= (plan!$K$4:$K$52+Indice_Plan_ExtensionPlazo)), "")), "")</f>
        <v/>
      </c>
      <c r="BH52" s="4"/>
    </row>
    <row r="53" spans="2:60" x14ac:dyDescent="0.3">
      <c r="B53" s="6"/>
      <c r="C53" s="10"/>
      <c r="D53" s="48" t="str">
        <f>IF(Tabla_Registro_Tareas5[[#This Row],[Actividad]]=Indice_Aux_Vacio,"",IFERROR(INDEX(plan!$D$4:$D$52,MATCH(Tabla_Registro_Tareas5[[#This Row],[Actividad]],plan!$C$4:$C$52,0)),""))</f>
        <v/>
      </c>
      <c r="E53" s="48" t="str">
        <f>IFERROR(INDEX(plan!$E$4:$E$52,MATCH(Tabla_Registro_Tareas5[[#This Row],[Actividad]],plan!$C$4:$C$52,0)),"")</f>
        <v/>
      </c>
      <c r="F53" s="49" t="str">
        <f>IF(Tabla_Registro_Tareas5[[#This Row],[Actividad]]=Indice_Aux_Vacio,"",Indice_PROBLAM_Estudiante5)</f>
        <v/>
      </c>
      <c r="G53" s="7"/>
      <c r="H53" s="8"/>
      <c r="I53" s="9"/>
      <c r="K53" s="12" t="str" cm="1">
        <f t="array" ref="K53">IF($B53&lt;&gt;"",TRANSPOSE(_xlfn._xlws.FILTER(plan!$C$4:$C$52, ($B53 &gt;= (plan!$J$4:$J$52-Indice_Plan_ExtensionPlazo))*($B53 &lt;= (plan!$K$4:$K$52+Indice_Plan_ExtensionPlazo)), "")), "")</f>
        <v/>
      </c>
      <c r="BH53" s="4"/>
    </row>
    <row r="54" spans="2:60" x14ac:dyDescent="0.3">
      <c r="B54" s="6"/>
      <c r="C54" s="10"/>
      <c r="D54" s="48" t="str">
        <f>IF(Tabla_Registro_Tareas5[[#This Row],[Actividad]]=Indice_Aux_Vacio,"",IFERROR(INDEX(plan!$D$4:$D$52,MATCH(Tabla_Registro_Tareas5[[#This Row],[Actividad]],plan!$C$4:$C$52,0)),""))</f>
        <v/>
      </c>
      <c r="E54" s="48" t="str">
        <f>IFERROR(INDEX(plan!$E$4:$E$52,MATCH(Tabla_Registro_Tareas5[[#This Row],[Actividad]],plan!$C$4:$C$52,0)),"")</f>
        <v/>
      </c>
      <c r="F54" s="49" t="str">
        <f>IF(Tabla_Registro_Tareas5[[#This Row],[Actividad]]=Indice_Aux_Vacio,"",Indice_PROBLAM_Estudiante5)</f>
        <v/>
      </c>
      <c r="G54" s="7"/>
      <c r="H54" s="8"/>
      <c r="I54" s="9"/>
      <c r="K54" s="12" t="str" cm="1">
        <f t="array" ref="K54">IF($B54&lt;&gt;"",TRANSPOSE(_xlfn._xlws.FILTER(plan!$C$4:$C$52, ($B54 &gt;= (plan!$J$4:$J$52-Indice_Plan_ExtensionPlazo))*($B54 &lt;= (plan!$K$4:$K$52+Indice_Plan_ExtensionPlazo)), "")), "")</f>
        <v/>
      </c>
      <c r="BH54" s="4"/>
    </row>
    <row r="55" spans="2:60" x14ac:dyDescent="0.3">
      <c r="B55" s="6"/>
      <c r="C55" s="10"/>
      <c r="D55" s="48" t="str">
        <f>IF(Tabla_Registro_Tareas5[[#This Row],[Actividad]]=Indice_Aux_Vacio,"",IFERROR(INDEX(plan!$D$4:$D$52,MATCH(Tabla_Registro_Tareas5[[#This Row],[Actividad]],plan!$C$4:$C$52,0)),""))</f>
        <v/>
      </c>
      <c r="E55" s="48" t="str">
        <f>IFERROR(INDEX(plan!$E$4:$E$52,MATCH(Tabla_Registro_Tareas5[[#This Row],[Actividad]],plan!$C$4:$C$52,0)),"")</f>
        <v/>
      </c>
      <c r="F55" s="49" t="str">
        <f>IF(Tabla_Registro_Tareas5[[#This Row],[Actividad]]=Indice_Aux_Vacio,"",Indice_PROBLAM_Estudiante5)</f>
        <v/>
      </c>
      <c r="G55" s="7"/>
      <c r="H55" s="8"/>
      <c r="I55" s="9"/>
      <c r="K55" s="12" t="str" cm="1">
        <f t="array" ref="K55">IF($B55&lt;&gt;"",TRANSPOSE(_xlfn._xlws.FILTER(plan!$C$4:$C$52, ($B55 &gt;= (plan!$J$4:$J$52-Indice_Plan_ExtensionPlazo))*($B55 &lt;= (plan!$K$4:$K$52+Indice_Plan_ExtensionPlazo)), "")), "")</f>
        <v/>
      </c>
      <c r="BH55" s="4"/>
    </row>
    <row r="56" spans="2:60" x14ac:dyDescent="0.3">
      <c r="B56" s="6"/>
      <c r="C56" s="10"/>
      <c r="D56" s="48" t="str">
        <f>IF(Tabla_Registro_Tareas5[[#This Row],[Actividad]]=Indice_Aux_Vacio,"",IFERROR(INDEX(plan!$D$4:$D$52,MATCH(Tabla_Registro_Tareas5[[#This Row],[Actividad]],plan!$C$4:$C$52,0)),""))</f>
        <v/>
      </c>
      <c r="E56" s="48" t="str">
        <f>IFERROR(INDEX(plan!$E$4:$E$52,MATCH(Tabla_Registro_Tareas5[[#This Row],[Actividad]],plan!$C$4:$C$52,0)),"")</f>
        <v/>
      </c>
      <c r="F56" s="49" t="str">
        <f>IF(Tabla_Registro_Tareas5[[#This Row],[Actividad]]=Indice_Aux_Vacio,"",Indice_PROBLAM_Estudiante5)</f>
        <v/>
      </c>
      <c r="G56" s="7"/>
      <c r="H56" s="8"/>
      <c r="I56" s="9"/>
      <c r="K56" s="12" t="str" cm="1">
        <f t="array" ref="K56">IF($B56&lt;&gt;"",TRANSPOSE(_xlfn._xlws.FILTER(plan!$C$4:$C$52, ($B56 &gt;= (plan!$J$4:$J$52-Indice_Plan_ExtensionPlazo))*($B56 &lt;= (plan!$K$4:$K$52+Indice_Plan_ExtensionPlazo)), "")), "")</f>
        <v/>
      </c>
      <c r="BH56" s="4"/>
    </row>
    <row r="57" spans="2:60" x14ac:dyDescent="0.3">
      <c r="B57" s="6"/>
      <c r="C57" s="10"/>
      <c r="D57" s="48" t="str">
        <f>IF(Tabla_Registro_Tareas5[[#This Row],[Actividad]]=Indice_Aux_Vacio,"",IFERROR(INDEX(plan!$D$4:$D$52,MATCH(Tabla_Registro_Tareas5[[#This Row],[Actividad]],plan!$C$4:$C$52,0)),""))</f>
        <v/>
      </c>
      <c r="E57" s="48" t="str">
        <f>IFERROR(INDEX(plan!$E$4:$E$52,MATCH(Tabla_Registro_Tareas5[[#This Row],[Actividad]],plan!$C$4:$C$52,0)),"")</f>
        <v/>
      </c>
      <c r="F57" s="49" t="str">
        <f>IF(Tabla_Registro_Tareas5[[#This Row],[Actividad]]=Indice_Aux_Vacio,"",Indice_PROBLAM_Estudiante5)</f>
        <v/>
      </c>
      <c r="G57" s="7"/>
      <c r="H57" s="8"/>
      <c r="I57" s="9"/>
      <c r="K57" s="12" t="str" cm="1">
        <f t="array" ref="K57">IF($B57&lt;&gt;"",TRANSPOSE(_xlfn._xlws.FILTER(plan!$C$4:$C$52, ($B57 &gt;= (plan!$J$4:$J$52-Indice_Plan_ExtensionPlazo))*($B57 &lt;= (plan!$K$4:$K$52+Indice_Plan_ExtensionPlazo)), "")), "")</f>
        <v/>
      </c>
      <c r="BH57" s="4"/>
    </row>
    <row r="58" spans="2:60" x14ac:dyDescent="0.3">
      <c r="B58" s="6"/>
      <c r="C58" s="10"/>
      <c r="D58" s="48" t="str">
        <f>IF(Tabla_Registro_Tareas5[[#This Row],[Actividad]]=Indice_Aux_Vacio,"",IFERROR(INDEX(plan!$D$4:$D$52,MATCH(Tabla_Registro_Tareas5[[#This Row],[Actividad]],plan!$C$4:$C$52,0)),""))</f>
        <v/>
      </c>
      <c r="E58" s="48" t="str">
        <f>IFERROR(INDEX(plan!$E$4:$E$52,MATCH(Tabla_Registro_Tareas5[[#This Row],[Actividad]],plan!$C$4:$C$52,0)),"")</f>
        <v/>
      </c>
      <c r="F58" s="49" t="str">
        <f>IF(Tabla_Registro_Tareas5[[#This Row],[Actividad]]=Indice_Aux_Vacio,"",Indice_PROBLAM_Estudiante5)</f>
        <v/>
      </c>
      <c r="G58" s="7"/>
      <c r="H58" s="8"/>
      <c r="I58" s="9"/>
      <c r="K58" s="12" t="str" cm="1">
        <f t="array" ref="K58">IF($B58&lt;&gt;"",TRANSPOSE(_xlfn._xlws.FILTER(plan!$C$4:$C$52, ($B58 &gt;= (plan!$J$4:$J$52-Indice_Plan_ExtensionPlazo))*($B58 &lt;= (plan!$K$4:$K$52+Indice_Plan_ExtensionPlazo)), "")), "")</f>
        <v/>
      </c>
      <c r="BH58" s="4"/>
    </row>
    <row r="59" spans="2:60" x14ac:dyDescent="0.3">
      <c r="B59" s="6"/>
      <c r="C59" s="10"/>
      <c r="D59" s="48" t="str">
        <f>IF(Tabla_Registro_Tareas5[[#This Row],[Actividad]]=Indice_Aux_Vacio,"",IFERROR(INDEX(plan!$D$4:$D$52,MATCH(Tabla_Registro_Tareas5[[#This Row],[Actividad]],plan!$C$4:$C$52,0)),""))</f>
        <v/>
      </c>
      <c r="E59" s="48" t="str">
        <f>IFERROR(INDEX(plan!$E$4:$E$52,MATCH(Tabla_Registro_Tareas5[[#This Row],[Actividad]],plan!$C$4:$C$52,0)),"")</f>
        <v/>
      </c>
      <c r="F59" s="49" t="str">
        <f>IF(Tabla_Registro_Tareas5[[#This Row],[Actividad]]=Indice_Aux_Vacio,"",Indice_PROBLAM_Estudiante5)</f>
        <v/>
      </c>
      <c r="G59" s="7"/>
      <c r="H59" s="8"/>
      <c r="I59" s="9"/>
      <c r="K59" s="12" t="str" cm="1">
        <f t="array" ref="K59">IF($B59&lt;&gt;"",TRANSPOSE(_xlfn._xlws.FILTER(plan!$C$4:$C$52, ($B59 &gt;= (plan!$J$4:$J$52-Indice_Plan_ExtensionPlazo))*($B59 &lt;= (plan!$K$4:$K$52+Indice_Plan_ExtensionPlazo)), "")), "")</f>
        <v/>
      </c>
      <c r="BH59" s="4"/>
    </row>
    <row r="60" spans="2:60" x14ac:dyDescent="0.3">
      <c r="B60" s="6"/>
      <c r="C60" s="10"/>
      <c r="D60" s="48" t="str">
        <f>IF(Tabla_Registro_Tareas5[[#This Row],[Actividad]]=Indice_Aux_Vacio,"",IFERROR(INDEX(plan!$D$4:$D$52,MATCH(Tabla_Registro_Tareas5[[#This Row],[Actividad]],plan!$C$4:$C$52,0)),""))</f>
        <v/>
      </c>
      <c r="E60" s="48" t="str">
        <f>IFERROR(INDEX(plan!$E$4:$E$52,MATCH(Tabla_Registro_Tareas5[[#This Row],[Actividad]],plan!$C$4:$C$52,0)),"")</f>
        <v/>
      </c>
      <c r="F60" s="49" t="str">
        <f>IF(Tabla_Registro_Tareas5[[#This Row],[Actividad]]=Indice_Aux_Vacio,"",Indice_PROBLAM_Estudiante5)</f>
        <v/>
      </c>
      <c r="G60" s="7"/>
      <c r="H60" s="8"/>
      <c r="I60" s="9"/>
      <c r="K60" s="12" t="str" cm="1">
        <f t="array" ref="K60">IF($B60&lt;&gt;"",TRANSPOSE(_xlfn._xlws.FILTER(plan!$C$4:$C$52, ($B60 &gt;= (plan!$J$4:$J$52-Indice_Plan_ExtensionPlazo))*($B60 &lt;= (plan!$K$4:$K$52+Indice_Plan_ExtensionPlazo)), "")), "")</f>
        <v/>
      </c>
      <c r="BH60" s="4"/>
    </row>
    <row r="61" spans="2:60" x14ac:dyDescent="0.3">
      <c r="B61" s="6"/>
      <c r="C61" s="10"/>
      <c r="D61" s="48" t="str">
        <f>IF(Tabla_Registro_Tareas5[[#This Row],[Actividad]]=Indice_Aux_Vacio,"",IFERROR(INDEX(plan!$D$4:$D$52,MATCH(Tabla_Registro_Tareas5[[#This Row],[Actividad]],plan!$C$4:$C$52,0)),""))</f>
        <v/>
      </c>
      <c r="E61" s="48" t="str">
        <f>IFERROR(INDEX(plan!$E$4:$E$52,MATCH(Tabla_Registro_Tareas5[[#This Row],[Actividad]],plan!$C$4:$C$52,0)),"")</f>
        <v/>
      </c>
      <c r="F61" s="49" t="str">
        <f>IF(Tabla_Registro_Tareas5[[#This Row],[Actividad]]=Indice_Aux_Vacio,"",Indice_PROBLAM_Estudiante5)</f>
        <v/>
      </c>
      <c r="G61" s="7"/>
      <c r="H61" s="8"/>
      <c r="I61" s="9"/>
      <c r="K61" s="12" t="str" cm="1">
        <f t="array" ref="K61">IF($B61&lt;&gt;"",TRANSPOSE(_xlfn._xlws.FILTER(plan!$C$4:$C$52, ($B61 &gt;= (plan!$J$4:$J$52-Indice_Plan_ExtensionPlazo))*($B61 &lt;= (plan!$K$4:$K$52+Indice_Plan_ExtensionPlazo)), "")), "")</f>
        <v/>
      </c>
      <c r="BH61" s="4"/>
    </row>
    <row r="62" spans="2:60" x14ac:dyDescent="0.3">
      <c r="B62" s="6"/>
      <c r="C62" s="10"/>
      <c r="D62" s="48" t="str">
        <f>IF(Tabla_Registro_Tareas5[[#This Row],[Actividad]]=Indice_Aux_Vacio,"",IFERROR(INDEX(plan!$D$4:$D$52,MATCH(Tabla_Registro_Tareas5[[#This Row],[Actividad]],plan!$C$4:$C$52,0)),""))</f>
        <v/>
      </c>
      <c r="E62" s="48" t="str">
        <f>IFERROR(INDEX(plan!$E$4:$E$52,MATCH(Tabla_Registro_Tareas5[[#This Row],[Actividad]],plan!$C$4:$C$52,0)),"")</f>
        <v/>
      </c>
      <c r="F62" s="49" t="str">
        <f>IF(Tabla_Registro_Tareas5[[#This Row],[Actividad]]=Indice_Aux_Vacio,"",Indice_PROBLAM_Estudiante5)</f>
        <v/>
      </c>
      <c r="G62" s="7"/>
      <c r="H62" s="8"/>
      <c r="I62" s="9"/>
      <c r="K62" s="12" t="str" cm="1">
        <f t="array" ref="K62">IF($B62&lt;&gt;"",TRANSPOSE(_xlfn._xlws.FILTER(plan!$C$4:$C$52, ($B62 &gt;= (plan!$J$4:$J$52-Indice_Plan_ExtensionPlazo))*($B62 &lt;= (plan!$K$4:$K$52+Indice_Plan_ExtensionPlazo)), "")), "")</f>
        <v/>
      </c>
      <c r="BH62" s="4"/>
    </row>
    <row r="63" spans="2:60" x14ac:dyDescent="0.3">
      <c r="B63" s="6"/>
      <c r="C63" s="10"/>
      <c r="D63" s="48" t="str">
        <f>IF(Tabla_Registro_Tareas5[[#This Row],[Actividad]]=Indice_Aux_Vacio,"",IFERROR(INDEX(plan!$D$4:$D$52,MATCH(Tabla_Registro_Tareas5[[#This Row],[Actividad]],plan!$C$4:$C$52,0)),""))</f>
        <v/>
      </c>
      <c r="E63" s="48" t="str">
        <f>IFERROR(INDEX(plan!$E$4:$E$52,MATCH(Tabla_Registro_Tareas5[[#This Row],[Actividad]],plan!$C$4:$C$52,0)),"")</f>
        <v/>
      </c>
      <c r="F63" s="49" t="str">
        <f>IF(Tabla_Registro_Tareas5[[#This Row],[Actividad]]=Indice_Aux_Vacio,"",Indice_PROBLAM_Estudiante5)</f>
        <v/>
      </c>
      <c r="G63" s="7"/>
      <c r="H63" s="8"/>
      <c r="I63" s="9"/>
      <c r="K63" s="12" t="str" cm="1">
        <f t="array" ref="K63">IF($B63&lt;&gt;"",TRANSPOSE(_xlfn._xlws.FILTER(plan!$C$4:$C$52, ($B63 &gt;= (plan!$J$4:$J$52-Indice_Plan_ExtensionPlazo))*($B63 &lt;= (plan!$K$4:$K$52+Indice_Plan_ExtensionPlazo)), "")), "")</f>
        <v/>
      </c>
      <c r="BH63" s="4"/>
    </row>
    <row r="64" spans="2:60" x14ac:dyDescent="0.3">
      <c r="B64" s="6"/>
      <c r="C64" s="10"/>
      <c r="D64" s="48" t="str">
        <f>IF(Tabla_Registro_Tareas5[[#This Row],[Actividad]]=Indice_Aux_Vacio,"",IFERROR(INDEX(plan!$D$4:$D$52,MATCH(Tabla_Registro_Tareas5[[#This Row],[Actividad]],plan!$C$4:$C$52,0)),""))</f>
        <v/>
      </c>
      <c r="E64" s="48" t="str">
        <f>IFERROR(INDEX(plan!$E$4:$E$52,MATCH(Tabla_Registro_Tareas5[[#This Row],[Actividad]],plan!$C$4:$C$52,0)),"")</f>
        <v/>
      </c>
      <c r="F64" s="49" t="str">
        <f>IF(Tabla_Registro_Tareas5[[#This Row],[Actividad]]=Indice_Aux_Vacio,"",Indice_PROBLAM_Estudiante5)</f>
        <v/>
      </c>
      <c r="G64" s="7"/>
      <c r="H64" s="8"/>
      <c r="I64" s="9"/>
      <c r="K64" s="12" t="str" cm="1">
        <f t="array" ref="K64">IF($B64&lt;&gt;"",TRANSPOSE(_xlfn._xlws.FILTER(plan!$C$4:$C$52, ($B64 &gt;= (plan!$J$4:$J$52-Indice_Plan_ExtensionPlazo))*($B64 &lt;= (plan!$K$4:$K$52+Indice_Plan_ExtensionPlazo)), "")), "")</f>
        <v/>
      </c>
      <c r="BH64" s="4"/>
    </row>
    <row r="65" spans="2:60" x14ac:dyDescent="0.3">
      <c r="B65" s="6"/>
      <c r="C65" s="10"/>
      <c r="D65" s="48" t="str">
        <f>IF(Tabla_Registro_Tareas5[[#This Row],[Actividad]]=Indice_Aux_Vacio,"",IFERROR(INDEX(plan!$D$4:$D$52,MATCH(Tabla_Registro_Tareas5[[#This Row],[Actividad]],plan!$C$4:$C$52,0)),""))</f>
        <v/>
      </c>
      <c r="E65" s="48" t="str">
        <f>IFERROR(INDEX(plan!$E$4:$E$52,MATCH(Tabla_Registro_Tareas5[[#This Row],[Actividad]],plan!$C$4:$C$52,0)),"")</f>
        <v/>
      </c>
      <c r="F65" s="49" t="str">
        <f>IF(Tabla_Registro_Tareas5[[#This Row],[Actividad]]=Indice_Aux_Vacio,"",Indice_PROBLAM_Estudiante5)</f>
        <v/>
      </c>
      <c r="G65" s="7"/>
      <c r="H65" s="8"/>
      <c r="I65" s="9"/>
      <c r="K65" s="12" t="str" cm="1">
        <f t="array" ref="K65">IF($B65&lt;&gt;"",TRANSPOSE(_xlfn._xlws.FILTER(plan!$C$4:$C$52, ($B65 &gt;= (plan!$J$4:$J$52-Indice_Plan_ExtensionPlazo))*($B65 &lt;= (plan!$K$4:$K$52+Indice_Plan_ExtensionPlazo)), "")), "")</f>
        <v/>
      </c>
      <c r="BH65" s="4"/>
    </row>
    <row r="66" spans="2:60" x14ac:dyDescent="0.3">
      <c r="B66" s="6"/>
      <c r="C66" s="10"/>
      <c r="D66" s="48" t="str">
        <f>IF(Tabla_Registro_Tareas5[[#This Row],[Actividad]]=Indice_Aux_Vacio,"",IFERROR(INDEX(plan!$D$4:$D$52,MATCH(Tabla_Registro_Tareas5[[#This Row],[Actividad]],plan!$C$4:$C$52,0)),""))</f>
        <v/>
      </c>
      <c r="E66" s="48" t="str">
        <f>IFERROR(INDEX(plan!$E$4:$E$52,MATCH(Tabla_Registro_Tareas5[[#This Row],[Actividad]],plan!$C$4:$C$52,0)),"")</f>
        <v/>
      </c>
      <c r="F66" s="49" t="str">
        <f>IF(Tabla_Registro_Tareas5[[#This Row],[Actividad]]=Indice_Aux_Vacio,"",Indice_PROBLAM_Estudiante5)</f>
        <v/>
      </c>
      <c r="G66" s="7"/>
      <c r="H66" s="8"/>
      <c r="I66" s="9"/>
      <c r="K66" s="12" t="str" cm="1">
        <f t="array" ref="K66">IF($B66&lt;&gt;"",TRANSPOSE(_xlfn._xlws.FILTER(plan!$C$4:$C$52, ($B66 &gt;= (plan!$J$4:$J$52-Indice_Plan_ExtensionPlazo))*($B66 &lt;= (plan!$K$4:$K$52+Indice_Plan_ExtensionPlazo)), "")), "")</f>
        <v/>
      </c>
      <c r="BH66" s="4"/>
    </row>
    <row r="67" spans="2:60" x14ac:dyDescent="0.3">
      <c r="B67" s="6"/>
      <c r="C67" s="10"/>
      <c r="D67" s="48" t="str">
        <f>IF(Tabla_Registro_Tareas5[[#This Row],[Actividad]]=Indice_Aux_Vacio,"",IFERROR(INDEX(plan!$D$4:$D$52,MATCH(Tabla_Registro_Tareas5[[#This Row],[Actividad]],plan!$C$4:$C$52,0)),""))</f>
        <v/>
      </c>
      <c r="E67" s="48" t="str">
        <f>IFERROR(INDEX(plan!$E$4:$E$52,MATCH(Tabla_Registro_Tareas5[[#This Row],[Actividad]],plan!$C$4:$C$52,0)),"")</f>
        <v/>
      </c>
      <c r="F67" s="49" t="str">
        <f>IF(Tabla_Registro_Tareas5[[#This Row],[Actividad]]=Indice_Aux_Vacio,"",Indice_PROBLAM_Estudiante5)</f>
        <v/>
      </c>
      <c r="G67" s="7"/>
      <c r="H67" s="8"/>
      <c r="I67" s="9"/>
      <c r="K67" s="12" t="str" cm="1">
        <f t="array" ref="K67">IF($B67&lt;&gt;"",TRANSPOSE(_xlfn._xlws.FILTER(plan!$C$4:$C$52, ($B67 &gt;= (plan!$J$4:$J$52-Indice_Plan_ExtensionPlazo))*($B67 &lt;= (plan!$K$4:$K$52+Indice_Plan_ExtensionPlazo)), "")), "")</f>
        <v/>
      </c>
      <c r="BH67" s="4"/>
    </row>
    <row r="68" spans="2:60" x14ac:dyDescent="0.3">
      <c r="B68" s="6"/>
      <c r="C68" s="10"/>
      <c r="D68" s="48" t="str">
        <f>IF(Tabla_Registro_Tareas5[[#This Row],[Actividad]]=Indice_Aux_Vacio,"",IFERROR(INDEX(plan!$D$4:$D$52,MATCH(Tabla_Registro_Tareas5[[#This Row],[Actividad]],plan!$C$4:$C$52,0)),""))</f>
        <v/>
      </c>
      <c r="E68" s="48" t="str">
        <f>IFERROR(INDEX(plan!$E$4:$E$52,MATCH(Tabla_Registro_Tareas5[[#This Row],[Actividad]],plan!$C$4:$C$52,0)),"")</f>
        <v/>
      </c>
      <c r="F68" s="49" t="str">
        <f>IF(Tabla_Registro_Tareas5[[#This Row],[Actividad]]=Indice_Aux_Vacio,"",Indice_PROBLAM_Estudiante5)</f>
        <v/>
      </c>
      <c r="G68" s="7"/>
      <c r="H68" s="8"/>
      <c r="I68" s="9"/>
      <c r="K68" s="12" t="str" cm="1">
        <f t="array" ref="K68">IF($B68&lt;&gt;"",TRANSPOSE(_xlfn._xlws.FILTER(plan!$C$4:$C$52, ($B68 &gt;= (plan!$J$4:$J$52-Indice_Plan_ExtensionPlazo))*($B68 &lt;= (plan!$K$4:$K$52+Indice_Plan_ExtensionPlazo)), "")), "")</f>
        <v/>
      </c>
      <c r="BH68" s="4"/>
    </row>
    <row r="69" spans="2:60" x14ac:dyDescent="0.3">
      <c r="B69" s="6"/>
      <c r="C69" s="10"/>
      <c r="D69" s="48" t="str">
        <f>IF(Tabla_Registro_Tareas5[[#This Row],[Actividad]]=Indice_Aux_Vacio,"",IFERROR(INDEX(plan!$D$4:$D$52,MATCH(Tabla_Registro_Tareas5[[#This Row],[Actividad]],plan!$C$4:$C$52,0)),""))</f>
        <v/>
      </c>
      <c r="E69" s="48" t="str">
        <f>IFERROR(INDEX(plan!$E$4:$E$52,MATCH(Tabla_Registro_Tareas5[[#This Row],[Actividad]],plan!$C$4:$C$52,0)),"")</f>
        <v/>
      </c>
      <c r="F69" s="49" t="str">
        <f>IF(Tabla_Registro_Tareas5[[#This Row],[Actividad]]=Indice_Aux_Vacio,"",Indice_PROBLAM_Estudiante5)</f>
        <v/>
      </c>
      <c r="G69" s="7"/>
      <c r="H69" s="8"/>
      <c r="I69" s="9"/>
      <c r="K69" s="12" t="str" cm="1">
        <f t="array" ref="K69">IF($B69&lt;&gt;"",TRANSPOSE(_xlfn._xlws.FILTER(plan!$C$4:$C$52, ($B69 &gt;= (plan!$J$4:$J$52-Indice_Plan_ExtensionPlazo))*($B69 &lt;= (plan!$K$4:$K$52+Indice_Plan_ExtensionPlazo)), "")), "")</f>
        <v/>
      </c>
      <c r="BH69" s="4"/>
    </row>
    <row r="70" spans="2:60" x14ac:dyDescent="0.3">
      <c r="B70" s="6"/>
      <c r="C70" s="10"/>
      <c r="D70" s="48" t="str">
        <f>IF(Tabla_Registro_Tareas5[[#This Row],[Actividad]]=Indice_Aux_Vacio,"",IFERROR(INDEX(plan!$D$4:$D$52,MATCH(Tabla_Registro_Tareas5[[#This Row],[Actividad]],plan!$C$4:$C$52,0)),""))</f>
        <v/>
      </c>
      <c r="E70" s="48" t="str">
        <f>IFERROR(INDEX(plan!$E$4:$E$52,MATCH(Tabla_Registro_Tareas5[[#This Row],[Actividad]],plan!$C$4:$C$52,0)),"")</f>
        <v/>
      </c>
      <c r="F70" s="49" t="str">
        <f>IF(Tabla_Registro_Tareas5[[#This Row],[Actividad]]=Indice_Aux_Vacio,"",Indice_PROBLAM_Estudiante5)</f>
        <v/>
      </c>
      <c r="G70" s="7"/>
      <c r="H70" s="8"/>
      <c r="I70" s="9"/>
      <c r="K70" s="12" t="str" cm="1">
        <f t="array" ref="K70">IF($B70&lt;&gt;"",TRANSPOSE(_xlfn._xlws.FILTER(plan!$C$4:$C$52, ($B70 &gt;= (plan!$J$4:$J$52-Indice_Plan_ExtensionPlazo))*($B70 &lt;= (plan!$K$4:$K$52+Indice_Plan_ExtensionPlazo)), "")), "")</f>
        <v/>
      </c>
      <c r="BH70" s="4"/>
    </row>
    <row r="71" spans="2:60" x14ac:dyDescent="0.3">
      <c r="B71" s="6"/>
      <c r="C71" s="10"/>
      <c r="D71" s="48" t="str">
        <f>IF(Tabla_Registro_Tareas5[[#This Row],[Actividad]]=Indice_Aux_Vacio,"",IFERROR(INDEX(plan!$D$4:$D$52,MATCH(Tabla_Registro_Tareas5[[#This Row],[Actividad]],plan!$C$4:$C$52,0)),""))</f>
        <v/>
      </c>
      <c r="E71" s="48" t="str">
        <f>IFERROR(INDEX(plan!$E$4:$E$52,MATCH(Tabla_Registro_Tareas5[[#This Row],[Actividad]],plan!$C$4:$C$52,0)),"")</f>
        <v/>
      </c>
      <c r="F71" s="49" t="str">
        <f>IF(Tabla_Registro_Tareas5[[#This Row],[Actividad]]=Indice_Aux_Vacio,"",Indice_PROBLAM_Estudiante5)</f>
        <v/>
      </c>
      <c r="G71" s="7"/>
      <c r="H71" s="8"/>
      <c r="I71" s="9"/>
      <c r="K71" s="12" t="str" cm="1">
        <f t="array" ref="K71">IF($B71&lt;&gt;"",TRANSPOSE(_xlfn._xlws.FILTER(plan!$C$4:$C$52, ($B71 &gt;= (plan!$J$4:$J$52-Indice_Plan_ExtensionPlazo))*($B71 &lt;= (plan!$K$4:$K$52+Indice_Plan_ExtensionPlazo)), "")), "")</f>
        <v/>
      </c>
      <c r="BH71" s="4"/>
    </row>
    <row r="72" spans="2:60" x14ac:dyDescent="0.3">
      <c r="B72" s="6"/>
      <c r="C72" s="10"/>
      <c r="D72" s="48" t="str">
        <f>IF(Tabla_Registro_Tareas5[[#This Row],[Actividad]]=Indice_Aux_Vacio,"",IFERROR(INDEX(plan!$D$4:$D$52,MATCH(Tabla_Registro_Tareas5[[#This Row],[Actividad]],plan!$C$4:$C$52,0)),""))</f>
        <v/>
      </c>
      <c r="E72" s="48" t="str">
        <f>IFERROR(INDEX(plan!$E$4:$E$52,MATCH(Tabla_Registro_Tareas5[[#This Row],[Actividad]],plan!$C$4:$C$52,0)),"")</f>
        <v/>
      </c>
      <c r="F72" s="49" t="str">
        <f>IF(Tabla_Registro_Tareas5[[#This Row],[Actividad]]=Indice_Aux_Vacio,"",Indice_PROBLAM_Estudiante5)</f>
        <v/>
      </c>
      <c r="G72" s="7"/>
      <c r="H72" s="8"/>
      <c r="I72" s="9"/>
      <c r="K72" s="12" t="str" cm="1">
        <f t="array" ref="K72">IF($B72&lt;&gt;"",TRANSPOSE(_xlfn._xlws.FILTER(plan!$C$4:$C$52, ($B72 &gt;= (plan!$J$4:$J$52-Indice_Plan_ExtensionPlazo))*($B72 &lt;= (plan!$K$4:$K$52+Indice_Plan_ExtensionPlazo)), "")), "")</f>
        <v/>
      </c>
      <c r="BH72" s="4"/>
    </row>
    <row r="73" spans="2:60" x14ac:dyDescent="0.3">
      <c r="B73" s="6"/>
      <c r="C73" s="10"/>
      <c r="D73" s="48" t="str">
        <f>IF(Tabla_Registro_Tareas5[[#This Row],[Actividad]]=Indice_Aux_Vacio,"",IFERROR(INDEX(plan!$D$4:$D$52,MATCH(Tabla_Registro_Tareas5[[#This Row],[Actividad]],plan!$C$4:$C$52,0)),""))</f>
        <v/>
      </c>
      <c r="E73" s="48" t="str">
        <f>IFERROR(INDEX(plan!$E$4:$E$52,MATCH(Tabla_Registro_Tareas5[[#This Row],[Actividad]],plan!$C$4:$C$52,0)),"")</f>
        <v/>
      </c>
      <c r="F73" s="49" t="str">
        <f>IF(Tabla_Registro_Tareas5[[#This Row],[Actividad]]=Indice_Aux_Vacio,"",Indice_PROBLAM_Estudiante5)</f>
        <v/>
      </c>
      <c r="G73" s="7"/>
      <c r="H73" s="8"/>
      <c r="I73" s="9"/>
      <c r="K73" s="12" t="str" cm="1">
        <f t="array" ref="K73">IF($B73&lt;&gt;"",TRANSPOSE(_xlfn._xlws.FILTER(plan!$C$4:$C$52, ($B73 &gt;= (plan!$J$4:$J$52-Indice_Plan_ExtensionPlazo))*($B73 &lt;= (plan!$K$4:$K$52+Indice_Plan_ExtensionPlazo)), "")), "")</f>
        <v/>
      </c>
      <c r="BH73" s="4"/>
    </row>
    <row r="74" spans="2:60" x14ac:dyDescent="0.3">
      <c r="B74" s="6"/>
      <c r="C74" s="10"/>
      <c r="D74" s="48" t="str">
        <f>IF(Tabla_Registro_Tareas5[[#This Row],[Actividad]]=Indice_Aux_Vacio,"",IFERROR(INDEX(plan!$D$4:$D$52,MATCH(Tabla_Registro_Tareas5[[#This Row],[Actividad]],plan!$C$4:$C$52,0)),""))</f>
        <v/>
      </c>
      <c r="E74" s="48" t="str">
        <f>IFERROR(INDEX(plan!$E$4:$E$52,MATCH(Tabla_Registro_Tareas5[[#This Row],[Actividad]],plan!$C$4:$C$52,0)),"")</f>
        <v/>
      </c>
      <c r="F74" s="49" t="str">
        <f>IF(Tabla_Registro_Tareas5[[#This Row],[Actividad]]=Indice_Aux_Vacio,"",Indice_PROBLAM_Estudiante5)</f>
        <v/>
      </c>
      <c r="G74" s="7"/>
      <c r="H74" s="8"/>
      <c r="I74" s="9"/>
      <c r="K74" s="12" t="str" cm="1">
        <f t="array" ref="K74">IF($B74&lt;&gt;"",TRANSPOSE(_xlfn._xlws.FILTER(plan!$C$4:$C$52, ($B74 &gt;= (plan!$J$4:$J$52-Indice_Plan_ExtensionPlazo))*($B74 &lt;= (plan!$K$4:$K$52+Indice_Plan_ExtensionPlazo)), "")), "")</f>
        <v/>
      </c>
      <c r="BH74" s="4"/>
    </row>
    <row r="75" spans="2:60" x14ac:dyDescent="0.3">
      <c r="B75" s="6"/>
      <c r="C75" s="10"/>
      <c r="D75" s="48" t="str">
        <f>IF(Tabla_Registro_Tareas5[[#This Row],[Actividad]]=Indice_Aux_Vacio,"",IFERROR(INDEX(plan!$D$4:$D$52,MATCH(Tabla_Registro_Tareas5[[#This Row],[Actividad]],plan!$C$4:$C$52,0)),""))</f>
        <v/>
      </c>
      <c r="E75" s="48" t="str">
        <f>IFERROR(INDEX(plan!$E$4:$E$52,MATCH(Tabla_Registro_Tareas5[[#This Row],[Actividad]],plan!$C$4:$C$52,0)),"")</f>
        <v/>
      </c>
      <c r="F75" s="49" t="str">
        <f>IF(Tabla_Registro_Tareas5[[#This Row],[Actividad]]=Indice_Aux_Vacio,"",Indice_PROBLAM_Estudiante5)</f>
        <v/>
      </c>
      <c r="G75" s="7"/>
      <c r="H75" s="8"/>
      <c r="I75" s="9"/>
      <c r="K75" s="12" t="str" cm="1">
        <f t="array" ref="K75">IF($B75&lt;&gt;"",TRANSPOSE(_xlfn._xlws.FILTER(plan!$C$4:$C$52, ($B75 &gt;= (plan!$J$4:$J$52-Indice_Plan_ExtensionPlazo))*($B75 &lt;= (plan!$K$4:$K$52+Indice_Plan_ExtensionPlazo)), "")), "")</f>
        <v/>
      </c>
      <c r="BH75" s="4"/>
    </row>
    <row r="76" spans="2:60" x14ac:dyDescent="0.3">
      <c r="B76" s="6"/>
      <c r="C76" s="10"/>
      <c r="D76" s="48" t="str">
        <f>IF(Tabla_Registro_Tareas5[[#This Row],[Actividad]]=Indice_Aux_Vacio,"",IFERROR(INDEX(plan!$D$4:$D$52,MATCH(Tabla_Registro_Tareas5[[#This Row],[Actividad]],plan!$C$4:$C$52,0)),""))</f>
        <v/>
      </c>
      <c r="E76" s="48" t="str">
        <f>IFERROR(INDEX(plan!$E$4:$E$52,MATCH(Tabla_Registro_Tareas5[[#This Row],[Actividad]],plan!$C$4:$C$52,0)),"")</f>
        <v/>
      </c>
      <c r="F76" s="49" t="str">
        <f>IF(Tabla_Registro_Tareas5[[#This Row],[Actividad]]=Indice_Aux_Vacio,"",Indice_PROBLAM_Estudiante5)</f>
        <v/>
      </c>
      <c r="G76" s="7"/>
      <c r="H76" s="8"/>
      <c r="I76" s="9"/>
      <c r="K76" s="12" t="str" cm="1">
        <f t="array" ref="K76">IF($B76&lt;&gt;"",TRANSPOSE(_xlfn._xlws.FILTER(plan!$C$4:$C$52, ($B76 &gt;= (plan!$J$4:$J$52-Indice_Plan_ExtensionPlazo))*($B76 &lt;= (plan!$K$4:$K$52+Indice_Plan_ExtensionPlazo)), "")), "")</f>
        <v/>
      </c>
      <c r="BH76" s="4"/>
    </row>
    <row r="77" spans="2:60" x14ac:dyDescent="0.3">
      <c r="B77" s="6"/>
      <c r="C77" s="10"/>
      <c r="D77" s="48" t="str">
        <f>IF(Tabla_Registro_Tareas5[[#This Row],[Actividad]]=Indice_Aux_Vacio,"",IFERROR(INDEX(plan!$D$4:$D$52,MATCH(Tabla_Registro_Tareas5[[#This Row],[Actividad]],plan!$C$4:$C$52,0)),""))</f>
        <v/>
      </c>
      <c r="E77" s="48" t="str">
        <f>IFERROR(INDEX(plan!$E$4:$E$52,MATCH(Tabla_Registro_Tareas5[[#This Row],[Actividad]],plan!$C$4:$C$52,0)),"")</f>
        <v/>
      </c>
      <c r="F77" s="49" t="str">
        <f>IF(Tabla_Registro_Tareas5[[#This Row],[Actividad]]=Indice_Aux_Vacio,"",Indice_PROBLAM_Estudiante5)</f>
        <v/>
      </c>
      <c r="G77" s="7"/>
      <c r="H77" s="8"/>
      <c r="I77" s="9"/>
      <c r="K77" s="12" t="str" cm="1">
        <f t="array" ref="K77">IF($B77&lt;&gt;"",TRANSPOSE(_xlfn._xlws.FILTER(plan!$C$4:$C$52, ($B77 &gt;= (plan!$J$4:$J$52-Indice_Plan_ExtensionPlazo))*($B77 &lt;= (plan!$K$4:$K$52+Indice_Plan_ExtensionPlazo)), "")), "")</f>
        <v/>
      </c>
      <c r="BH77" s="4"/>
    </row>
    <row r="78" spans="2:60" x14ac:dyDescent="0.3">
      <c r="B78" s="6"/>
      <c r="C78" s="10"/>
      <c r="D78" s="48" t="str">
        <f>IF(Tabla_Registro_Tareas5[[#This Row],[Actividad]]=Indice_Aux_Vacio,"",IFERROR(INDEX(plan!$D$4:$D$52,MATCH(Tabla_Registro_Tareas5[[#This Row],[Actividad]],plan!$C$4:$C$52,0)),""))</f>
        <v/>
      </c>
      <c r="E78" s="48" t="str">
        <f>IFERROR(INDEX(plan!$E$4:$E$52,MATCH(Tabla_Registro_Tareas5[[#This Row],[Actividad]],plan!$C$4:$C$52,0)),"")</f>
        <v/>
      </c>
      <c r="F78" s="49" t="str">
        <f>IF(Tabla_Registro_Tareas5[[#This Row],[Actividad]]=Indice_Aux_Vacio,"",Indice_PROBLAM_Estudiante5)</f>
        <v/>
      </c>
      <c r="G78" s="7"/>
      <c r="H78" s="8"/>
      <c r="I78" s="9"/>
      <c r="K78" s="12" t="str" cm="1">
        <f t="array" ref="K78">IF($B78&lt;&gt;"",TRANSPOSE(_xlfn._xlws.FILTER(plan!$C$4:$C$52, ($B78 &gt;= (plan!$J$4:$J$52-Indice_Plan_ExtensionPlazo))*($B78 &lt;= (plan!$K$4:$K$52+Indice_Plan_ExtensionPlazo)), "")), "")</f>
        <v/>
      </c>
      <c r="BH78" s="4"/>
    </row>
    <row r="79" spans="2:60" x14ac:dyDescent="0.3">
      <c r="B79" s="6"/>
      <c r="C79" s="10"/>
      <c r="D79" s="48" t="str">
        <f>IF(Tabla_Registro_Tareas5[[#This Row],[Actividad]]=Indice_Aux_Vacio,"",IFERROR(INDEX(plan!$D$4:$D$52,MATCH(Tabla_Registro_Tareas5[[#This Row],[Actividad]],plan!$C$4:$C$52,0)),""))</f>
        <v/>
      </c>
      <c r="E79" s="48" t="str">
        <f>IFERROR(INDEX(plan!$E$4:$E$52,MATCH(Tabla_Registro_Tareas5[[#This Row],[Actividad]],plan!$C$4:$C$52,0)),"")</f>
        <v/>
      </c>
      <c r="F79" s="49" t="str">
        <f>IF(Tabla_Registro_Tareas5[[#This Row],[Actividad]]=Indice_Aux_Vacio,"",Indice_PROBLAM_Estudiante5)</f>
        <v/>
      </c>
      <c r="G79" s="7"/>
      <c r="H79" s="8"/>
      <c r="I79" s="9"/>
      <c r="K79" s="12" t="str" cm="1">
        <f t="array" ref="K79">IF($B79&lt;&gt;"",TRANSPOSE(_xlfn._xlws.FILTER(plan!$C$4:$C$52, ($B79 &gt;= (plan!$J$4:$J$52-Indice_Plan_ExtensionPlazo))*($B79 &lt;= (plan!$K$4:$K$52+Indice_Plan_ExtensionPlazo)), "")), "")</f>
        <v/>
      </c>
      <c r="BH79" s="4"/>
    </row>
    <row r="80" spans="2:60" x14ac:dyDescent="0.3">
      <c r="B80" s="6"/>
      <c r="C80" s="10"/>
      <c r="D80" s="48" t="str">
        <f>IF(Tabla_Registro_Tareas5[[#This Row],[Actividad]]=Indice_Aux_Vacio,"",IFERROR(INDEX(plan!$D$4:$D$52,MATCH(Tabla_Registro_Tareas5[[#This Row],[Actividad]],plan!$C$4:$C$52,0)),""))</f>
        <v/>
      </c>
      <c r="E80" s="48" t="str">
        <f>IFERROR(INDEX(plan!$E$4:$E$52,MATCH(Tabla_Registro_Tareas5[[#This Row],[Actividad]],plan!$C$4:$C$52,0)),"")</f>
        <v/>
      </c>
      <c r="F80" s="49" t="str">
        <f>IF(Tabla_Registro_Tareas5[[#This Row],[Actividad]]=Indice_Aux_Vacio,"",Indice_PROBLAM_Estudiante5)</f>
        <v/>
      </c>
      <c r="G80" s="7"/>
      <c r="H80" s="8"/>
      <c r="I80" s="9"/>
      <c r="K80" s="12" t="str" cm="1">
        <f t="array" ref="K80">IF($B80&lt;&gt;"",TRANSPOSE(_xlfn._xlws.FILTER(plan!$C$4:$C$52, ($B80 &gt;= (plan!$J$4:$J$52-Indice_Plan_ExtensionPlazo))*($B80 &lt;= (plan!$K$4:$K$52+Indice_Plan_ExtensionPlazo)), "")), "")</f>
        <v/>
      </c>
      <c r="BH80" s="4"/>
    </row>
    <row r="81" spans="2:60" x14ac:dyDescent="0.3">
      <c r="B81" s="6"/>
      <c r="C81" s="10"/>
      <c r="D81" s="48" t="str">
        <f>IF(Tabla_Registro_Tareas5[[#This Row],[Actividad]]=Indice_Aux_Vacio,"",IFERROR(INDEX(plan!$D$4:$D$52,MATCH(Tabla_Registro_Tareas5[[#This Row],[Actividad]],plan!$C$4:$C$52,0)),""))</f>
        <v/>
      </c>
      <c r="E81" s="48" t="str">
        <f>IFERROR(INDEX(plan!$E$4:$E$52,MATCH(Tabla_Registro_Tareas5[[#This Row],[Actividad]],plan!$C$4:$C$52,0)),"")</f>
        <v/>
      </c>
      <c r="F81" s="49" t="str">
        <f>IF(Tabla_Registro_Tareas5[[#This Row],[Actividad]]=Indice_Aux_Vacio,"",Indice_PROBLAM_Estudiante5)</f>
        <v/>
      </c>
      <c r="G81" s="7"/>
      <c r="H81" s="8"/>
      <c r="I81" s="9"/>
      <c r="K81" s="12" t="str" cm="1">
        <f t="array" ref="K81">IF($B81&lt;&gt;"",TRANSPOSE(_xlfn._xlws.FILTER(plan!$C$4:$C$52, ($B81 &gt;= (plan!$J$4:$J$52-Indice_Plan_ExtensionPlazo))*($B81 &lt;= (plan!$K$4:$K$52+Indice_Plan_ExtensionPlazo)), "")), "")</f>
        <v/>
      </c>
      <c r="BH81" s="4"/>
    </row>
    <row r="82" spans="2:60" x14ac:dyDescent="0.3">
      <c r="B82" s="6"/>
      <c r="C82" s="10"/>
      <c r="D82" s="48" t="str">
        <f>IF(Tabla_Registro_Tareas5[[#This Row],[Actividad]]=Indice_Aux_Vacio,"",IFERROR(INDEX(plan!$D$4:$D$52,MATCH(Tabla_Registro_Tareas5[[#This Row],[Actividad]],plan!$C$4:$C$52,0)),""))</f>
        <v/>
      </c>
      <c r="E82" s="48" t="str">
        <f>IFERROR(INDEX(plan!$E$4:$E$52,MATCH(Tabla_Registro_Tareas5[[#This Row],[Actividad]],plan!$C$4:$C$52,0)),"")</f>
        <v/>
      </c>
      <c r="F82" s="49" t="str">
        <f>IF(Tabla_Registro_Tareas5[[#This Row],[Actividad]]=Indice_Aux_Vacio,"",Indice_PROBLAM_Estudiante5)</f>
        <v/>
      </c>
      <c r="G82" s="7"/>
      <c r="H82" s="8"/>
      <c r="I82" s="9"/>
      <c r="K82" s="12" t="str" cm="1">
        <f t="array" ref="K82">IF($B82&lt;&gt;"",TRANSPOSE(_xlfn._xlws.FILTER(plan!$C$4:$C$52, ($B82 &gt;= (plan!$J$4:$J$52-Indice_Plan_ExtensionPlazo))*($B82 &lt;= (plan!$K$4:$K$52+Indice_Plan_ExtensionPlazo)), "")), "")</f>
        <v/>
      </c>
      <c r="BH82" s="4"/>
    </row>
    <row r="83" spans="2:60" x14ac:dyDescent="0.3">
      <c r="B83" s="6"/>
      <c r="C83" s="10"/>
      <c r="D83" s="48" t="str">
        <f>IF(Tabla_Registro_Tareas5[[#This Row],[Actividad]]=Indice_Aux_Vacio,"",IFERROR(INDEX(plan!$D$4:$D$52,MATCH(Tabla_Registro_Tareas5[[#This Row],[Actividad]],plan!$C$4:$C$52,0)),""))</f>
        <v/>
      </c>
      <c r="E83" s="48" t="str">
        <f>IFERROR(INDEX(plan!$E$4:$E$52,MATCH(Tabla_Registro_Tareas5[[#This Row],[Actividad]],plan!$C$4:$C$52,0)),"")</f>
        <v/>
      </c>
      <c r="F83" s="49" t="str">
        <f>IF(Tabla_Registro_Tareas5[[#This Row],[Actividad]]=Indice_Aux_Vacio,"",Indice_PROBLAM_Estudiante5)</f>
        <v/>
      </c>
      <c r="G83" s="7"/>
      <c r="H83" s="8"/>
      <c r="I83" s="9"/>
      <c r="K83" s="12" t="str" cm="1">
        <f t="array" ref="K83">IF($B83&lt;&gt;"",TRANSPOSE(_xlfn._xlws.FILTER(plan!$C$4:$C$52, ($B83 &gt;= (plan!$J$4:$J$52-Indice_Plan_ExtensionPlazo))*($B83 &lt;= (plan!$K$4:$K$52+Indice_Plan_ExtensionPlazo)), "")), "")</f>
        <v/>
      </c>
      <c r="BH83" s="4"/>
    </row>
    <row r="84" spans="2:60" x14ac:dyDescent="0.3">
      <c r="B84" s="6"/>
      <c r="C84" s="10"/>
      <c r="D84" s="48" t="str">
        <f>IF(Tabla_Registro_Tareas5[[#This Row],[Actividad]]=Indice_Aux_Vacio,"",IFERROR(INDEX(plan!$D$4:$D$52,MATCH(Tabla_Registro_Tareas5[[#This Row],[Actividad]],plan!$C$4:$C$52,0)),""))</f>
        <v/>
      </c>
      <c r="E84" s="48" t="str">
        <f>IFERROR(INDEX(plan!$E$4:$E$52,MATCH(Tabla_Registro_Tareas5[[#This Row],[Actividad]],plan!$C$4:$C$52,0)),"")</f>
        <v/>
      </c>
      <c r="F84" s="49" t="str">
        <f>IF(Tabla_Registro_Tareas5[[#This Row],[Actividad]]=Indice_Aux_Vacio,"",Indice_PROBLAM_Estudiante5)</f>
        <v/>
      </c>
      <c r="G84" s="7"/>
      <c r="H84" s="8"/>
      <c r="I84" s="9"/>
      <c r="K84" s="12" t="str" cm="1">
        <f t="array" ref="K84">IF($B84&lt;&gt;"",TRANSPOSE(_xlfn._xlws.FILTER(plan!$C$4:$C$52, ($B84 &gt;= (plan!$J$4:$J$52-Indice_Plan_ExtensionPlazo))*($B84 &lt;= (plan!$K$4:$K$52+Indice_Plan_ExtensionPlazo)), "")), "")</f>
        <v/>
      </c>
      <c r="BH84" s="4"/>
    </row>
    <row r="85" spans="2:60" x14ac:dyDescent="0.3">
      <c r="B85" s="6"/>
      <c r="C85" s="10"/>
      <c r="D85" s="48" t="str">
        <f>IF(Tabla_Registro_Tareas5[[#This Row],[Actividad]]=Indice_Aux_Vacio,"",IFERROR(INDEX(plan!$D$4:$D$52,MATCH(Tabla_Registro_Tareas5[[#This Row],[Actividad]],plan!$C$4:$C$52,0)),""))</f>
        <v/>
      </c>
      <c r="E85" s="48" t="str">
        <f>IFERROR(INDEX(plan!$E$4:$E$52,MATCH(Tabla_Registro_Tareas5[[#This Row],[Actividad]],plan!$C$4:$C$52,0)),"")</f>
        <v/>
      </c>
      <c r="F85" s="49" t="str">
        <f>IF(Tabla_Registro_Tareas5[[#This Row],[Actividad]]=Indice_Aux_Vacio,"",Indice_PROBLAM_Estudiante5)</f>
        <v/>
      </c>
      <c r="G85" s="7"/>
      <c r="H85" s="8"/>
      <c r="I85" s="9"/>
      <c r="K85" s="12" t="str" cm="1">
        <f t="array" ref="K85">IF($B85&lt;&gt;"",TRANSPOSE(_xlfn._xlws.FILTER(plan!$C$4:$C$52, ($B85 &gt;= (plan!$J$4:$J$52-Indice_Plan_ExtensionPlazo))*($B85 &lt;= (plan!$K$4:$K$52+Indice_Plan_ExtensionPlazo)), "")), "")</f>
        <v/>
      </c>
      <c r="BH85" s="4"/>
    </row>
    <row r="86" spans="2:60" x14ac:dyDescent="0.3">
      <c r="B86" s="6"/>
      <c r="C86" s="10"/>
      <c r="D86" s="48" t="str">
        <f>IF(Tabla_Registro_Tareas5[[#This Row],[Actividad]]=Indice_Aux_Vacio,"",IFERROR(INDEX(plan!$D$4:$D$52,MATCH(Tabla_Registro_Tareas5[[#This Row],[Actividad]],plan!$C$4:$C$52,0)),""))</f>
        <v/>
      </c>
      <c r="E86" s="48" t="str">
        <f>IFERROR(INDEX(plan!$E$4:$E$52,MATCH(Tabla_Registro_Tareas5[[#This Row],[Actividad]],plan!$C$4:$C$52,0)),"")</f>
        <v/>
      </c>
      <c r="F86" s="49" t="str">
        <f>IF(Tabla_Registro_Tareas5[[#This Row],[Actividad]]=Indice_Aux_Vacio,"",Indice_PROBLAM_Estudiante5)</f>
        <v/>
      </c>
      <c r="G86" s="7"/>
      <c r="H86" s="8"/>
      <c r="I86" s="9"/>
      <c r="K86" s="12" t="str" cm="1">
        <f t="array" ref="K86">IF($B86&lt;&gt;"",TRANSPOSE(_xlfn._xlws.FILTER(plan!$C$4:$C$52, ($B86 &gt;= (plan!$J$4:$J$52-Indice_Plan_ExtensionPlazo))*($B86 &lt;= (plan!$K$4:$K$52+Indice_Plan_ExtensionPlazo)), "")), "")</f>
        <v/>
      </c>
      <c r="BH86" s="4"/>
    </row>
    <row r="87" spans="2:60" x14ac:dyDescent="0.3">
      <c r="B87" s="6"/>
      <c r="C87" s="10"/>
      <c r="D87" s="48" t="str">
        <f>IF(Tabla_Registro_Tareas5[[#This Row],[Actividad]]=Indice_Aux_Vacio,"",IFERROR(INDEX(plan!$D$4:$D$52,MATCH(Tabla_Registro_Tareas5[[#This Row],[Actividad]],plan!$C$4:$C$52,0)),""))</f>
        <v/>
      </c>
      <c r="E87" s="48" t="str">
        <f>IFERROR(INDEX(plan!$E$4:$E$52,MATCH(Tabla_Registro_Tareas5[[#This Row],[Actividad]],plan!$C$4:$C$52,0)),"")</f>
        <v/>
      </c>
      <c r="F87" s="49" t="str">
        <f>IF(Tabla_Registro_Tareas5[[#This Row],[Actividad]]=Indice_Aux_Vacio,"",Indice_PROBLAM_Estudiante5)</f>
        <v/>
      </c>
      <c r="G87" s="7"/>
      <c r="H87" s="8"/>
      <c r="I87" s="9"/>
      <c r="K87" s="12" t="str" cm="1">
        <f t="array" ref="K87">IF($B87&lt;&gt;"",TRANSPOSE(_xlfn._xlws.FILTER(plan!$C$4:$C$52, ($B87 &gt;= (plan!$J$4:$J$52-Indice_Plan_ExtensionPlazo))*($B87 &lt;= (plan!$K$4:$K$52+Indice_Plan_ExtensionPlazo)), "")), "")</f>
        <v/>
      </c>
      <c r="BH87" s="4"/>
    </row>
    <row r="88" spans="2:60" x14ac:dyDescent="0.3">
      <c r="B88" s="6"/>
      <c r="C88" s="10"/>
      <c r="D88" s="48" t="str">
        <f>IF(Tabla_Registro_Tareas5[[#This Row],[Actividad]]=Indice_Aux_Vacio,"",IFERROR(INDEX(plan!$D$4:$D$52,MATCH(Tabla_Registro_Tareas5[[#This Row],[Actividad]],plan!$C$4:$C$52,0)),""))</f>
        <v/>
      </c>
      <c r="E88" s="48" t="str">
        <f>IFERROR(INDEX(plan!$E$4:$E$52,MATCH(Tabla_Registro_Tareas5[[#This Row],[Actividad]],plan!$C$4:$C$52,0)),"")</f>
        <v/>
      </c>
      <c r="F88" s="49" t="str">
        <f>IF(Tabla_Registro_Tareas5[[#This Row],[Actividad]]=Indice_Aux_Vacio,"",Indice_PROBLAM_Estudiante5)</f>
        <v/>
      </c>
      <c r="G88" s="7"/>
      <c r="H88" s="8"/>
      <c r="I88" s="9"/>
      <c r="K88" s="12" t="str" cm="1">
        <f t="array" ref="K88">IF($B88&lt;&gt;"",TRANSPOSE(_xlfn._xlws.FILTER(plan!$C$4:$C$52, ($B88 &gt;= (plan!$J$4:$J$52-Indice_Plan_ExtensionPlazo))*($B88 &lt;= (plan!$K$4:$K$52+Indice_Plan_ExtensionPlazo)), "")), "")</f>
        <v/>
      </c>
      <c r="BH88" s="4"/>
    </row>
    <row r="89" spans="2:60" x14ac:dyDescent="0.3">
      <c r="B89" s="6"/>
      <c r="C89" s="10"/>
      <c r="D89" s="48" t="str">
        <f>IF(Tabla_Registro_Tareas5[[#This Row],[Actividad]]=Indice_Aux_Vacio,"",IFERROR(INDEX(plan!$D$4:$D$52,MATCH(Tabla_Registro_Tareas5[[#This Row],[Actividad]],plan!$C$4:$C$52,0)),""))</f>
        <v/>
      </c>
      <c r="E89" s="48" t="str">
        <f>IFERROR(INDEX(plan!$E$4:$E$52,MATCH(Tabla_Registro_Tareas5[[#This Row],[Actividad]],plan!$C$4:$C$52,0)),"")</f>
        <v/>
      </c>
      <c r="F89" s="49" t="str">
        <f>IF(Tabla_Registro_Tareas5[[#This Row],[Actividad]]=Indice_Aux_Vacio,"",Indice_PROBLAM_Estudiante5)</f>
        <v/>
      </c>
      <c r="G89" s="7"/>
      <c r="H89" s="8"/>
      <c r="I89" s="9"/>
      <c r="K89" s="12" t="str" cm="1">
        <f t="array" ref="K89">IF($B89&lt;&gt;"",TRANSPOSE(_xlfn._xlws.FILTER(plan!$C$4:$C$52, ($B89 &gt;= (plan!$J$4:$J$52-Indice_Plan_ExtensionPlazo))*($B89 &lt;= (plan!$K$4:$K$52+Indice_Plan_ExtensionPlazo)), "")), "")</f>
        <v/>
      </c>
      <c r="BH89" s="4"/>
    </row>
    <row r="90" spans="2:60" x14ac:dyDescent="0.3">
      <c r="B90" s="6"/>
      <c r="C90" s="10"/>
      <c r="D90" s="48" t="str">
        <f>IF(Tabla_Registro_Tareas5[[#This Row],[Actividad]]=Indice_Aux_Vacio,"",IFERROR(INDEX(plan!$D$4:$D$52,MATCH(Tabla_Registro_Tareas5[[#This Row],[Actividad]],plan!$C$4:$C$52,0)),""))</f>
        <v/>
      </c>
      <c r="E90" s="48" t="str">
        <f>IFERROR(INDEX(plan!$E$4:$E$52,MATCH(Tabla_Registro_Tareas5[[#This Row],[Actividad]],plan!$C$4:$C$52,0)),"")</f>
        <v/>
      </c>
      <c r="F90" s="49" t="str">
        <f>IF(Tabla_Registro_Tareas5[[#This Row],[Actividad]]=Indice_Aux_Vacio,"",Indice_PROBLAM_Estudiante5)</f>
        <v/>
      </c>
      <c r="G90" s="7"/>
      <c r="H90" s="8"/>
      <c r="I90" s="9"/>
      <c r="K90" s="12" t="str" cm="1">
        <f t="array" ref="K90">IF($B90&lt;&gt;"",TRANSPOSE(_xlfn._xlws.FILTER(plan!$C$4:$C$52, ($B90 &gt;= (plan!$J$4:$J$52-Indice_Plan_ExtensionPlazo))*($B90 &lt;= (plan!$K$4:$K$52+Indice_Plan_ExtensionPlazo)), "")), "")</f>
        <v/>
      </c>
      <c r="BH90" s="4"/>
    </row>
    <row r="91" spans="2:60" x14ac:dyDescent="0.3">
      <c r="B91" s="6"/>
      <c r="C91" s="10"/>
      <c r="D91" s="48" t="str">
        <f>IF(Tabla_Registro_Tareas5[[#This Row],[Actividad]]=Indice_Aux_Vacio,"",IFERROR(INDEX(plan!$D$4:$D$52,MATCH(Tabla_Registro_Tareas5[[#This Row],[Actividad]],plan!$C$4:$C$52,0)),""))</f>
        <v/>
      </c>
      <c r="E91" s="48" t="str">
        <f>IFERROR(INDEX(plan!$E$4:$E$52,MATCH(Tabla_Registro_Tareas5[[#This Row],[Actividad]],plan!$C$4:$C$52,0)),"")</f>
        <v/>
      </c>
      <c r="F91" s="49" t="str">
        <f>IF(Tabla_Registro_Tareas5[[#This Row],[Actividad]]=Indice_Aux_Vacio,"",Indice_PROBLAM_Estudiante5)</f>
        <v/>
      </c>
      <c r="G91" s="7"/>
      <c r="H91" s="8"/>
      <c r="I91" s="9"/>
      <c r="K91" s="12" t="str" cm="1">
        <f t="array" ref="K91">IF($B91&lt;&gt;"",TRANSPOSE(_xlfn._xlws.FILTER(plan!$C$4:$C$52, ($B91 &gt;= (plan!$J$4:$J$52-Indice_Plan_ExtensionPlazo))*($B91 &lt;= (plan!$K$4:$K$52+Indice_Plan_ExtensionPlazo)), "")), "")</f>
        <v/>
      </c>
      <c r="BH91" s="4"/>
    </row>
    <row r="92" spans="2:60" x14ac:dyDescent="0.3">
      <c r="B92" s="6"/>
      <c r="C92" s="10"/>
      <c r="D92" s="48" t="str">
        <f>IF(Tabla_Registro_Tareas5[[#This Row],[Actividad]]=Indice_Aux_Vacio,"",IFERROR(INDEX(plan!$D$4:$D$52,MATCH(Tabla_Registro_Tareas5[[#This Row],[Actividad]],plan!$C$4:$C$52,0)),""))</f>
        <v/>
      </c>
      <c r="E92" s="48" t="str">
        <f>IFERROR(INDEX(plan!$E$4:$E$52,MATCH(Tabla_Registro_Tareas5[[#This Row],[Actividad]],plan!$C$4:$C$52,0)),"")</f>
        <v/>
      </c>
      <c r="F92" s="49" t="str">
        <f>IF(Tabla_Registro_Tareas5[[#This Row],[Actividad]]=Indice_Aux_Vacio,"",Indice_PROBLAM_Estudiante5)</f>
        <v/>
      </c>
      <c r="G92" s="7"/>
      <c r="H92" s="8"/>
      <c r="I92" s="9"/>
      <c r="K92" s="12" t="str" cm="1">
        <f t="array" ref="K92">IF($B92&lt;&gt;"",TRANSPOSE(_xlfn._xlws.FILTER(plan!$C$4:$C$52, ($B92 &gt;= (plan!$J$4:$J$52-Indice_Plan_ExtensionPlazo))*($B92 &lt;= (plan!$K$4:$K$52+Indice_Plan_ExtensionPlazo)), "")), "")</f>
        <v/>
      </c>
      <c r="BH92" s="4"/>
    </row>
    <row r="93" spans="2:60" x14ac:dyDescent="0.3">
      <c r="B93" s="6"/>
      <c r="C93" s="10"/>
      <c r="D93" s="48" t="str">
        <f>IF(Tabla_Registro_Tareas5[[#This Row],[Actividad]]=Indice_Aux_Vacio,"",IFERROR(INDEX(plan!$D$4:$D$52,MATCH(Tabla_Registro_Tareas5[[#This Row],[Actividad]],plan!$C$4:$C$52,0)),""))</f>
        <v/>
      </c>
      <c r="E93" s="48" t="str">
        <f>IFERROR(INDEX(plan!$E$4:$E$52,MATCH(Tabla_Registro_Tareas5[[#This Row],[Actividad]],plan!$C$4:$C$52,0)),"")</f>
        <v/>
      </c>
      <c r="F93" s="49" t="str">
        <f>IF(Tabla_Registro_Tareas5[[#This Row],[Actividad]]=Indice_Aux_Vacio,"",Indice_PROBLAM_Estudiante5)</f>
        <v/>
      </c>
      <c r="G93" s="7"/>
      <c r="H93" s="8"/>
      <c r="I93" s="9"/>
      <c r="K93" s="12" t="str" cm="1">
        <f t="array" ref="K93">IF($B93&lt;&gt;"",TRANSPOSE(_xlfn._xlws.FILTER(plan!$C$4:$C$52, ($B93 &gt;= (plan!$J$4:$J$52-Indice_Plan_ExtensionPlazo))*($B93 &lt;= (plan!$K$4:$K$52+Indice_Plan_ExtensionPlazo)), "")), "")</f>
        <v/>
      </c>
      <c r="BH93" s="4"/>
    </row>
    <row r="94" spans="2:60" x14ac:dyDescent="0.3">
      <c r="B94" s="6"/>
      <c r="C94" s="10"/>
      <c r="D94" s="48" t="str">
        <f>IF(Tabla_Registro_Tareas5[[#This Row],[Actividad]]=Indice_Aux_Vacio,"",IFERROR(INDEX(plan!$D$4:$D$52,MATCH(Tabla_Registro_Tareas5[[#This Row],[Actividad]],plan!$C$4:$C$52,0)),""))</f>
        <v/>
      </c>
      <c r="E94" s="48" t="str">
        <f>IFERROR(INDEX(plan!$E$4:$E$52,MATCH(Tabla_Registro_Tareas5[[#This Row],[Actividad]],plan!$C$4:$C$52,0)),"")</f>
        <v/>
      </c>
      <c r="F94" s="49" t="str">
        <f>IF(Tabla_Registro_Tareas5[[#This Row],[Actividad]]=Indice_Aux_Vacio,"",Indice_PROBLAM_Estudiante5)</f>
        <v/>
      </c>
      <c r="G94" s="7"/>
      <c r="H94" s="8"/>
      <c r="I94" s="9"/>
      <c r="K94" s="12" t="str" cm="1">
        <f t="array" ref="K94">IF($B94&lt;&gt;"",TRANSPOSE(_xlfn._xlws.FILTER(plan!$C$4:$C$52, ($B94 &gt;= (plan!$J$4:$J$52-Indice_Plan_ExtensionPlazo))*($B94 &lt;= (plan!$K$4:$K$52+Indice_Plan_ExtensionPlazo)), "")), "")</f>
        <v/>
      </c>
      <c r="BH94" s="4"/>
    </row>
    <row r="95" spans="2:60" x14ac:dyDescent="0.3">
      <c r="B95" s="6"/>
      <c r="C95" s="10"/>
      <c r="D95" s="48" t="str">
        <f>IF(Tabla_Registro_Tareas5[[#This Row],[Actividad]]=Indice_Aux_Vacio,"",IFERROR(INDEX(plan!$D$4:$D$52,MATCH(Tabla_Registro_Tareas5[[#This Row],[Actividad]],plan!$C$4:$C$52,0)),""))</f>
        <v/>
      </c>
      <c r="E95" s="48" t="str">
        <f>IFERROR(INDEX(plan!$E$4:$E$52,MATCH(Tabla_Registro_Tareas5[[#This Row],[Actividad]],plan!$C$4:$C$52,0)),"")</f>
        <v/>
      </c>
      <c r="F95" s="49" t="str">
        <f>IF(Tabla_Registro_Tareas5[[#This Row],[Actividad]]=Indice_Aux_Vacio,"",Indice_PROBLAM_Estudiante5)</f>
        <v/>
      </c>
      <c r="G95" s="7"/>
      <c r="H95" s="8"/>
      <c r="I95" s="9"/>
      <c r="K95" s="12" t="str" cm="1">
        <f t="array" ref="K95">IF($B95&lt;&gt;"",TRANSPOSE(_xlfn._xlws.FILTER(plan!$C$4:$C$52, ($B95 &gt;= (plan!$J$4:$J$52-Indice_Plan_ExtensionPlazo))*($B95 &lt;= (plan!$K$4:$K$52+Indice_Plan_ExtensionPlazo)), "")), "")</f>
        <v/>
      </c>
      <c r="BH95" s="4"/>
    </row>
    <row r="96" spans="2:60" x14ac:dyDescent="0.3">
      <c r="B96" s="6"/>
      <c r="C96" s="10"/>
      <c r="D96" s="48" t="str">
        <f>IF(Tabla_Registro_Tareas5[[#This Row],[Actividad]]=Indice_Aux_Vacio,"",IFERROR(INDEX(plan!$D$4:$D$52,MATCH(Tabla_Registro_Tareas5[[#This Row],[Actividad]],plan!$C$4:$C$52,0)),""))</f>
        <v/>
      </c>
      <c r="E96" s="48" t="str">
        <f>IFERROR(INDEX(plan!$E$4:$E$52,MATCH(Tabla_Registro_Tareas5[[#This Row],[Actividad]],plan!$C$4:$C$52,0)),"")</f>
        <v/>
      </c>
      <c r="F96" s="49" t="str">
        <f>IF(Tabla_Registro_Tareas5[[#This Row],[Actividad]]=Indice_Aux_Vacio,"",Indice_PROBLAM_Estudiante5)</f>
        <v/>
      </c>
      <c r="G96" s="7"/>
      <c r="H96" s="8"/>
      <c r="I96" s="9"/>
      <c r="K96" s="12" t="str" cm="1">
        <f t="array" ref="K96">IF($B96&lt;&gt;"",TRANSPOSE(_xlfn._xlws.FILTER(plan!$C$4:$C$52, ($B96 &gt;= (plan!$J$4:$J$52-Indice_Plan_ExtensionPlazo))*($B96 &lt;= (plan!$K$4:$K$52+Indice_Plan_ExtensionPlazo)), "")), "")</f>
        <v/>
      </c>
      <c r="BH96" s="4"/>
    </row>
    <row r="97" spans="2:60" x14ac:dyDescent="0.3">
      <c r="B97" s="6"/>
      <c r="C97" s="10"/>
      <c r="D97" s="48" t="str">
        <f>IF(Tabla_Registro_Tareas5[[#This Row],[Actividad]]=Indice_Aux_Vacio,"",IFERROR(INDEX(plan!$D$4:$D$52,MATCH(Tabla_Registro_Tareas5[[#This Row],[Actividad]],plan!$C$4:$C$52,0)),""))</f>
        <v/>
      </c>
      <c r="E97" s="48" t="str">
        <f>IFERROR(INDEX(plan!$E$4:$E$52,MATCH(Tabla_Registro_Tareas5[[#This Row],[Actividad]],plan!$C$4:$C$52,0)),"")</f>
        <v/>
      </c>
      <c r="F97" s="49" t="str">
        <f>IF(Tabla_Registro_Tareas5[[#This Row],[Actividad]]=Indice_Aux_Vacio,"",Indice_PROBLAM_Estudiante5)</f>
        <v/>
      </c>
      <c r="G97" s="7"/>
      <c r="H97" s="8"/>
      <c r="I97" s="9"/>
      <c r="K97" s="12" t="str" cm="1">
        <f t="array" ref="K97">IF($B97&lt;&gt;"",TRANSPOSE(_xlfn._xlws.FILTER(plan!$C$4:$C$52, ($B97 &gt;= (plan!$J$4:$J$52-Indice_Plan_ExtensionPlazo))*($B97 &lt;= (plan!$K$4:$K$52+Indice_Plan_ExtensionPlazo)), "")), "")</f>
        <v/>
      </c>
      <c r="BH97" s="4"/>
    </row>
    <row r="98" spans="2:60" x14ac:dyDescent="0.3">
      <c r="B98" s="6"/>
      <c r="C98" s="10"/>
      <c r="D98" s="48" t="str">
        <f>IF(Tabla_Registro_Tareas5[[#This Row],[Actividad]]=Indice_Aux_Vacio,"",IFERROR(INDEX(plan!$D$4:$D$52,MATCH(Tabla_Registro_Tareas5[[#This Row],[Actividad]],plan!$C$4:$C$52,0)),""))</f>
        <v/>
      </c>
      <c r="E98" s="48" t="str">
        <f>IFERROR(INDEX(plan!$E$4:$E$52,MATCH(Tabla_Registro_Tareas5[[#This Row],[Actividad]],plan!$C$4:$C$52,0)),"")</f>
        <v/>
      </c>
      <c r="F98" s="49" t="str">
        <f>IF(Tabla_Registro_Tareas5[[#This Row],[Actividad]]=Indice_Aux_Vacio,"",Indice_PROBLAM_Estudiante5)</f>
        <v/>
      </c>
      <c r="G98" s="7"/>
      <c r="H98" s="8"/>
      <c r="I98" s="9"/>
      <c r="K98" s="12" t="str" cm="1">
        <f t="array" ref="K98">IF($B98&lt;&gt;"",TRANSPOSE(_xlfn._xlws.FILTER(plan!$C$4:$C$52, ($B98 &gt;= (plan!$J$4:$J$52-Indice_Plan_ExtensionPlazo))*($B98 &lt;= (plan!$K$4:$K$52+Indice_Plan_ExtensionPlazo)), "")), "")</f>
        <v/>
      </c>
      <c r="BH98" s="4"/>
    </row>
    <row r="99" spans="2:60" x14ac:dyDescent="0.3">
      <c r="B99" s="6"/>
      <c r="C99" s="10"/>
      <c r="D99" s="48" t="str">
        <f>IF(Tabla_Registro_Tareas5[[#This Row],[Actividad]]=Indice_Aux_Vacio,"",IFERROR(INDEX(plan!$D$4:$D$52,MATCH(Tabla_Registro_Tareas5[[#This Row],[Actividad]],plan!$C$4:$C$52,0)),""))</f>
        <v/>
      </c>
      <c r="E99" s="48" t="str">
        <f>IFERROR(INDEX(plan!$E$4:$E$52,MATCH(Tabla_Registro_Tareas5[[#This Row],[Actividad]],plan!$C$4:$C$52,0)),"")</f>
        <v/>
      </c>
      <c r="F99" s="49" t="str">
        <f>IF(Tabla_Registro_Tareas5[[#This Row],[Actividad]]=Indice_Aux_Vacio,"",Indice_PROBLAM_Estudiante5)</f>
        <v/>
      </c>
      <c r="G99" s="7"/>
      <c r="H99" s="8"/>
      <c r="I99" s="9"/>
      <c r="K99" s="12" t="str" cm="1">
        <f t="array" ref="K99">IF($B99&lt;&gt;"",TRANSPOSE(_xlfn._xlws.FILTER(plan!$C$4:$C$52, ($B99 &gt;= (plan!$J$4:$J$52-Indice_Plan_ExtensionPlazo))*($B99 &lt;= (plan!$K$4:$K$52+Indice_Plan_ExtensionPlazo)), "")), "")</f>
        <v/>
      </c>
      <c r="BH99" s="4"/>
    </row>
    <row r="100" spans="2:60" x14ac:dyDescent="0.3">
      <c r="B100" s="6"/>
      <c r="C100" s="10"/>
      <c r="D100" s="48" t="str">
        <f>IF(Tabla_Registro_Tareas5[[#This Row],[Actividad]]=Indice_Aux_Vacio,"",IFERROR(INDEX(plan!$D$4:$D$52,MATCH(Tabla_Registro_Tareas5[[#This Row],[Actividad]],plan!$C$4:$C$52,0)),""))</f>
        <v/>
      </c>
      <c r="E100" s="48" t="str">
        <f>IFERROR(INDEX(plan!$E$4:$E$52,MATCH(Tabla_Registro_Tareas5[[#This Row],[Actividad]],plan!$C$4:$C$52,0)),"")</f>
        <v/>
      </c>
      <c r="F100" s="49" t="str">
        <f>IF(Tabla_Registro_Tareas5[[#This Row],[Actividad]]=Indice_Aux_Vacio,"",Indice_PROBLAM_Estudiante5)</f>
        <v/>
      </c>
      <c r="G100" s="7"/>
      <c r="H100" s="8"/>
      <c r="I100" s="9"/>
      <c r="K100" s="12" t="str" cm="1">
        <f t="array" ref="K100">IF($B100&lt;&gt;"",TRANSPOSE(_xlfn._xlws.FILTER(plan!$C$4:$C$52, ($B100 &gt;= (plan!$J$4:$J$52-Indice_Plan_ExtensionPlazo))*($B100 &lt;= (plan!$K$4:$K$52+Indice_Plan_ExtensionPlazo)), "")), "")</f>
        <v/>
      </c>
      <c r="BH100" s="4"/>
    </row>
    <row r="101" spans="2:60" x14ac:dyDescent="0.3">
      <c r="B101" s="6"/>
      <c r="C101" s="10"/>
      <c r="D101" s="48" t="str">
        <f>IF(Tabla_Registro_Tareas5[[#This Row],[Actividad]]=Indice_Aux_Vacio,"",IFERROR(INDEX(plan!$D$4:$D$52,MATCH(Tabla_Registro_Tareas5[[#This Row],[Actividad]],plan!$C$4:$C$52,0)),""))</f>
        <v/>
      </c>
      <c r="E101" s="48" t="str">
        <f>IFERROR(INDEX(plan!$E$4:$E$52,MATCH(Tabla_Registro_Tareas5[[#This Row],[Actividad]],plan!$C$4:$C$52,0)),"")</f>
        <v/>
      </c>
      <c r="F101" s="49" t="str">
        <f>IF(Tabla_Registro_Tareas5[[#This Row],[Actividad]]=Indice_Aux_Vacio,"",Indice_PROBLAM_Estudiante5)</f>
        <v/>
      </c>
      <c r="G101" s="7"/>
      <c r="H101" s="8"/>
      <c r="I101" s="9"/>
      <c r="K101" s="12" t="str" cm="1">
        <f t="array" ref="K101">IF($B101&lt;&gt;"",TRANSPOSE(_xlfn._xlws.FILTER(plan!$C$4:$C$52, ($B101 &gt;= (plan!$J$4:$J$52-Indice_Plan_ExtensionPlazo))*($B101 &lt;= (plan!$K$4:$K$52+Indice_Plan_ExtensionPlazo)), "")), "")</f>
        <v/>
      </c>
      <c r="BH101" s="4"/>
    </row>
    <row r="102" spans="2:60" x14ac:dyDescent="0.3">
      <c r="B102" s="6"/>
      <c r="C102" s="10"/>
      <c r="D102" s="48" t="str">
        <f>IF(Tabla_Registro_Tareas5[[#This Row],[Actividad]]=Indice_Aux_Vacio,"",IFERROR(INDEX(plan!$D$4:$D$52,MATCH(Tabla_Registro_Tareas5[[#This Row],[Actividad]],plan!$C$4:$C$52,0)),""))</f>
        <v/>
      </c>
      <c r="E102" s="48" t="str">
        <f>IFERROR(INDEX(plan!$E$4:$E$52,MATCH(Tabla_Registro_Tareas5[[#This Row],[Actividad]],plan!$C$4:$C$52,0)),"")</f>
        <v/>
      </c>
      <c r="F102" s="49" t="str">
        <f>IF(Tabla_Registro_Tareas5[[#This Row],[Actividad]]=Indice_Aux_Vacio,"",Indice_PROBLAM_Estudiante5)</f>
        <v/>
      </c>
      <c r="G102" s="7"/>
      <c r="H102" s="8"/>
      <c r="I102" s="9"/>
      <c r="K102" s="12" t="str" cm="1">
        <f t="array" ref="K102">IF($B102&lt;&gt;"",TRANSPOSE(_xlfn._xlws.FILTER(plan!$C$4:$C$52, ($B102 &gt;= (plan!$J$4:$J$52-Indice_Plan_ExtensionPlazo))*($B102 &lt;= (plan!$K$4:$K$52+Indice_Plan_ExtensionPlazo)), "")), "")</f>
        <v/>
      </c>
      <c r="BH102" s="4"/>
    </row>
    <row r="103" spans="2:60" x14ac:dyDescent="0.3">
      <c r="B103" s="6"/>
      <c r="C103" s="10"/>
      <c r="D103" s="48" t="str">
        <f>IF(Tabla_Registro_Tareas5[[#This Row],[Actividad]]=Indice_Aux_Vacio,"",IFERROR(INDEX(plan!$D$4:$D$52,MATCH(Tabla_Registro_Tareas5[[#This Row],[Actividad]],plan!$C$4:$C$52,0)),""))</f>
        <v/>
      </c>
      <c r="E103" s="48" t="str">
        <f>IFERROR(INDEX(plan!$E$4:$E$52,MATCH(Tabla_Registro_Tareas5[[#This Row],[Actividad]],plan!$C$4:$C$52,0)),"")</f>
        <v/>
      </c>
      <c r="F103" s="49" t="str">
        <f>IF(Tabla_Registro_Tareas5[[#This Row],[Actividad]]=Indice_Aux_Vacio,"",Indice_PROBLAM_Estudiante5)</f>
        <v/>
      </c>
      <c r="G103" s="7"/>
      <c r="H103" s="8"/>
      <c r="I103" s="9"/>
      <c r="K103" s="12" t="str" cm="1">
        <f t="array" ref="K103">IF($B103&lt;&gt;"",TRANSPOSE(_xlfn._xlws.FILTER(plan!$C$4:$C$52, ($B103 &gt;= (plan!$J$4:$J$52-Indice_Plan_ExtensionPlazo))*($B103 &lt;= (plan!$K$4:$K$52+Indice_Plan_ExtensionPlazo)), "")), "")</f>
        <v/>
      </c>
      <c r="BH103" s="4"/>
    </row>
    <row r="104" spans="2:60" x14ac:dyDescent="0.3">
      <c r="B104" s="6"/>
      <c r="C104" s="10"/>
      <c r="D104" s="48" t="str">
        <f>IF(Tabla_Registro_Tareas5[[#This Row],[Actividad]]=Indice_Aux_Vacio,"",IFERROR(INDEX(plan!$D$4:$D$52,MATCH(Tabla_Registro_Tareas5[[#This Row],[Actividad]],plan!$C$4:$C$52,0)),""))</f>
        <v/>
      </c>
      <c r="E104" s="48" t="str">
        <f>IFERROR(INDEX(plan!$E$4:$E$52,MATCH(Tabla_Registro_Tareas5[[#This Row],[Actividad]],plan!$C$4:$C$52,0)),"")</f>
        <v/>
      </c>
      <c r="F104" s="49" t="str">
        <f>IF(Tabla_Registro_Tareas5[[#This Row],[Actividad]]=Indice_Aux_Vacio,"",Indice_PROBLAM_Estudiante5)</f>
        <v/>
      </c>
      <c r="G104" s="7"/>
      <c r="H104" s="8"/>
      <c r="I104" s="9"/>
      <c r="K104" s="12" t="str" cm="1">
        <f t="array" ref="K104">IF($B104&lt;&gt;"",TRANSPOSE(_xlfn._xlws.FILTER(plan!$C$4:$C$52, ($B104 &gt;= (plan!$J$4:$J$52-Indice_Plan_ExtensionPlazo))*($B104 &lt;= (plan!$K$4:$K$52+Indice_Plan_ExtensionPlazo)), "")), "")</f>
        <v/>
      </c>
      <c r="BH104" s="4"/>
    </row>
    <row r="105" spans="2:60" x14ac:dyDescent="0.3">
      <c r="B105" s="6"/>
      <c r="C105" s="10"/>
      <c r="D105" s="48" t="str">
        <f>IF(Tabla_Registro_Tareas5[[#This Row],[Actividad]]=Indice_Aux_Vacio,"",IFERROR(INDEX(plan!$D$4:$D$52,MATCH(Tabla_Registro_Tareas5[[#This Row],[Actividad]],plan!$C$4:$C$52,0)),""))</f>
        <v/>
      </c>
      <c r="E105" s="48" t="str">
        <f>IFERROR(INDEX(plan!$E$4:$E$52,MATCH(Tabla_Registro_Tareas5[[#This Row],[Actividad]],plan!$C$4:$C$52,0)),"")</f>
        <v/>
      </c>
      <c r="F105" s="49" t="str">
        <f>IF(Tabla_Registro_Tareas5[[#This Row],[Actividad]]=Indice_Aux_Vacio,"",Indice_PROBLAM_Estudiante5)</f>
        <v/>
      </c>
      <c r="G105" s="7"/>
      <c r="H105" s="8"/>
      <c r="I105" s="9"/>
      <c r="K105" s="12" t="str" cm="1">
        <f t="array" ref="K105">IF($B105&lt;&gt;"",TRANSPOSE(_xlfn._xlws.FILTER(plan!$C$4:$C$52, ($B105 &gt;= (plan!$J$4:$J$52-Indice_Plan_ExtensionPlazo))*($B105 &lt;= (plan!$K$4:$K$52+Indice_Plan_ExtensionPlazo)), "")), "")</f>
        <v/>
      </c>
      <c r="BH105" s="4"/>
    </row>
    <row r="106" spans="2:60" x14ac:dyDescent="0.3">
      <c r="B106" s="6"/>
      <c r="C106" s="10"/>
      <c r="D106" s="48" t="str">
        <f>IF(Tabla_Registro_Tareas5[[#This Row],[Actividad]]=Indice_Aux_Vacio,"",IFERROR(INDEX(plan!$D$4:$D$52,MATCH(Tabla_Registro_Tareas5[[#This Row],[Actividad]],plan!$C$4:$C$52,0)),""))</f>
        <v/>
      </c>
      <c r="E106" s="48" t="str">
        <f>IFERROR(INDEX(plan!$E$4:$E$52,MATCH(Tabla_Registro_Tareas5[[#This Row],[Actividad]],plan!$C$4:$C$52,0)),"")</f>
        <v/>
      </c>
      <c r="F106" s="49" t="str">
        <f>IF(Tabla_Registro_Tareas5[[#This Row],[Actividad]]=Indice_Aux_Vacio,"",Indice_PROBLAM_Estudiante5)</f>
        <v/>
      </c>
      <c r="G106" s="7"/>
      <c r="H106" s="8"/>
      <c r="I106" s="9"/>
      <c r="K106" s="12" t="str" cm="1">
        <f t="array" ref="K106">IF($B106&lt;&gt;"",TRANSPOSE(_xlfn._xlws.FILTER(plan!$C$4:$C$52, ($B106 &gt;= (plan!$J$4:$J$52-Indice_Plan_ExtensionPlazo))*($B106 &lt;= (plan!$K$4:$K$52+Indice_Plan_ExtensionPlazo)), "")), "")</f>
        <v/>
      </c>
      <c r="BH106" s="4"/>
    </row>
    <row r="107" spans="2:60" x14ac:dyDescent="0.3">
      <c r="B107" s="6"/>
      <c r="C107" s="10"/>
      <c r="D107" s="48" t="str">
        <f>IF(Tabla_Registro_Tareas5[[#This Row],[Actividad]]=Indice_Aux_Vacio,"",IFERROR(INDEX(plan!$D$4:$D$52,MATCH(Tabla_Registro_Tareas5[[#This Row],[Actividad]],plan!$C$4:$C$52,0)),""))</f>
        <v/>
      </c>
      <c r="E107" s="48" t="str">
        <f>IFERROR(INDEX(plan!$E$4:$E$52,MATCH(Tabla_Registro_Tareas5[[#This Row],[Actividad]],plan!$C$4:$C$52,0)),"")</f>
        <v/>
      </c>
      <c r="F107" s="49" t="str">
        <f>IF(Tabla_Registro_Tareas5[[#This Row],[Actividad]]=Indice_Aux_Vacio,"",Indice_PROBLAM_Estudiante5)</f>
        <v/>
      </c>
      <c r="G107" s="7"/>
      <c r="H107" s="8"/>
      <c r="I107" s="9"/>
      <c r="K107" s="12" t="str" cm="1">
        <f t="array" ref="K107">IF($B107&lt;&gt;"",TRANSPOSE(_xlfn._xlws.FILTER(plan!$C$4:$C$52, ($B107 &gt;= (plan!$J$4:$J$52-Indice_Plan_ExtensionPlazo))*($B107 &lt;= (plan!$K$4:$K$52+Indice_Plan_ExtensionPlazo)), "")), "")</f>
        <v/>
      </c>
      <c r="BH107" s="4"/>
    </row>
    <row r="108" spans="2:60" x14ac:dyDescent="0.3">
      <c r="B108" s="6"/>
      <c r="C108" s="10"/>
      <c r="D108" s="48" t="str">
        <f>IF(Tabla_Registro_Tareas5[[#This Row],[Actividad]]=Indice_Aux_Vacio,"",IFERROR(INDEX(plan!$D$4:$D$52,MATCH(Tabla_Registro_Tareas5[[#This Row],[Actividad]],plan!$C$4:$C$52,0)),""))</f>
        <v/>
      </c>
      <c r="E108" s="48" t="str">
        <f>IFERROR(INDEX(plan!$E$4:$E$52,MATCH(Tabla_Registro_Tareas5[[#This Row],[Actividad]],plan!$C$4:$C$52,0)),"")</f>
        <v/>
      </c>
      <c r="F108" s="49" t="str">
        <f>IF(Tabla_Registro_Tareas5[[#This Row],[Actividad]]=Indice_Aux_Vacio,"",Indice_PROBLAM_Estudiante5)</f>
        <v/>
      </c>
      <c r="G108" s="7"/>
      <c r="H108" s="8"/>
      <c r="I108" s="9"/>
      <c r="K108" s="12" t="str" cm="1">
        <f t="array" ref="K108">IF($B108&lt;&gt;"",TRANSPOSE(_xlfn._xlws.FILTER(plan!$C$4:$C$52, ($B108 &gt;= (plan!$J$4:$J$52-Indice_Plan_ExtensionPlazo))*($B108 &lt;= (plan!$K$4:$K$52+Indice_Plan_ExtensionPlazo)), "")), "")</f>
        <v/>
      </c>
      <c r="BH108" s="4"/>
    </row>
    <row r="109" spans="2:60" x14ac:dyDescent="0.3">
      <c r="B109" s="6"/>
      <c r="C109" s="10"/>
      <c r="D109" s="48" t="str">
        <f>IF(Tabla_Registro_Tareas5[[#This Row],[Actividad]]=Indice_Aux_Vacio,"",IFERROR(INDEX(plan!$D$4:$D$52,MATCH(Tabla_Registro_Tareas5[[#This Row],[Actividad]],plan!$C$4:$C$52,0)),""))</f>
        <v/>
      </c>
      <c r="E109" s="48" t="str">
        <f>IFERROR(INDEX(plan!$E$4:$E$52,MATCH(Tabla_Registro_Tareas5[[#This Row],[Actividad]],plan!$C$4:$C$52,0)),"")</f>
        <v/>
      </c>
      <c r="F109" s="49" t="str">
        <f>IF(Tabla_Registro_Tareas5[[#This Row],[Actividad]]=Indice_Aux_Vacio,"",Indice_PROBLAM_Estudiante5)</f>
        <v/>
      </c>
      <c r="G109" s="7"/>
      <c r="H109" s="8"/>
      <c r="I109" s="9"/>
      <c r="K109" s="12" t="str" cm="1">
        <f t="array" ref="K109">IF($B109&lt;&gt;"",TRANSPOSE(_xlfn._xlws.FILTER(plan!$C$4:$C$52, ($B109 &gt;= (plan!$J$4:$J$52-Indice_Plan_ExtensionPlazo))*($B109 &lt;= (plan!$K$4:$K$52+Indice_Plan_ExtensionPlazo)), "")), "")</f>
        <v/>
      </c>
      <c r="BH109" s="4"/>
    </row>
    <row r="110" spans="2:60" x14ac:dyDescent="0.3">
      <c r="B110" s="6"/>
      <c r="C110" s="10"/>
      <c r="D110" s="48" t="str">
        <f>IF(Tabla_Registro_Tareas5[[#This Row],[Actividad]]=Indice_Aux_Vacio,"",IFERROR(INDEX(plan!$D$4:$D$52,MATCH(Tabla_Registro_Tareas5[[#This Row],[Actividad]],plan!$C$4:$C$52,0)),""))</f>
        <v/>
      </c>
      <c r="E110" s="48" t="str">
        <f>IFERROR(INDEX(plan!$E$4:$E$52,MATCH(Tabla_Registro_Tareas5[[#This Row],[Actividad]],plan!$C$4:$C$52,0)),"")</f>
        <v/>
      </c>
      <c r="F110" s="49" t="str">
        <f>IF(Tabla_Registro_Tareas5[[#This Row],[Actividad]]=Indice_Aux_Vacio,"",Indice_PROBLAM_Estudiante5)</f>
        <v/>
      </c>
      <c r="G110" s="7"/>
      <c r="H110" s="8"/>
      <c r="I110" s="9"/>
      <c r="K110" s="12" t="str" cm="1">
        <f t="array" ref="K110">IF($B110&lt;&gt;"",TRANSPOSE(_xlfn._xlws.FILTER(plan!$C$4:$C$52, ($B110 &gt;= (plan!$J$4:$J$52-Indice_Plan_ExtensionPlazo))*($B110 &lt;= (plan!$K$4:$K$52+Indice_Plan_ExtensionPlazo)), "")), "")</f>
        <v/>
      </c>
      <c r="BH110" s="4"/>
    </row>
    <row r="111" spans="2:60" x14ac:dyDescent="0.3">
      <c r="B111" s="6"/>
      <c r="C111" s="10"/>
      <c r="D111" s="48" t="str">
        <f>IF(Tabla_Registro_Tareas5[[#This Row],[Actividad]]=Indice_Aux_Vacio,"",IFERROR(INDEX(plan!$D$4:$D$52,MATCH(Tabla_Registro_Tareas5[[#This Row],[Actividad]],plan!$C$4:$C$52,0)),""))</f>
        <v/>
      </c>
      <c r="E111" s="48" t="str">
        <f>IFERROR(INDEX(plan!$E$4:$E$52,MATCH(Tabla_Registro_Tareas5[[#This Row],[Actividad]],plan!$C$4:$C$52,0)),"")</f>
        <v/>
      </c>
      <c r="F111" s="49" t="str">
        <f>IF(Tabla_Registro_Tareas5[[#This Row],[Actividad]]=Indice_Aux_Vacio,"",Indice_PROBLAM_Estudiante5)</f>
        <v/>
      </c>
      <c r="G111" s="7"/>
      <c r="H111" s="8"/>
      <c r="I111" s="9"/>
      <c r="K111" s="12" t="str" cm="1">
        <f t="array" ref="K111">IF($B111&lt;&gt;"",TRANSPOSE(_xlfn._xlws.FILTER(plan!$C$4:$C$52, ($B111 &gt;= (plan!$J$4:$J$52-Indice_Plan_ExtensionPlazo))*($B111 &lt;= (plan!$K$4:$K$52+Indice_Plan_ExtensionPlazo)), "")), "")</f>
        <v/>
      </c>
      <c r="BH111" s="4"/>
    </row>
    <row r="112" spans="2:60" x14ac:dyDescent="0.3">
      <c r="B112" s="6"/>
      <c r="C112" s="10"/>
      <c r="D112" s="48" t="str">
        <f>IF(Tabla_Registro_Tareas5[[#This Row],[Actividad]]=Indice_Aux_Vacio,"",IFERROR(INDEX(plan!$D$4:$D$52,MATCH(Tabla_Registro_Tareas5[[#This Row],[Actividad]],plan!$C$4:$C$52,0)),""))</f>
        <v/>
      </c>
      <c r="E112" s="48" t="str">
        <f>IFERROR(INDEX(plan!$E$4:$E$52,MATCH(Tabla_Registro_Tareas5[[#This Row],[Actividad]],plan!$C$4:$C$52,0)),"")</f>
        <v/>
      </c>
      <c r="F112" s="49" t="str">
        <f>IF(Tabla_Registro_Tareas5[[#This Row],[Actividad]]=Indice_Aux_Vacio,"",Indice_PROBLAM_Estudiante5)</f>
        <v/>
      </c>
      <c r="G112" s="7"/>
      <c r="H112" s="8"/>
      <c r="I112" s="9"/>
      <c r="K112" s="12" t="str" cm="1">
        <f t="array" ref="K112">IF($B112&lt;&gt;"",TRANSPOSE(_xlfn._xlws.FILTER(plan!$C$4:$C$52, ($B112 &gt;= (plan!$J$4:$J$52-Indice_Plan_ExtensionPlazo))*($B112 &lt;= (plan!$K$4:$K$52+Indice_Plan_ExtensionPlazo)), "")), "")</f>
        <v/>
      </c>
      <c r="BH112" s="4"/>
    </row>
    <row r="113" spans="2:60" x14ac:dyDescent="0.3">
      <c r="B113" s="6"/>
      <c r="C113" s="10"/>
      <c r="D113" s="48" t="str">
        <f>IF(Tabla_Registro_Tareas5[[#This Row],[Actividad]]=Indice_Aux_Vacio,"",IFERROR(INDEX(plan!$D$4:$D$52,MATCH(Tabla_Registro_Tareas5[[#This Row],[Actividad]],plan!$C$4:$C$52,0)),""))</f>
        <v/>
      </c>
      <c r="E113" s="48" t="str">
        <f>IFERROR(INDEX(plan!$E$4:$E$52,MATCH(Tabla_Registro_Tareas5[[#This Row],[Actividad]],plan!$C$4:$C$52,0)),"")</f>
        <v/>
      </c>
      <c r="F113" s="49" t="str">
        <f>IF(Tabla_Registro_Tareas5[[#This Row],[Actividad]]=Indice_Aux_Vacio,"",Indice_PROBLAM_Estudiante5)</f>
        <v/>
      </c>
      <c r="G113" s="7"/>
      <c r="H113" s="8"/>
      <c r="I113" s="9"/>
      <c r="K113" s="12" t="str" cm="1">
        <f t="array" ref="K113">IF($B113&lt;&gt;"",TRANSPOSE(_xlfn._xlws.FILTER(plan!$C$4:$C$52, ($B113 &gt;= (plan!$J$4:$J$52-Indice_Plan_ExtensionPlazo))*($B113 &lt;= (plan!$K$4:$K$52+Indice_Plan_ExtensionPlazo)), "")), "")</f>
        <v/>
      </c>
      <c r="BH113" s="4"/>
    </row>
    <row r="114" spans="2:60" x14ac:dyDescent="0.3">
      <c r="B114" s="6"/>
      <c r="C114" s="10"/>
      <c r="D114" s="48" t="str">
        <f>IF(Tabla_Registro_Tareas5[[#This Row],[Actividad]]=Indice_Aux_Vacio,"",IFERROR(INDEX(plan!$D$4:$D$52,MATCH(Tabla_Registro_Tareas5[[#This Row],[Actividad]],plan!$C$4:$C$52,0)),""))</f>
        <v/>
      </c>
      <c r="E114" s="48" t="str">
        <f>IFERROR(INDEX(plan!$E$4:$E$52,MATCH(Tabla_Registro_Tareas5[[#This Row],[Actividad]],plan!$C$4:$C$52,0)),"")</f>
        <v/>
      </c>
      <c r="F114" s="49" t="str">
        <f>IF(Tabla_Registro_Tareas5[[#This Row],[Actividad]]=Indice_Aux_Vacio,"",Indice_PROBLAM_Estudiante5)</f>
        <v/>
      </c>
      <c r="G114" s="7"/>
      <c r="H114" s="8"/>
      <c r="I114" s="9"/>
      <c r="K114" s="12" t="str" cm="1">
        <f t="array" ref="K114">IF($B114&lt;&gt;"",TRANSPOSE(_xlfn._xlws.FILTER(plan!$C$4:$C$52, ($B114 &gt;= (plan!$J$4:$J$52-Indice_Plan_ExtensionPlazo))*($B114 &lt;= (plan!$K$4:$K$52+Indice_Plan_ExtensionPlazo)), "")), "")</f>
        <v/>
      </c>
      <c r="BH114" s="4"/>
    </row>
    <row r="115" spans="2:60" x14ac:dyDescent="0.3">
      <c r="B115" s="6"/>
      <c r="C115" s="10"/>
      <c r="D115" s="48" t="str">
        <f>IF(Tabla_Registro_Tareas5[[#This Row],[Actividad]]=Indice_Aux_Vacio,"",IFERROR(INDEX(plan!$D$4:$D$52,MATCH(Tabla_Registro_Tareas5[[#This Row],[Actividad]],plan!$C$4:$C$52,0)),""))</f>
        <v/>
      </c>
      <c r="E115" s="48" t="str">
        <f>IFERROR(INDEX(plan!$E$4:$E$52,MATCH(Tabla_Registro_Tareas5[[#This Row],[Actividad]],plan!$C$4:$C$52,0)),"")</f>
        <v/>
      </c>
      <c r="F115" s="49" t="str">
        <f>IF(Tabla_Registro_Tareas5[[#This Row],[Actividad]]=Indice_Aux_Vacio,"",Indice_PROBLAM_Estudiante5)</f>
        <v/>
      </c>
      <c r="G115" s="7"/>
      <c r="H115" s="8"/>
      <c r="I115" s="9"/>
      <c r="K115" s="12" t="str" cm="1">
        <f t="array" ref="K115">IF($B115&lt;&gt;"",TRANSPOSE(_xlfn._xlws.FILTER(plan!$C$4:$C$52, ($B115 &gt;= (plan!$J$4:$J$52-Indice_Plan_ExtensionPlazo))*($B115 &lt;= (plan!$K$4:$K$52+Indice_Plan_ExtensionPlazo)), "")), "")</f>
        <v/>
      </c>
      <c r="BH115" s="4"/>
    </row>
    <row r="116" spans="2:60" x14ac:dyDescent="0.3">
      <c r="B116" s="6"/>
      <c r="C116" s="10"/>
      <c r="D116" s="48" t="str">
        <f>IF(Tabla_Registro_Tareas5[[#This Row],[Actividad]]=Indice_Aux_Vacio,"",IFERROR(INDEX(plan!$D$4:$D$52,MATCH(Tabla_Registro_Tareas5[[#This Row],[Actividad]],plan!$C$4:$C$52,0)),""))</f>
        <v/>
      </c>
      <c r="E116" s="48" t="str">
        <f>IFERROR(INDEX(plan!$E$4:$E$52,MATCH(Tabla_Registro_Tareas5[[#This Row],[Actividad]],plan!$C$4:$C$52,0)),"")</f>
        <v/>
      </c>
      <c r="F116" s="49" t="str">
        <f>IF(Tabla_Registro_Tareas5[[#This Row],[Actividad]]=Indice_Aux_Vacio,"",Indice_PROBLAM_Estudiante5)</f>
        <v/>
      </c>
      <c r="G116" s="7"/>
      <c r="H116" s="8"/>
      <c r="I116" s="9"/>
      <c r="K116" s="12" t="str" cm="1">
        <f t="array" ref="K116">IF($B116&lt;&gt;"",TRANSPOSE(_xlfn._xlws.FILTER(plan!$C$4:$C$52, ($B116 &gt;= (plan!$J$4:$J$52-Indice_Plan_ExtensionPlazo))*($B116 &lt;= (plan!$K$4:$K$52+Indice_Plan_ExtensionPlazo)), "")), "")</f>
        <v/>
      </c>
      <c r="BH116" s="4"/>
    </row>
    <row r="117" spans="2:60" x14ac:dyDescent="0.3">
      <c r="B117" s="6"/>
      <c r="C117" s="10"/>
      <c r="D117" s="48" t="str">
        <f>IF(Tabla_Registro_Tareas5[[#This Row],[Actividad]]=Indice_Aux_Vacio,"",IFERROR(INDEX(plan!$D$4:$D$52,MATCH(Tabla_Registro_Tareas5[[#This Row],[Actividad]],plan!$C$4:$C$52,0)),""))</f>
        <v/>
      </c>
      <c r="E117" s="48" t="str">
        <f>IFERROR(INDEX(plan!$E$4:$E$52,MATCH(Tabla_Registro_Tareas5[[#This Row],[Actividad]],plan!$C$4:$C$52,0)),"")</f>
        <v/>
      </c>
      <c r="F117" s="49" t="str">
        <f>IF(Tabla_Registro_Tareas5[[#This Row],[Actividad]]=Indice_Aux_Vacio,"",Indice_PROBLAM_Estudiante5)</f>
        <v/>
      </c>
      <c r="G117" s="7"/>
      <c r="H117" s="8"/>
      <c r="I117" s="9"/>
      <c r="K117" s="12" t="str" cm="1">
        <f t="array" ref="K117">IF($B117&lt;&gt;"",TRANSPOSE(_xlfn._xlws.FILTER(plan!$C$4:$C$52, ($B117 &gt;= (plan!$J$4:$J$52-Indice_Plan_ExtensionPlazo))*($B117 &lt;= (plan!$K$4:$K$52+Indice_Plan_ExtensionPlazo)), "")), "")</f>
        <v/>
      </c>
      <c r="BH117" s="4"/>
    </row>
    <row r="118" spans="2:60" x14ac:dyDescent="0.3">
      <c r="B118" s="6"/>
      <c r="C118" s="10"/>
      <c r="D118" s="48" t="str">
        <f>IF(Tabla_Registro_Tareas5[[#This Row],[Actividad]]=Indice_Aux_Vacio,"",IFERROR(INDEX(plan!$D$4:$D$52,MATCH(Tabla_Registro_Tareas5[[#This Row],[Actividad]],plan!$C$4:$C$52,0)),""))</f>
        <v/>
      </c>
      <c r="E118" s="48" t="str">
        <f>IFERROR(INDEX(plan!$E$4:$E$52,MATCH(Tabla_Registro_Tareas5[[#This Row],[Actividad]],plan!$C$4:$C$52,0)),"")</f>
        <v/>
      </c>
      <c r="F118" s="49" t="str">
        <f>IF(Tabla_Registro_Tareas5[[#This Row],[Actividad]]=Indice_Aux_Vacio,"",Indice_PROBLAM_Estudiante5)</f>
        <v/>
      </c>
      <c r="G118" s="7"/>
      <c r="H118" s="8"/>
      <c r="I118" s="9"/>
      <c r="K118" s="12" t="str" cm="1">
        <f t="array" ref="K118">IF($B118&lt;&gt;"",TRANSPOSE(_xlfn._xlws.FILTER(plan!$C$4:$C$52, ($B118 &gt;= (plan!$J$4:$J$52-Indice_Plan_ExtensionPlazo))*($B118 &lt;= (plan!$K$4:$K$52+Indice_Plan_ExtensionPlazo)), "")), "")</f>
        <v/>
      </c>
      <c r="BH118" s="4"/>
    </row>
    <row r="119" spans="2:60" x14ac:dyDescent="0.3">
      <c r="B119" s="6"/>
      <c r="C119" s="10"/>
      <c r="D119" s="48" t="str">
        <f>IF(Tabla_Registro_Tareas5[[#This Row],[Actividad]]=Indice_Aux_Vacio,"",IFERROR(INDEX(plan!$D$4:$D$52,MATCH(Tabla_Registro_Tareas5[[#This Row],[Actividad]],plan!$C$4:$C$52,0)),""))</f>
        <v/>
      </c>
      <c r="E119" s="48" t="str">
        <f>IFERROR(INDEX(plan!$E$4:$E$52,MATCH(Tabla_Registro_Tareas5[[#This Row],[Actividad]],plan!$C$4:$C$52,0)),"")</f>
        <v/>
      </c>
      <c r="F119" s="49" t="str">
        <f>IF(Tabla_Registro_Tareas5[[#This Row],[Actividad]]=Indice_Aux_Vacio,"",Indice_PROBLAM_Estudiante5)</f>
        <v/>
      </c>
      <c r="G119" s="7"/>
      <c r="H119" s="8"/>
      <c r="I119" s="9"/>
      <c r="K119" s="12" t="str" cm="1">
        <f t="array" ref="K119">IF($B119&lt;&gt;"",TRANSPOSE(_xlfn._xlws.FILTER(plan!$C$4:$C$52, ($B119 &gt;= (plan!$J$4:$J$52-Indice_Plan_ExtensionPlazo))*($B119 &lt;= (plan!$K$4:$K$52+Indice_Plan_ExtensionPlazo)), "")), "")</f>
        <v/>
      </c>
      <c r="BH119" s="4"/>
    </row>
    <row r="120" spans="2:60" x14ac:dyDescent="0.3">
      <c r="B120" s="6"/>
      <c r="C120" s="10"/>
      <c r="D120" s="48" t="str">
        <f>IF(Tabla_Registro_Tareas5[[#This Row],[Actividad]]=Indice_Aux_Vacio,"",IFERROR(INDEX(plan!$D$4:$D$52,MATCH(Tabla_Registro_Tareas5[[#This Row],[Actividad]],plan!$C$4:$C$52,0)),""))</f>
        <v/>
      </c>
      <c r="E120" s="48" t="str">
        <f>IFERROR(INDEX(plan!$E$4:$E$52,MATCH(Tabla_Registro_Tareas5[[#This Row],[Actividad]],plan!$C$4:$C$52,0)),"")</f>
        <v/>
      </c>
      <c r="F120" s="49" t="str">
        <f>IF(Tabla_Registro_Tareas5[[#This Row],[Actividad]]=Indice_Aux_Vacio,"",Indice_PROBLAM_Estudiante5)</f>
        <v/>
      </c>
      <c r="G120" s="7"/>
      <c r="H120" s="8"/>
      <c r="I120" s="9"/>
      <c r="K120" s="12" t="str" cm="1">
        <f t="array" ref="K120">IF($B120&lt;&gt;"",TRANSPOSE(_xlfn._xlws.FILTER(plan!$C$4:$C$52, ($B120 &gt;= (plan!$J$4:$J$52-Indice_Plan_ExtensionPlazo))*($B120 &lt;= (plan!$K$4:$K$52+Indice_Plan_ExtensionPlazo)), "")), "")</f>
        <v/>
      </c>
      <c r="BH120" s="4"/>
    </row>
    <row r="121" spans="2:60" x14ac:dyDescent="0.3">
      <c r="B121" s="6"/>
      <c r="C121" s="10"/>
      <c r="D121" s="48" t="str">
        <f>IF(Tabla_Registro_Tareas5[[#This Row],[Actividad]]=Indice_Aux_Vacio,"",IFERROR(INDEX(plan!$D$4:$D$52,MATCH(Tabla_Registro_Tareas5[[#This Row],[Actividad]],plan!$C$4:$C$52,0)),""))</f>
        <v/>
      </c>
      <c r="E121" s="48" t="str">
        <f>IFERROR(INDEX(plan!$E$4:$E$52,MATCH(Tabla_Registro_Tareas5[[#This Row],[Actividad]],plan!$C$4:$C$52,0)),"")</f>
        <v/>
      </c>
      <c r="F121" s="49" t="str">
        <f>IF(Tabla_Registro_Tareas5[[#This Row],[Actividad]]=Indice_Aux_Vacio,"",Indice_PROBLAM_Estudiante5)</f>
        <v/>
      </c>
      <c r="G121" s="7"/>
      <c r="H121" s="8"/>
      <c r="I121" s="9"/>
      <c r="K121" s="12" t="str" cm="1">
        <f t="array" ref="K121">IF($B121&lt;&gt;"",TRANSPOSE(_xlfn._xlws.FILTER(plan!$C$4:$C$52, ($B121 &gt;= (plan!$J$4:$J$52-Indice_Plan_ExtensionPlazo))*($B121 &lt;= (plan!$K$4:$K$52+Indice_Plan_ExtensionPlazo)), "")), "")</f>
        <v/>
      </c>
      <c r="BH121" s="4"/>
    </row>
    <row r="122" spans="2:60" x14ac:dyDescent="0.3">
      <c r="B122" s="6"/>
      <c r="C122" s="10"/>
      <c r="D122" s="48" t="str">
        <f>IF(Tabla_Registro_Tareas5[[#This Row],[Actividad]]=Indice_Aux_Vacio,"",IFERROR(INDEX(plan!$D$4:$D$52,MATCH(Tabla_Registro_Tareas5[[#This Row],[Actividad]],plan!$C$4:$C$52,0)),""))</f>
        <v/>
      </c>
      <c r="E122" s="48" t="str">
        <f>IFERROR(INDEX(plan!$E$4:$E$52,MATCH(Tabla_Registro_Tareas5[[#This Row],[Actividad]],plan!$C$4:$C$52,0)),"")</f>
        <v/>
      </c>
      <c r="F122" s="49" t="str">
        <f>IF(Tabla_Registro_Tareas5[[#This Row],[Actividad]]=Indice_Aux_Vacio,"",Indice_PROBLAM_Estudiante5)</f>
        <v/>
      </c>
      <c r="G122" s="7"/>
      <c r="H122" s="8"/>
      <c r="I122" s="9"/>
      <c r="K122" s="12" t="str" cm="1">
        <f t="array" ref="K122">IF($B122&lt;&gt;"",TRANSPOSE(_xlfn._xlws.FILTER(plan!$C$4:$C$52, ($B122 &gt;= (plan!$J$4:$J$52-Indice_Plan_ExtensionPlazo))*($B122 &lt;= (plan!$K$4:$K$52+Indice_Plan_ExtensionPlazo)), "")), "")</f>
        <v/>
      </c>
      <c r="BH122" s="4"/>
    </row>
    <row r="123" spans="2:60" x14ac:dyDescent="0.3">
      <c r="B123" s="6"/>
      <c r="C123" s="10"/>
      <c r="D123" s="48" t="str">
        <f>IF(Tabla_Registro_Tareas5[[#This Row],[Actividad]]=Indice_Aux_Vacio,"",IFERROR(INDEX(plan!$D$4:$D$52,MATCH(Tabla_Registro_Tareas5[[#This Row],[Actividad]],plan!$C$4:$C$52,0)),""))</f>
        <v/>
      </c>
      <c r="E123" s="48" t="str">
        <f>IFERROR(INDEX(plan!$E$4:$E$52,MATCH(Tabla_Registro_Tareas5[[#This Row],[Actividad]],plan!$C$4:$C$52,0)),"")</f>
        <v/>
      </c>
      <c r="F123" s="49" t="str">
        <f>IF(Tabla_Registro_Tareas5[[#This Row],[Actividad]]=Indice_Aux_Vacio,"",Indice_PROBLAM_Estudiante5)</f>
        <v/>
      </c>
      <c r="G123" s="7"/>
      <c r="H123" s="8"/>
      <c r="I123" s="9"/>
      <c r="K123" s="12" t="str" cm="1">
        <f t="array" ref="K123">IF($B123&lt;&gt;"",TRANSPOSE(_xlfn._xlws.FILTER(plan!$C$4:$C$52, ($B123 &gt;= (plan!$J$4:$J$52-Indice_Plan_ExtensionPlazo))*($B123 &lt;= (plan!$K$4:$K$52+Indice_Plan_ExtensionPlazo)), "")), "")</f>
        <v/>
      </c>
      <c r="BH123" s="4"/>
    </row>
    <row r="124" spans="2:60" x14ac:dyDescent="0.3">
      <c r="B124" s="6"/>
      <c r="C124" s="10"/>
      <c r="D124" s="48" t="str">
        <f>IF(Tabla_Registro_Tareas5[[#This Row],[Actividad]]=Indice_Aux_Vacio,"",IFERROR(INDEX(plan!$D$4:$D$52,MATCH(Tabla_Registro_Tareas5[[#This Row],[Actividad]],plan!$C$4:$C$52,0)),""))</f>
        <v/>
      </c>
      <c r="E124" s="48" t="str">
        <f>IFERROR(INDEX(plan!$E$4:$E$52,MATCH(Tabla_Registro_Tareas5[[#This Row],[Actividad]],plan!$C$4:$C$52,0)),"")</f>
        <v/>
      </c>
      <c r="F124" s="49" t="str">
        <f>IF(Tabla_Registro_Tareas5[[#This Row],[Actividad]]=Indice_Aux_Vacio,"",Indice_PROBLAM_Estudiante5)</f>
        <v/>
      </c>
      <c r="G124" s="7"/>
      <c r="H124" s="8"/>
      <c r="I124" s="9"/>
      <c r="K124" s="12" t="str" cm="1">
        <f t="array" ref="K124">IF($B124&lt;&gt;"",TRANSPOSE(_xlfn._xlws.FILTER(plan!$C$4:$C$52, ($B124 &gt;= (plan!$J$4:$J$52-Indice_Plan_ExtensionPlazo))*($B124 &lt;= (plan!$K$4:$K$52+Indice_Plan_ExtensionPlazo)), "")), "")</f>
        <v/>
      </c>
      <c r="BH124" s="4"/>
    </row>
    <row r="125" spans="2:60" x14ac:dyDescent="0.3">
      <c r="B125" s="6"/>
      <c r="C125" s="10"/>
      <c r="D125" s="48" t="str">
        <f>IF(Tabla_Registro_Tareas5[[#This Row],[Actividad]]=Indice_Aux_Vacio,"",IFERROR(INDEX(plan!$D$4:$D$52,MATCH(Tabla_Registro_Tareas5[[#This Row],[Actividad]],plan!$C$4:$C$52,0)),""))</f>
        <v/>
      </c>
      <c r="E125" s="48" t="str">
        <f>IFERROR(INDEX(plan!$E$4:$E$52,MATCH(Tabla_Registro_Tareas5[[#This Row],[Actividad]],plan!$C$4:$C$52,0)),"")</f>
        <v/>
      </c>
      <c r="F125" s="49" t="str">
        <f>IF(Tabla_Registro_Tareas5[[#This Row],[Actividad]]=Indice_Aux_Vacio,"",Indice_PROBLAM_Estudiante5)</f>
        <v/>
      </c>
      <c r="G125" s="7"/>
      <c r="H125" s="8"/>
      <c r="I125" s="9"/>
      <c r="K125" s="12" t="str" cm="1">
        <f t="array" ref="K125">IF($B125&lt;&gt;"",TRANSPOSE(_xlfn._xlws.FILTER(plan!$C$4:$C$52, ($B125 &gt;= (plan!$J$4:$J$52-Indice_Plan_ExtensionPlazo))*($B125 &lt;= (plan!$K$4:$K$52+Indice_Plan_ExtensionPlazo)), "")), "")</f>
        <v/>
      </c>
      <c r="BH125" s="4"/>
    </row>
    <row r="126" spans="2:60" x14ac:dyDescent="0.3">
      <c r="B126" s="6"/>
      <c r="C126" s="10"/>
      <c r="D126" s="48" t="str">
        <f>IF(Tabla_Registro_Tareas5[[#This Row],[Actividad]]=Indice_Aux_Vacio,"",IFERROR(INDEX(plan!$D$4:$D$52,MATCH(Tabla_Registro_Tareas5[[#This Row],[Actividad]],plan!$C$4:$C$52,0)),""))</f>
        <v/>
      </c>
      <c r="E126" s="48" t="str">
        <f>IFERROR(INDEX(plan!$E$4:$E$52,MATCH(Tabla_Registro_Tareas5[[#This Row],[Actividad]],plan!$C$4:$C$52,0)),"")</f>
        <v/>
      </c>
      <c r="F126" s="49" t="str">
        <f>IF(Tabla_Registro_Tareas5[[#This Row],[Actividad]]=Indice_Aux_Vacio,"",Indice_PROBLAM_Estudiante5)</f>
        <v/>
      </c>
      <c r="G126" s="7"/>
      <c r="H126" s="8"/>
      <c r="I126" s="9"/>
      <c r="K126" s="12" t="str" cm="1">
        <f t="array" ref="K126">IF($B126&lt;&gt;"",TRANSPOSE(_xlfn._xlws.FILTER(plan!$C$4:$C$52, ($B126 &gt;= (plan!$J$4:$J$52-Indice_Plan_ExtensionPlazo))*($B126 &lt;= (plan!$K$4:$K$52+Indice_Plan_ExtensionPlazo)), "")), "")</f>
        <v/>
      </c>
      <c r="BH126" s="4"/>
    </row>
    <row r="127" spans="2:60" x14ac:dyDescent="0.3">
      <c r="B127" s="6"/>
      <c r="C127" s="10"/>
      <c r="D127" s="48" t="str">
        <f>IF(Tabla_Registro_Tareas5[[#This Row],[Actividad]]=Indice_Aux_Vacio,"",IFERROR(INDEX(plan!$D$4:$D$52,MATCH(Tabla_Registro_Tareas5[[#This Row],[Actividad]],plan!$C$4:$C$52,0)),""))</f>
        <v/>
      </c>
      <c r="E127" s="48" t="str">
        <f>IFERROR(INDEX(plan!$E$4:$E$52,MATCH(Tabla_Registro_Tareas5[[#This Row],[Actividad]],plan!$C$4:$C$52,0)),"")</f>
        <v/>
      </c>
      <c r="F127" s="49" t="str">
        <f>IF(Tabla_Registro_Tareas5[[#This Row],[Actividad]]=Indice_Aux_Vacio,"",Indice_PROBLAM_Estudiante5)</f>
        <v/>
      </c>
      <c r="G127" s="7"/>
      <c r="H127" s="8"/>
      <c r="I127" s="9"/>
      <c r="K127" s="12" t="str" cm="1">
        <f t="array" ref="K127">IF($B127&lt;&gt;"",TRANSPOSE(_xlfn._xlws.FILTER(plan!$C$4:$C$52, ($B127 &gt;= (plan!$J$4:$J$52-Indice_Plan_ExtensionPlazo))*($B127 &lt;= (plan!$K$4:$K$52+Indice_Plan_ExtensionPlazo)), "")), "")</f>
        <v/>
      </c>
      <c r="BH127" s="4"/>
    </row>
    <row r="128" spans="2:60" x14ac:dyDescent="0.3">
      <c r="B128" s="6"/>
      <c r="C128" s="10"/>
      <c r="D128" s="48" t="str">
        <f>IF(Tabla_Registro_Tareas5[[#This Row],[Actividad]]=Indice_Aux_Vacio,"",IFERROR(INDEX(plan!$D$4:$D$52,MATCH(Tabla_Registro_Tareas5[[#This Row],[Actividad]],plan!$C$4:$C$52,0)),""))</f>
        <v/>
      </c>
      <c r="E128" s="48" t="str">
        <f>IFERROR(INDEX(plan!$E$4:$E$52,MATCH(Tabla_Registro_Tareas5[[#This Row],[Actividad]],plan!$C$4:$C$52,0)),"")</f>
        <v/>
      </c>
      <c r="F128" s="49" t="str">
        <f>IF(Tabla_Registro_Tareas5[[#This Row],[Actividad]]=Indice_Aux_Vacio,"",Indice_PROBLAM_Estudiante5)</f>
        <v/>
      </c>
      <c r="G128" s="7"/>
      <c r="H128" s="8"/>
      <c r="I128" s="9"/>
      <c r="K128" s="12" t="str" cm="1">
        <f t="array" ref="K128">IF($B128&lt;&gt;"",TRANSPOSE(_xlfn._xlws.FILTER(plan!$C$4:$C$52, ($B128 &gt;= (plan!$J$4:$J$52-Indice_Plan_ExtensionPlazo))*($B128 &lt;= (plan!$K$4:$K$52+Indice_Plan_ExtensionPlazo)), "")), "")</f>
        <v/>
      </c>
      <c r="BH128" s="4"/>
    </row>
    <row r="129" spans="2:60" x14ac:dyDescent="0.3">
      <c r="B129" s="6"/>
      <c r="C129" s="10"/>
      <c r="D129" s="48" t="str">
        <f>IF(Tabla_Registro_Tareas5[[#This Row],[Actividad]]=Indice_Aux_Vacio,"",IFERROR(INDEX(plan!$D$4:$D$52,MATCH(Tabla_Registro_Tareas5[[#This Row],[Actividad]],plan!$C$4:$C$52,0)),""))</f>
        <v/>
      </c>
      <c r="E129" s="48" t="str">
        <f>IFERROR(INDEX(plan!$E$4:$E$52,MATCH(Tabla_Registro_Tareas5[[#This Row],[Actividad]],plan!$C$4:$C$52,0)),"")</f>
        <v/>
      </c>
      <c r="F129" s="49" t="str">
        <f>IF(Tabla_Registro_Tareas5[[#This Row],[Actividad]]=Indice_Aux_Vacio,"",Indice_PROBLAM_Estudiante5)</f>
        <v/>
      </c>
      <c r="G129" s="7"/>
      <c r="H129" s="8"/>
      <c r="I129" s="9"/>
      <c r="K129" s="12" t="str" cm="1">
        <f t="array" ref="K129">IF($B129&lt;&gt;"",TRANSPOSE(_xlfn._xlws.FILTER(plan!$C$4:$C$52, ($B129 &gt;= (plan!$J$4:$J$52-Indice_Plan_ExtensionPlazo))*($B129 &lt;= (plan!$K$4:$K$52+Indice_Plan_ExtensionPlazo)), "")), "")</f>
        <v/>
      </c>
      <c r="BH129" s="4"/>
    </row>
    <row r="130" spans="2:60" x14ac:dyDescent="0.3">
      <c r="B130" s="6"/>
      <c r="C130" s="10"/>
      <c r="D130" s="48" t="str">
        <f>IF(Tabla_Registro_Tareas5[[#This Row],[Actividad]]=Indice_Aux_Vacio,"",IFERROR(INDEX(plan!$D$4:$D$52,MATCH(Tabla_Registro_Tareas5[[#This Row],[Actividad]],plan!$C$4:$C$52,0)),""))</f>
        <v/>
      </c>
      <c r="E130" s="48" t="str">
        <f>IFERROR(INDEX(plan!$E$4:$E$52,MATCH(Tabla_Registro_Tareas5[[#This Row],[Actividad]],plan!$C$4:$C$52,0)),"")</f>
        <v/>
      </c>
      <c r="F130" s="49" t="str">
        <f>IF(Tabla_Registro_Tareas5[[#This Row],[Actividad]]=Indice_Aux_Vacio,"",Indice_PROBLAM_Estudiante5)</f>
        <v/>
      </c>
      <c r="G130" s="7"/>
      <c r="H130" s="8"/>
      <c r="I130" s="9"/>
      <c r="K130" s="12" t="str" cm="1">
        <f t="array" ref="K130">IF($B130&lt;&gt;"",TRANSPOSE(_xlfn._xlws.FILTER(plan!$C$4:$C$52, ($B130 &gt;= (plan!$J$4:$J$52-Indice_Plan_ExtensionPlazo))*($B130 &lt;= (plan!$K$4:$K$52+Indice_Plan_ExtensionPlazo)), "")), "")</f>
        <v/>
      </c>
      <c r="BH130" s="4"/>
    </row>
    <row r="131" spans="2:60" x14ac:dyDescent="0.3">
      <c r="B131" s="6"/>
      <c r="C131" s="10"/>
      <c r="D131" s="48" t="str">
        <f>IF(Tabla_Registro_Tareas5[[#This Row],[Actividad]]=Indice_Aux_Vacio,"",IFERROR(INDEX(plan!$D$4:$D$52,MATCH(Tabla_Registro_Tareas5[[#This Row],[Actividad]],plan!$C$4:$C$52,0)),""))</f>
        <v/>
      </c>
      <c r="E131" s="48" t="str">
        <f>IFERROR(INDEX(plan!$E$4:$E$52,MATCH(Tabla_Registro_Tareas5[[#This Row],[Actividad]],plan!$C$4:$C$52,0)),"")</f>
        <v/>
      </c>
      <c r="F131" s="49" t="str">
        <f>IF(Tabla_Registro_Tareas5[[#This Row],[Actividad]]=Indice_Aux_Vacio,"",Indice_PROBLAM_Estudiante5)</f>
        <v/>
      </c>
      <c r="G131" s="7"/>
      <c r="H131" s="8"/>
      <c r="I131" s="9"/>
      <c r="K131" s="12" t="str" cm="1">
        <f t="array" ref="K131">IF($B131&lt;&gt;"",TRANSPOSE(_xlfn._xlws.FILTER(plan!$C$4:$C$52, ($B131 &gt;= (plan!$J$4:$J$52-Indice_Plan_ExtensionPlazo))*($B131 &lt;= (plan!$K$4:$K$52+Indice_Plan_ExtensionPlazo)), "")), "")</f>
        <v/>
      </c>
      <c r="BH131" s="4"/>
    </row>
    <row r="132" spans="2:60" x14ac:dyDescent="0.3">
      <c r="B132" s="6"/>
      <c r="C132" s="10"/>
      <c r="D132" s="48" t="str">
        <f>IF(Tabla_Registro_Tareas5[[#This Row],[Actividad]]=Indice_Aux_Vacio,"",IFERROR(INDEX(plan!$D$4:$D$52,MATCH(Tabla_Registro_Tareas5[[#This Row],[Actividad]],plan!$C$4:$C$52,0)),""))</f>
        <v/>
      </c>
      <c r="E132" s="48" t="str">
        <f>IFERROR(INDEX(plan!$E$4:$E$52,MATCH(Tabla_Registro_Tareas5[[#This Row],[Actividad]],plan!$C$4:$C$52,0)),"")</f>
        <v/>
      </c>
      <c r="F132" s="49" t="str">
        <f>IF(Tabla_Registro_Tareas5[[#This Row],[Actividad]]=Indice_Aux_Vacio,"",Indice_PROBLAM_Estudiante5)</f>
        <v/>
      </c>
      <c r="G132" s="7"/>
      <c r="H132" s="8"/>
      <c r="I132" s="9"/>
      <c r="K132" s="12" t="str" cm="1">
        <f t="array" ref="K132">IF($B132&lt;&gt;"",TRANSPOSE(_xlfn._xlws.FILTER(plan!$C$4:$C$52, ($B132 &gt;= (plan!$J$4:$J$52-Indice_Plan_ExtensionPlazo))*($B132 &lt;= (plan!$K$4:$K$52+Indice_Plan_ExtensionPlazo)), "")), "")</f>
        <v/>
      </c>
      <c r="BH132" s="4"/>
    </row>
    <row r="133" spans="2:60" x14ac:dyDescent="0.3">
      <c r="B133" s="6"/>
      <c r="C133" s="10"/>
      <c r="D133" s="48" t="str">
        <f>IF(Tabla_Registro_Tareas5[[#This Row],[Actividad]]=Indice_Aux_Vacio,"",IFERROR(INDEX(plan!$D$4:$D$52,MATCH(Tabla_Registro_Tareas5[[#This Row],[Actividad]],plan!$C$4:$C$52,0)),""))</f>
        <v/>
      </c>
      <c r="E133" s="48" t="str">
        <f>IFERROR(INDEX(plan!$E$4:$E$52,MATCH(Tabla_Registro_Tareas5[[#This Row],[Actividad]],plan!$C$4:$C$52,0)),"")</f>
        <v/>
      </c>
      <c r="F133" s="49" t="str">
        <f>IF(Tabla_Registro_Tareas5[[#This Row],[Actividad]]=Indice_Aux_Vacio,"",Indice_PROBLAM_Estudiante5)</f>
        <v/>
      </c>
      <c r="G133" s="7"/>
      <c r="H133" s="8"/>
      <c r="I133" s="9"/>
      <c r="K133" s="12" t="str" cm="1">
        <f t="array" ref="K133">IF($B133&lt;&gt;"",TRANSPOSE(_xlfn._xlws.FILTER(plan!$C$4:$C$52, ($B133 &gt;= (plan!$J$4:$J$52-Indice_Plan_ExtensionPlazo))*($B133 &lt;= (plan!$K$4:$K$52+Indice_Plan_ExtensionPlazo)), "")), "")</f>
        <v/>
      </c>
      <c r="BH133" s="4"/>
    </row>
    <row r="134" spans="2:60" x14ac:dyDescent="0.3">
      <c r="B134" s="6"/>
      <c r="C134" s="10"/>
      <c r="D134" s="48" t="str">
        <f>IF(Tabla_Registro_Tareas5[[#This Row],[Actividad]]=Indice_Aux_Vacio,"",IFERROR(INDEX(plan!$D$4:$D$52,MATCH(Tabla_Registro_Tareas5[[#This Row],[Actividad]],plan!$C$4:$C$52,0)),""))</f>
        <v/>
      </c>
      <c r="E134" s="48" t="str">
        <f>IFERROR(INDEX(plan!$E$4:$E$52,MATCH(Tabla_Registro_Tareas5[[#This Row],[Actividad]],plan!$C$4:$C$52,0)),"")</f>
        <v/>
      </c>
      <c r="F134" s="49" t="str">
        <f>IF(Tabla_Registro_Tareas5[[#This Row],[Actividad]]=Indice_Aux_Vacio,"",Indice_PROBLAM_Estudiante5)</f>
        <v/>
      </c>
      <c r="G134" s="7"/>
      <c r="H134" s="8"/>
      <c r="I134" s="9"/>
      <c r="K134" s="12" t="str" cm="1">
        <f t="array" ref="K134">IF($B134&lt;&gt;"",TRANSPOSE(_xlfn._xlws.FILTER(plan!$C$4:$C$52, ($B134 &gt;= (plan!$J$4:$J$52-Indice_Plan_ExtensionPlazo))*($B134 &lt;= (plan!$K$4:$K$52+Indice_Plan_ExtensionPlazo)), "")), "")</f>
        <v/>
      </c>
      <c r="BH134" s="4"/>
    </row>
    <row r="135" spans="2:60" x14ac:dyDescent="0.3">
      <c r="B135" s="6"/>
      <c r="C135" s="10"/>
      <c r="D135" s="48" t="str">
        <f>IF(Tabla_Registro_Tareas5[[#This Row],[Actividad]]=Indice_Aux_Vacio,"",IFERROR(INDEX(plan!$D$4:$D$52,MATCH(Tabla_Registro_Tareas5[[#This Row],[Actividad]],plan!$C$4:$C$52,0)),""))</f>
        <v/>
      </c>
      <c r="E135" s="48" t="str">
        <f>IFERROR(INDEX(plan!$E$4:$E$52,MATCH(Tabla_Registro_Tareas5[[#This Row],[Actividad]],plan!$C$4:$C$52,0)),"")</f>
        <v/>
      </c>
      <c r="F135" s="49" t="str">
        <f>IF(Tabla_Registro_Tareas5[[#This Row],[Actividad]]=Indice_Aux_Vacio,"",Indice_PROBLAM_Estudiante5)</f>
        <v/>
      </c>
      <c r="G135" s="7"/>
      <c r="H135" s="8"/>
      <c r="I135" s="9"/>
      <c r="K135" s="12" t="str" cm="1">
        <f t="array" ref="K135">IF($B135&lt;&gt;"",TRANSPOSE(_xlfn._xlws.FILTER(plan!$C$4:$C$52, ($B135 &gt;= (plan!$J$4:$J$52-Indice_Plan_ExtensionPlazo))*($B135 &lt;= (plan!$K$4:$K$52+Indice_Plan_ExtensionPlazo)), "")), "")</f>
        <v/>
      </c>
      <c r="BH135" s="4"/>
    </row>
    <row r="136" spans="2:60" x14ac:dyDescent="0.3">
      <c r="B136" s="6"/>
      <c r="C136" s="10"/>
      <c r="D136" s="48" t="str">
        <f>IF(Tabla_Registro_Tareas5[[#This Row],[Actividad]]=Indice_Aux_Vacio,"",IFERROR(INDEX(plan!$D$4:$D$52,MATCH(Tabla_Registro_Tareas5[[#This Row],[Actividad]],plan!$C$4:$C$52,0)),""))</f>
        <v/>
      </c>
      <c r="E136" s="48" t="str">
        <f>IFERROR(INDEX(plan!$E$4:$E$52,MATCH(Tabla_Registro_Tareas5[[#This Row],[Actividad]],plan!$C$4:$C$52,0)),"")</f>
        <v/>
      </c>
      <c r="F136" s="49" t="str">
        <f>IF(Tabla_Registro_Tareas5[[#This Row],[Actividad]]=Indice_Aux_Vacio,"",Indice_PROBLAM_Estudiante5)</f>
        <v/>
      </c>
      <c r="G136" s="7"/>
      <c r="H136" s="8"/>
      <c r="I136" s="9"/>
      <c r="K136" s="12" t="str" cm="1">
        <f t="array" ref="K136">IF($B136&lt;&gt;"",TRANSPOSE(_xlfn._xlws.FILTER(plan!$C$4:$C$52, ($B136 &gt;= (plan!$J$4:$J$52-Indice_Plan_ExtensionPlazo))*($B136 &lt;= (plan!$K$4:$K$52+Indice_Plan_ExtensionPlazo)), "")), "")</f>
        <v/>
      </c>
      <c r="BH136" s="4"/>
    </row>
    <row r="137" spans="2:60" x14ac:dyDescent="0.3">
      <c r="B137" s="6"/>
      <c r="C137" s="10"/>
      <c r="D137" s="48" t="str">
        <f>IF(Tabla_Registro_Tareas5[[#This Row],[Actividad]]=Indice_Aux_Vacio,"",IFERROR(INDEX(plan!$D$4:$D$52,MATCH(Tabla_Registro_Tareas5[[#This Row],[Actividad]],plan!$C$4:$C$52,0)),""))</f>
        <v/>
      </c>
      <c r="E137" s="48" t="str">
        <f>IFERROR(INDEX(plan!$E$4:$E$52,MATCH(Tabla_Registro_Tareas5[[#This Row],[Actividad]],plan!$C$4:$C$52,0)),"")</f>
        <v/>
      </c>
      <c r="F137" s="49" t="str">
        <f>IF(Tabla_Registro_Tareas5[[#This Row],[Actividad]]=Indice_Aux_Vacio,"",Indice_PROBLAM_Estudiante5)</f>
        <v/>
      </c>
      <c r="G137" s="7"/>
      <c r="H137" s="8"/>
      <c r="I137" s="9"/>
      <c r="K137" s="12" t="str" cm="1">
        <f t="array" ref="K137">IF($B137&lt;&gt;"",TRANSPOSE(_xlfn._xlws.FILTER(plan!$C$4:$C$52, ($B137 &gt;= (plan!$J$4:$J$52-Indice_Plan_ExtensionPlazo))*($B137 &lt;= (plan!$K$4:$K$52+Indice_Plan_ExtensionPlazo)), "")), "")</f>
        <v/>
      </c>
      <c r="BH137" s="4"/>
    </row>
    <row r="138" spans="2:60" x14ac:dyDescent="0.3">
      <c r="B138" s="6"/>
      <c r="C138" s="10"/>
      <c r="D138" s="48" t="str">
        <f>IF(Tabla_Registro_Tareas5[[#This Row],[Actividad]]=Indice_Aux_Vacio,"",IFERROR(INDEX(plan!$D$4:$D$52,MATCH(Tabla_Registro_Tareas5[[#This Row],[Actividad]],plan!$C$4:$C$52,0)),""))</f>
        <v/>
      </c>
      <c r="E138" s="48" t="str">
        <f>IFERROR(INDEX(plan!$E$4:$E$52,MATCH(Tabla_Registro_Tareas5[[#This Row],[Actividad]],plan!$C$4:$C$52,0)),"")</f>
        <v/>
      </c>
      <c r="F138" s="49" t="str">
        <f>IF(Tabla_Registro_Tareas5[[#This Row],[Actividad]]=Indice_Aux_Vacio,"",Indice_PROBLAM_Estudiante5)</f>
        <v/>
      </c>
      <c r="G138" s="7"/>
      <c r="H138" s="8"/>
      <c r="I138" s="9"/>
      <c r="K138" s="12" t="str" cm="1">
        <f t="array" ref="K138">IF($B138&lt;&gt;"",TRANSPOSE(_xlfn._xlws.FILTER(plan!$C$4:$C$52, ($B138 &gt;= (plan!$J$4:$J$52-Indice_Plan_ExtensionPlazo))*($B138 &lt;= (plan!$K$4:$K$52+Indice_Plan_ExtensionPlazo)), "")), "")</f>
        <v/>
      </c>
      <c r="BH138" s="4"/>
    </row>
    <row r="139" spans="2:60" x14ac:dyDescent="0.3">
      <c r="B139" s="6"/>
      <c r="C139" s="10"/>
      <c r="D139" s="48" t="str">
        <f>IF(Tabla_Registro_Tareas5[[#This Row],[Actividad]]=Indice_Aux_Vacio,"",IFERROR(INDEX(plan!$D$4:$D$52,MATCH(Tabla_Registro_Tareas5[[#This Row],[Actividad]],plan!$C$4:$C$52,0)),""))</f>
        <v/>
      </c>
      <c r="E139" s="48" t="str">
        <f>IFERROR(INDEX(plan!$E$4:$E$52,MATCH(Tabla_Registro_Tareas5[[#This Row],[Actividad]],plan!$C$4:$C$52,0)),"")</f>
        <v/>
      </c>
      <c r="F139" s="49" t="str">
        <f>IF(Tabla_Registro_Tareas5[[#This Row],[Actividad]]=Indice_Aux_Vacio,"",Indice_PROBLAM_Estudiante5)</f>
        <v/>
      </c>
      <c r="G139" s="7"/>
      <c r="H139" s="8"/>
      <c r="I139" s="9"/>
      <c r="K139" s="12" t="str" cm="1">
        <f t="array" ref="K139">IF($B139&lt;&gt;"",TRANSPOSE(_xlfn._xlws.FILTER(plan!$C$4:$C$52, ($B139 &gt;= (plan!$J$4:$J$52-Indice_Plan_ExtensionPlazo))*($B139 &lt;= (plan!$K$4:$K$52+Indice_Plan_ExtensionPlazo)), "")), "")</f>
        <v/>
      </c>
      <c r="BH139" s="4"/>
    </row>
    <row r="140" spans="2:60" x14ac:dyDescent="0.3">
      <c r="B140" s="6"/>
      <c r="C140" s="10"/>
      <c r="D140" s="48" t="str">
        <f>IF(Tabla_Registro_Tareas5[[#This Row],[Actividad]]=Indice_Aux_Vacio,"",IFERROR(INDEX(plan!$D$4:$D$52,MATCH(Tabla_Registro_Tareas5[[#This Row],[Actividad]],plan!$C$4:$C$52,0)),""))</f>
        <v/>
      </c>
      <c r="E140" s="48" t="str">
        <f>IFERROR(INDEX(plan!$E$4:$E$52,MATCH(Tabla_Registro_Tareas5[[#This Row],[Actividad]],plan!$C$4:$C$52,0)),"")</f>
        <v/>
      </c>
      <c r="F140" s="49" t="str">
        <f>IF(Tabla_Registro_Tareas5[[#This Row],[Actividad]]=Indice_Aux_Vacio,"",Indice_PROBLAM_Estudiante5)</f>
        <v/>
      </c>
      <c r="G140" s="7"/>
      <c r="H140" s="8"/>
      <c r="I140" s="9"/>
      <c r="K140" s="12" t="str" cm="1">
        <f t="array" ref="K140">IF($B140&lt;&gt;"",TRANSPOSE(_xlfn._xlws.FILTER(plan!$C$4:$C$52, ($B140 &gt;= (plan!$J$4:$J$52-Indice_Plan_ExtensionPlazo))*($B140 &lt;= (plan!$K$4:$K$52+Indice_Plan_ExtensionPlazo)), "")), "")</f>
        <v/>
      </c>
      <c r="BH140" s="4"/>
    </row>
    <row r="141" spans="2:60" x14ac:dyDescent="0.3">
      <c r="B141" s="6"/>
      <c r="C141" s="10"/>
      <c r="D141" s="48" t="str">
        <f>IF(Tabla_Registro_Tareas5[[#This Row],[Actividad]]=Indice_Aux_Vacio,"",IFERROR(INDEX(plan!$D$4:$D$52,MATCH(Tabla_Registro_Tareas5[[#This Row],[Actividad]],plan!$C$4:$C$52,0)),""))</f>
        <v/>
      </c>
      <c r="E141" s="48" t="str">
        <f>IFERROR(INDEX(plan!$E$4:$E$52,MATCH(Tabla_Registro_Tareas5[[#This Row],[Actividad]],plan!$C$4:$C$52,0)),"")</f>
        <v/>
      </c>
      <c r="F141" s="49" t="str">
        <f>IF(Tabla_Registro_Tareas5[[#This Row],[Actividad]]=Indice_Aux_Vacio,"",Indice_PROBLAM_Estudiante5)</f>
        <v/>
      </c>
      <c r="G141" s="7"/>
      <c r="H141" s="8"/>
      <c r="I141" s="9"/>
      <c r="K141" s="12" t="str" cm="1">
        <f t="array" ref="K141">IF($B141&lt;&gt;"",TRANSPOSE(_xlfn._xlws.FILTER(plan!$C$4:$C$52, ($B141 &gt;= (plan!$J$4:$J$52-Indice_Plan_ExtensionPlazo))*($B141 &lt;= (plan!$K$4:$K$52+Indice_Plan_ExtensionPlazo)), "")), "")</f>
        <v/>
      </c>
      <c r="BH141" s="4"/>
    </row>
    <row r="142" spans="2:60" x14ac:dyDescent="0.3">
      <c r="B142" s="6"/>
      <c r="C142" s="10"/>
      <c r="D142" s="48" t="str">
        <f>IF(Tabla_Registro_Tareas5[[#This Row],[Actividad]]=Indice_Aux_Vacio,"",IFERROR(INDEX(plan!$D$4:$D$52,MATCH(Tabla_Registro_Tareas5[[#This Row],[Actividad]],plan!$C$4:$C$52,0)),""))</f>
        <v/>
      </c>
      <c r="E142" s="48" t="str">
        <f>IFERROR(INDEX(plan!$E$4:$E$52,MATCH(Tabla_Registro_Tareas5[[#This Row],[Actividad]],plan!$C$4:$C$52,0)),"")</f>
        <v/>
      </c>
      <c r="F142" s="49" t="str">
        <f>IF(Tabla_Registro_Tareas5[[#This Row],[Actividad]]=Indice_Aux_Vacio,"",Indice_PROBLAM_Estudiante5)</f>
        <v/>
      </c>
      <c r="G142" s="7"/>
      <c r="H142" s="8"/>
      <c r="I142" s="9"/>
      <c r="K142" s="12" t="str" cm="1">
        <f t="array" ref="K142">IF($B142&lt;&gt;"",TRANSPOSE(_xlfn._xlws.FILTER(plan!$C$4:$C$52, ($B142 &gt;= (plan!$J$4:$J$52-Indice_Plan_ExtensionPlazo))*($B142 &lt;= (plan!$K$4:$K$52+Indice_Plan_ExtensionPlazo)), "")), "")</f>
        <v/>
      </c>
      <c r="BH142" s="4"/>
    </row>
    <row r="143" spans="2:60" x14ac:dyDescent="0.3">
      <c r="B143" s="6"/>
      <c r="C143" s="10"/>
      <c r="D143" s="48" t="str">
        <f>IF(Tabla_Registro_Tareas5[[#This Row],[Actividad]]=Indice_Aux_Vacio,"",IFERROR(INDEX(plan!$D$4:$D$52,MATCH(Tabla_Registro_Tareas5[[#This Row],[Actividad]],plan!$C$4:$C$52,0)),""))</f>
        <v/>
      </c>
      <c r="E143" s="48" t="str">
        <f>IFERROR(INDEX(plan!$E$4:$E$52,MATCH(Tabla_Registro_Tareas5[[#This Row],[Actividad]],plan!$C$4:$C$52,0)),"")</f>
        <v/>
      </c>
      <c r="F143" s="49" t="str">
        <f>IF(Tabla_Registro_Tareas5[[#This Row],[Actividad]]=Indice_Aux_Vacio,"",Indice_PROBLAM_Estudiante5)</f>
        <v/>
      </c>
      <c r="G143" s="7"/>
      <c r="H143" s="8"/>
      <c r="I143" s="9"/>
      <c r="K143" s="12" t="str" cm="1">
        <f t="array" ref="K143">IF($B143&lt;&gt;"",TRANSPOSE(_xlfn._xlws.FILTER(plan!$C$4:$C$52, ($B143 &gt;= (plan!$J$4:$J$52-Indice_Plan_ExtensionPlazo))*($B143 &lt;= (plan!$K$4:$K$52+Indice_Plan_ExtensionPlazo)), "")), "")</f>
        <v/>
      </c>
      <c r="BH143" s="4"/>
    </row>
    <row r="144" spans="2:60" x14ac:dyDescent="0.3">
      <c r="B144" s="6"/>
      <c r="C144" s="10"/>
      <c r="D144" s="48" t="str">
        <f>IF(Tabla_Registro_Tareas5[[#This Row],[Actividad]]=Indice_Aux_Vacio,"",IFERROR(INDEX(plan!$D$4:$D$52,MATCH(Tabla_Registro_Tareas5[[#This Row],[Actividad]],plan!$C$4:$C$52,0)),""))</f>
        <v/>
      </c>
      <c r="E144" s="48" t="str">
        <f>IFERROR(INDEX(plan!$E$4:$E$52,MATCH(Tabla_Registro_Tareas5[[#This Row],[Actividad]],plan!$C$4:$C$52,0)),"")</f>
        <v/>
      </c>
      <c r="F144" s="49" t="str">
        <f>IF(Tabla_Registro_Tareas5[[#This Row],[Actividad]]=Indice_Aux_Vacio,"",Indice_PROBLAM_Estudiante5)</f>
        <v/>
      </c>
      <c r="G144" s="7"/>
      <c r="H144" s="8"/>
      <c r="I144" s="9"/>
      <c r="K144" s="12" t="str" cm="1">
        <f t="array" ref="K144">IF($B144&lt;&gt;"",TRANSPOSE(_xlfn._xlws.FILTER(plan!$C$4:$C$52, ($B144 &gt;= (plan!$J$4:$J$52-Indice_Plan_ExtensionPlazo))*($B144 &lt;= (plan!$K$4:$K$52+Indice_Plan_ExtensionPlazo)), "")), "")</f>
        <v/>
      </c>
      <c r="BH144" s="4"/>
    </row>
    <row r="145" spans="2:60" x14ac:dyDescent="0.3">
      <c r="B145" s="6"/>
      <c r="C145" s="10"/>
      <c r="D145" s="48" t="str">
        <f>IF(Tabla_Registro_Tareas5[[#This Row],[Actividad]]=Indice_Aux_Vacio,"",IFERROR(INDEX(plan!$D$4:$D$52,MATCH(Tabla_Registro_Tareas5[[#This Row],[Actividad]],plan!$C$4:$C$52,0)),""))</f>
        <v/>
      </c>
      <c r="E145" s="48" t="str">
        <f>IFERROR(INDEX(plan!$E$4:$E$52,MATCH(Tabla_Registro_Tareas5[[#This Row],[Actividad]],plan!$C$4:$C$52,0)),"")</f>
        <v/>
      </c>
      <c r="F145" s="49" t="str">
        <f>IF(Tabla_Registro_Tareas5[[#This Row],[Actividad]]=Indice_Aux_Vacio,"",Indice_PROBLAM_Estudiante5)</f>
        <v/>
      </c>
      <c r="G145" s="7"/>
      <c r="H145" s="8"/>
      <c r="I145" s="9"/>
      <c r="K145" s="12" t="str" cm="1">
        <f t="array" ref="K145">IF($B145&lt;&gt;"",TRANSPOSE(_xlfn._xlws.FILTER(plan!$C$4:$C$52, ($B145 &gt;= (plan!$J$4:$J$52-Indice_Plan_ExtensionPlazo))*($B145 &lt;= (plan!$K$4:$K$52+Indice_Plan_ExtensionPlazo)), "")), "")</f>
        <v/>
      </c>
      <c r="BH145" s="4"/>
    </row>
    <row r="146" spans="2:60" x14ac:dyDescent="0.3">
      <c r="B146" s="6"/>
      <c r="C146" s="10"/>
      <c r="D146" s="48" t="str">
        <f>IF(Tabla_Registro_Tareas5[[#This Row],[Actividad]]=Indice_Aux_Vacio,"",IFERROR(INDEX(plan!$D$4:$D$52,MATCH(Tabla_Registro_Tareas5[[#This Row],[Actividad]],plan!$C$4:$C$52,0)),""))</f>
        <v/>
      </c>
      <c r="E146" s="48" t="str">
        <f>IFERROR(INDEX(plan!$E$4:$E$52,MATCH(Tabla_Registro_Tareas5[[#This Row],[Actividad]],plan!$C$4:$C$52,0)),"")</f>
        <v/>
      </c>
      <c r="F146" s="49" t="str">
        <f>IF(Tabla_Registro_Tareas5[[#This Row],[Actividad]]=Indice_Aux_Vacio,"",Indice_PROBLAM_Estudiante5)</f>
        <v/>
      </c>
      <c r="G146" s="7"/>
      <c r="H146" s="8"/>
      <c r="I146" s="9"/>
      <c r="K146" s="12" t="str" cm="1">
        <f t="array" ref="K146">IF($B146&lt;&gt;"",TRANSPOSE(_xlfn._xlws.FILTER(plan!$C$4:$C$52, ($B146 &gt;= (plan!$J$4:$J$52-Indice_Plan_ExtensionPlazo))*($B146 &lt;= (plan!$K$4:$K$52+Indice_Plan_ExtensionPlazo)), "")), "")</f>
        <v/>
      </c>
      <c r="BH146" s="4"/>
    </row>
    <row r="147" spans="2:60" x14ac:dyDescent="0.3">
      <c r="B147" s="6"/>
      <c r="C147" s="10"/>
      <c r="D147" s="48" t="str">
        <f>IF(Tabla_Registro_Tareas5[[#This Row],[Actividad]]=Indice_Aux_Vacio,"",IFERROR(INDEX(plan!$D$4:$D$52,MATCH(Tabla_Registro_Tareas5[[#This Row],[Actividad]],plan!$C$4:$C$52,0)),""))</f>
        <v/>
      </c>
      <c r="E147" s="48" t="str">
        <f>IFERROR(INDEX(plan!$E$4:$E$52,MATCH(Tabla_Registro_Tareas5[[#This Row],[Actividad]],plan!$C$4:$C$52,0)),"")</f>
        <v/>
      </c>
      <c r="F147" s="49" t="str">
        <f>IF(Tabla_Registro_Tareas5[[#This Row],[Actividad]]=Indice_Aux_Vacio,"",Indice_PROBLAM_Estudiante5)</f>
        <v/>
      </c>
      <c r="G147" s="7"/>
      <c r="H147" s="8"/>
      <c r="I147" s="9"/>
      <c r="K147" s="12" t="str" cm="1">
        <f t="array" ref="K147">IF($B147&lt;&gt;"",TRANSPOSE(_xlfn._xlws.FILTER(plan!$C$4:$C$52, ($B147 &gt;= (plan!$J$4:$J$52-Indice_Plan_ExtensionPlazo))*($B147 &lt;= (plan!$K$4:$K$52+Indice_Plan_ExtensionPlazo)), "")), "")</f>
        <v/>
      </c>
      <c r="BH147" s="4"/>
    </row>
    <row r="148" spans="2:60" x14ac:dyDescent="0.3">
      <c r="B148" s="6"/>
      <c r="C148" s="10"/>
      <c r="D148" s="48" t="str">
        <f>IF(Tabla_Registro_Tareas5[[#This Row],[Actividad]]=Indice_Aux_Vacio,"",IFERROR(INDEX(plan!$D$4:$D$52,MATCH(Tabla_Registro_Tareas5[[#This Row],[Actividad]],plan!$C$4:$C$52,0)),""))</f>
        <v/>
      </c>
      <c r="E148" s="48" t="str">
        <f>IFERROR(INDEX(plan!$E$4:$E$52,MATCH(Tabla_Registro_Tareas5[[#This Row],[Actividad]],plan!$C$4:$C$52,0)),"")</f>
        <v/>
      </c>
      <c r="F148" s="49" t="str">
        <f>IF(Tabla_Registro_Tareas5[[#This Row],[Actividad]]=Indice_Aux_Vacio,"",Indice_PROBLAM_Estudiante5)</f>
        <v/>
      </c>
      <c r="G148" s="7"/>
      <c r="H148" s="8"/>
      <c r="I148" s="9"/>
      <c r="K148" s="12" t="str" cm="1">
        <f t="array" ref="K148">IF($B148&lt;&gt;"",TRANSPOSE(_xlfn._xlws.FILTER(plan!$C$4:$C$52, ($B148 &gt;= (plan!$J$4:$J$52-Indice_Plan_ExtensionPlazo))*($B148 &lt;= (plan!$K$4:$K$52+Indice_Plan_ExtensionPlazo)), "")), "")</f>
        <v/>
      </c>
      <c r="BH148" s="4"/>
    </row>
    <row r="149" spans="2:60" x14ac:dyDescent="0.3">
      <c r="B149" s="6"/>
      <c r="C149" s="10"/>
      <c r="D149" s="48" t="str">
        <f>IF(Tabla_Registro_Tareas5[[#This Row],[Actividad]]=Indice_Aux_Vacio,"",IFERROR(INDEX(plan!$D$4:$D$52,MATCH(Tabla_Registro_Tareas5[[#This Row],[Actividad]],plan!$C$4:$C$52,0)),""))</f>
        <v/>
      </c>
      <c r="E149" s="48" t="str">
        <f>IFERROR(INDEX(plan!$E$4:$E$52,MATCH(Tabla_Registro_Tareas5[[#This Row],[Actividad]],plan!$C$4:$C$52,0)),"")</f>
        <v/>
      </c>
      <c r="F149" s="49" t="str">
        <f>IF(Tabla_Registro_Tareas5[[#This Row],[Actividad]]=Indice_Aux_Vacio,"",Indice_PROBLAM_Estudiante5)</f>
        <v/>
      </c>
      <c r="G149" s="7"/>
      <c r="H149" s="8"/>
      <c r="I149" s="9"/>
      <c r="K149" s="12" t="str" cm="1">
        <f t="array" ref="K149">IF($B149&lt;&gt;"",TRANSPOSE(_xlfn._xlws.FILTER(plan!$C$4:$C$52, ($B149 &gt;= (plan!$J$4:$J$52-Indice_Plan_ExtensionPlazo))*($B149 &lt;= (plan!$K$4:$K$52+Indice_Plan_ExtensionPlazo)), "")), "")</f>
        <v/>
      </c>
      <c r="BH149" s="4"/>
    </row>
    <row r="150" spans="2:60" x14ac:dyDescent="0.3">
      <c r="B150" s="6"/>
      <c r="C150" s="10"/>
      <c r="D150" s="48" t="str">
        <f>IF(Tabla_Registro_Tareas5[[#This Row],[Actividad]]=Indice_Aux_Vacio,"",IFERROR(INDEX(plan!$D$4:$D$52,MATCH(Tabla_Registro_Tareas5[[#This Row],[Actividad]],plan!$C$4:$C$52,0)),""))</f>
        <v/>
      </c>
      <c r="E150" s="48" t="str">
        <f>IFERROR(INDEX(plan!$E$4:$E$52,MATCH(Tabla_Registro_Tareas5[[#This Row],[Actividad]],plan!$C$4:$C$52,0)),"")</f>
        <v/>
      </c>
      <c r="F150" s="49" t="str">
        <f>IF(Tabla_Registro_Tareas5[[#This Row],[Actividad]]=Indice_Aux_Vacio,"",Indice_PROBLAM_Estudiante5)</f>
        <v/>
      </c>
      <c r="G150" s="7"/>
      <c r="H150" s="8"/>
      <c r="I150" s="9"/>
      <c r="K150" s="12" t="str" cm="1">
        <f t="array" ref="K150">IF($B150&lt;&gt;"",TRANSPOSE(_xlfn._xlws.FILTER(plan!$C$4:$C$52, ($B150 &gt;= (plan!$J$4:$J$52-Indice_Plan_ExtensionPlazo))*($B150 &lt;= (plan!$K$4:$K$52+Indice_Plan_ExtensionPlazo)), "")), "")</f>
        <v/>
      </c>
      <c r="BH150" s="4"/>
    </row>
    <row r="151" spans="2:60" x14ac:dyDescent="0.3">
      <c r="B151" s="6"/>
      <c r="C151" s="10"/>
      <c r="D151" s="48" t="str">
        <f>IF(Tabla_Registro_Tareas5[[#This Row],[Actividad]]=Indice_Aux_Vacio,"",IFERROR(INDEX(plan!$D$4:$D$52,MATCH(Tabla_Registro_Tareas5[[#This Row],[Actividad]],plan!$C$4:$C$52,0)),""))</f>
        <v/>
      </c>
      <c r="E151" s="48" t="str">
        <f>IFERROR(INDEX(plan!$E$4:$E$52,MATCH(Tabla_Registro_Tareas5[[#This Row],[Actividad]],plan!$C$4:$C$52,0)),"")</f>
        <v/>
      </c>
      <c r="F151" s="49" t="str">
        <f>IF(Tabla_Registro_Tareas5[[#This Row],[Actividad]]=Indice_Aux_Vacio,"",Indice_PROBLAM_Estudiante5)</f>
        <v/>
      </c>
      <c r="G151" s="7"/>
      <c r="H151" s="8"/>
      <c r="I151" s="9"/>
      <c r="K151" s="12" t="str" cm="1">
        <f t="array" ref="K151">IF($B151&lt;&gt;"",TRANSPOSE(_xlfn._xlws.FILTER(plan!$C$4:$C$52, ($B151 &gt;= (plan!$J$4:$J$52-Indice_Plan_ExtensionPlazo))*($B151 &lt;= (plan!$K$4:$K$52+Indice_Plan_ExtensionPlazo)), "")), "")</f>
        <v/>
      </c>
      <c r="BH151" s="4"/>
    </row>
    <row r="152" spans="2:60" x14ac:dyDescent="0.3">
      <c r="B152" s="6"/>
      <c r="C152" s="10"/>
      <c r="D152" s="48" t="str">
        <f>IF(Tabla_Registro_Tareas5[[#This Row],[Actividad]]=Indice_Aux_Vacio,"",IFERROR(INDEX(plan!$D$4:$D$52,MATCH(Tabla_Registro_Tareas5[[#This Row],[Actividad]],plan!$C$4:$C$52,0)),""))</f>
        <v/>
      </c>
      <c r="E152" s="48" t="str">
        <f>IFERROR(INDEX(plan!$E$4:$E$52,MATCH(Tabla_Registro_Tareas5[[#This Row],[Actividad]],plan!$C$4:$C$52,0)),"")</f>
        <v/>
      </c>
      <c r="F152" s="49" t="str">
        <f>IF(Tabla_Registro_Tareas5[[#This Row],[Actividad]]=Indice_Aux_Vacio,"",Indice_PROBLAM_Estudiante5)</f>
        <v/>
      </c>
      <c r="G152" s="7"/>
      <c r="H152" s="8"/>
      <c r="I152" s="9"/>
      <c r="K152" s="12" t="str" cm="1">
        <f t="array" ref="K152">IF($B152&lt;&gt;"",TRANSPOSE(_xlfn._xlws.FILTER(plan!$C$4:$C$52, ($B152 &gt;= (plan!$J$4:$J$52-Indice_Plan_ExtensionPlazo))*($B152 &lt;= (plan!$K$4:$K$52+Indice_Plan_ExtensionPlazo)), "")), "")</f>
        <v/>
      </c>
      <c r="BH152" s="4"/>
    </row>
    <row r="153" spans="2:60" x14ac:dyDescent="0.3">
      <c r="B153" s="6"/>
      <c r="C153" s="10"/>
      <c r="D153" s="48" t="str">
        <f>IF(Tabla_Registro_Tareas5[[#This Row],[Actividad]]=Indice_Aux_Vacio,"",IFERROR(INDEX(plan!$D$4:$D$52,MATCH(Tabla_Registro_Tareas5[[#This Row],[Actividad]],plan!$C$4:$C$52,0)),""))</f>
        <v/>
      </c>
      <c r="E153" s="48" t="str">
        <f>IFERROR(INDEX(plan!$E$4:$E$52,MATCH(Tabla_Registro_Tareas5[[#This Row],[Actividad]],plan!$C$4:$C$52,0)),"")</f>
        <v/>
      </c>
      <c r="F153" s="49" t="str">
        <f>IF(Tabla_Registro_Tareas5[[#This Row],[Actividad]]=Indice_Aux_Vacio,"",Indice_PROBLAM_Estudiante5)</f>
        <v/>
      </c>
      <c r="G153" s="7"/>
      <c r="H153" s="8"/>
      <c r="I153" s="9"/>
      <c r="K153" s="12" t="str" cm="1">
        <f t="array" ref="K153">IF($B153&lt;&gt;"",TRANSPOSE(_xlfn._xlws.FILTER(plan!$C$4:$C$52, ($B153 &gt;= (plan!$J$4:$J$52-Indice_Plan_ExtensionPlazo))*($B153 &lt;= (plan!$K$4:$K$52+Indice_Plan_ExtensionPlazo)), "")), "")</f>
        <v/>
      </c>
      <c r="BH153" s="4"/>
    </row>
    <row r="154" spans="2:60" x14ac:dyDescent="0.3">
      <c r="B154" s="6"/>
      <c r="C154" s="10"/>
      <c r="D154" s="48" t="str">
        <f>IF(Tabla_Registro_Tareas5[[#This Row],[Actividad]]=Indice_Aux_Vacio,"",IFERROR(INDEX(plan!$D$4:$D$52,MATCH(Tabla_Registro_Tareas5[[#This Row],[Actividad]],plan!$C$4:$C$52,0)),""))</f>
        <v/>
      </c>
      <c r="E154" s="48" t="str">
        <f>IFERROR(INDEX(plan!$E$4:$E$52,MATCH(Tabla_Registro_Tareas5[[#This Row],[Actividad]],plan!$C$4:$C$52,0)),"")</f>
        <v/>
      </c>
      <c r="F154" s="49" t="str">
        <f>IF(Tabla_Registro_Tareas5[[#This Row],[Actividad]]=Indice_Aux_Vacio,"",Indice_PROBLAM_Estudiante5)</f>
        <v/>
      </c>
      <c r="G154" s="7"/>
      <c r="H154" s="8"/>
      <c r="I154" s="9"/>
      <c r="K154" s="12" t="str" cm="1">
        <f t="array" ref="K154">IF($B154&lt;&gt;"",TRANSPOSE(_xlfn._xlws.FILTER(plan!$C$4:$C$52, ($B154 &gt;= (plan!$J$4:$J$52-Indice_Plan_ExtensionPlazo))*($B154 &lt;= (plan!$K$4:$K$52+Indice_Plan_ExtensionPlazo)), "")), "")</f>
        <v/>
      </c>
      <c r="BH154" s="4"/>
    </row>
    <row r="155" spans="2:60" x14ac:dyDescent="0.3">
      <c r="B155" s="6"/>
      <c r="C155" s="10"/>
      <c r="D155" s="48" t="str">
        <f>IF(Tabla_Registro_Tareas5[[#This Row],[Actividad]]=Indice_Aux_Vacio,"",IFERROR(INDEX(plan!$D$4:$D$52,MATCH(Tabla_Registro_Tareas5[[#This Row],[Actividad]],plan!$C$4:$C$52,0)),""))</f>
        <v/>
      </c>
      <c r="E155" s="48" t="str">
        <f>IFERROR(INDEX(plan!$E$4:$E$52,MATCH(Tabla_Registro_Tareas5[[#This Row],[Actividad]],plan!$C$4:$C$52,0)),"")</f>
        <v/>
      </c>
      <c r="F155" s="49" t="str">
        <f>IF(Tabla_Registro_Tareas5[[#This Row],[Actividad]]=Indice_Aux_Vacio,"",Indice_PROBLAM_Estudiante5)</f>
        <v/>
      </c>
      <c r="G155" s="7"/>
      <c r="H155" s="8"/>
      <c r="I155" s="9"/>
      <c r="K155" s="12" t="str" cm="1">
        <f t="array" ref="K155">IF($B155&lt;&gt;"",TRANSPOSE(_xlfn._xlws.FILTER(plan!$C$4:$C$52, ($B155 &gt;= (plan!$J$4:$J$52-Indice_Plan_ExtensionPlazo))*($B155 &lt;= (plan!$K$4:$K$52+Indice_Plan_ExtensionPlazo)), "")), "")</f>
        <v/>
      </c>
      <c r="BH155" s="4"/>
    </row>
    <row r="156" spans="2:60" x14ac:dyDescent="0.3">
      <c r="B156" s="6"/>
      <c r="C156" s="10"/>
      <c r="D156" s="48" t="str">
        <f>IF(Tabla_Registro_Tareas5[[#This Row],[Actividad]]=Indice_Aux_Vacio,"",IFERROR(INDEX(plan!$D$4:$D$52,MATCH(Tabla_Registro_Tareas5[[#This Row],[Actividad]],plan!$C$4:$C$52,0)),""))</f>
        <v/>
      </c>
      <c r="E156" s="48" t="str">
        <f>IFERROR(INDEX(plan!$E$4:$E$52,MATCH(Tabla_Registro_Tareas5[[#This Row],[Actividad]],plan!$C$4:$C$52,0)),"")</f>
        <v/>
      </c>
      <c r="F156" s="49" t="str">
        <f>IF(Tabla_Registro_Tareas5[[#This Row],[Actividad]]=Indice_Aux_Vacio,"",Indice_PROBLAM_Estudiante5)</f>
        <v/>
      </c>
      <c r="G156" s="7"/>
      <c r="H156" s="8"/>
      <c r="I156" s="9"/>
      <c r="K156" s="12" t="str" cm="1">
        <f t="array" ref="K156">IF($B156&lt;&gt;"",TRANSPOSE(_xlfn._xlws.FILTER(plan!$C$4:$C$52, ($B156 &gt;= (plan!$J$4:$J$52-Indice_Plan_ExtensionPlazo))*($B156 &lt;= (plan!$K$4:$K$52+Indice_Plan_ExtensionPlazo)), "")), "")</f>
        <v/>
      </c>
      <c r="BH156" s="4"/>
    </row>
    <row r="157" spans="2:60" x14ac:dyDescent="0.3">
      <c r="B157" s="6"/>
      <c r="C157" s="10"/>
      <c r="D157" s="48" t="str">
        <f>IF(Tabla_Registro_Tareas5[[#This Row],[Actividad]]=Indice_Aux_Vacio,"",IFERROR(INDEX(plan!$D$4:$D$52,MATCH(Tabla_Registro_Tareas5[[#This Row],[Actividad]],plan!$C$4:$C$52,0)),""))</f>
        <v/>
      </c>
      <c r="E157" s="48" t="str">
        <f>IFERROR(INDEX(plan!$E$4:$E$52,MATCH(Tabla_Registro_Tareas5[[#This Row],[Actividad]],plan!$C$4:$C$52,0)),"")</f>
        <v/>
      </c>
      <c r="F157" s="49" t="str">
        <f>IF(Tabla_Registro_Tareas5[[#This Row],[Actividad]]=Indice_Aux_Vacio,"",Indice_PROBLAM_Estudiante5)</f>
        <v/>
      </c>
      <c r="G157" s="7"/>
      <c r="H157" s="8"/>
      <c r="I157" s="9"/>
      <c r="K157" s="12" t="str" cm="1">
        <f t="array" ref="K157">IF($B157&lt;&gt;"",TRANSPOSE(_xlfn._xlws.FILTER(plan!$C$4:$C$52, ($B157 &gt;= (plan!$J$4:$J$52-Indice_Plan_ExtensionPlazo))*($B157 &lt;= (plan!$K$4:$K$52+Indice_Plan_ExtensionPlazo)), "")), "")</f>
        <v/>
      </c>
      <c r="BH157" s="4"/>
    </row>
    <row r="158" spans="2:60" x14ac:dyDescent="0.3">
      <c r="B158" s="6"/>
      <c r="C158" s="10"/>
      <c r="D158" s="48" t="str">
        <f>IF(Tabla_Registro_Tareas5[[#This Row],[Actividad]]=Indice_Aux_Vacio,"",IFERROR(INDEX(plan!$D$4:$D$52,MATCH(Tabla_Registro_Tareas5[[#This Row],[Actividad]],plan!$C$4:$C$52,0)),""))</f>
        <v/>
      </c>
      <c r="E158" s="48" t="str">
        <f>IFERROR(INDEX(plan!$E$4:$E$52,MATCH(Tabla_Registro_Tareas5[[#This Row],[Actividad]],plan!$C$4:$C$52,0)),"")</f>
        <v/>
      </c>
      <c r="F158" s="49" t="str">
        <f>IF(Tabla_Registro_Tareas5[[#This Row],[Actividad]]=Indice_Aux_Vacio,"",Indice_PROBLAM_Estudiante5)</f>
        <v/>
      </c>
      <c r="G158" s="7"/>
      <c r="H158" s="8"/>
      <c r="I158" s="9"/>
      <c r="K158" s="12" t="str" cm="1">
        <f t="array" ref="K158">IF($B158&lt;&gt;"",TRANSPOSE(_xlfn._xlws.FILTER(plan!$C$4:$C$52, ($B158 &gt;= (plan!$J$4:$J$52-Indice_Plan_ExtensionPlazo))*($B158 &lt;= (plan!$K$4:$K$52+Indice_Plan_ExtensionPlazo)), "")), "")</f>
        <v/>
      </c>
      <c r="BH158" s="4"/>
    </row>
    <row r="159" spans="2:60" x14ac:dyDescent="0.3">
      <c r="B159" s="6"/>
      <c r="C159" s="10"/>
      <c r="D159" s="48" t="str">
        <f>IF(Tabla_Registro_Tareas5[[#This Row],[Actividad]]=Indice_Aux_Vacio,"",IFERROR(INDEX(plan!$D$4:$D$52,MATCH(Tabla_Registro_Tareas5[[#This Row],[Actividad]],plan!$C$4:$C$52,0)),""))</f>
        <v/>
      </c>
      <c r="E159" s="48" t="str">
        <f>IFERROR(INDEX(plan!$E$4:$E$52,MATCH(Tabla_Registro_Tareas5[[#This Row],[Actividad]],plan!$C$4:$C$52,0)),"")</f>
        <v/>
      </c>
      <c r="F159" s="49" t="str">
        <f>IF(Tabla_Registro_Tareas5[[#This Row],[Actividad]]=Indice_Aux_Vacio,"",Indice_PROBLAM_Estudiante5)</f>
        <v/>
      </c>
      <c r="G159" s="7"/>
      <c r="H159" s="8"/>
      <c r="I159" s="9"/>
      <c r="K159" s="12" t="str" cm="1">
        <f t="array" ref="K159">IF($B159&lt;&gt;"",TRANSPOSE(_xlfn._xlws.FILTER(plan!$C$4:$C$52, ($B159 &gt;= (plan!$J$4:$J$52-Indice_Plan_ExtensionPlazo))*($B159 &lt;= (plan!$K$4:$K$52+Indice_Plan_ExtensionPlazo)), "")), "")</f>
        <v/>
      </c>
      <c r="BH159" s="4"/>
    </row>
    <row r="160" spans="2:60" x14ac:dyDescent="0.3">
      <c r="B160" s="6"/>
      <c r="C160" s="10"/>
      <c r="D160" s="48" t="str">
        <f>IF(Tabla_Registro_Tareas5[[#This Row],[Actividad]]=Indice_Aux_Vacio,"",IFERROR(INDEX(plan!$D$4:$D$52,MATCH(Tabla_Registro_Tareas5[[#This Row],[Actividad]],plan!$C$4:$C$52,0)),""))</f>
        <v/>
      </c>
      <c r="E160" s="48" t="str">
        <f>IFERROR(INDEX(plan!$E$4:$E$52,MATCH(Tabla_Registro_Tareas5[[#This Row],[Actividad]],plan!$C$4:$C$52,0)),"")</f>
        <v/>
      </c>
      <c r="F160" s="49" t="str">
        <f>IF(Tabla_Registro_Tareas5[[#This Row],[Actividad]]=Indice_Aux_Vacio,"",Indice_PROBLAM_Estudiante5)</f>
        <v/>
      </c>
      <c r="G160" s="7"/>
      <c r="H160" s="8"/>
      <c r="I160" s="9"/>
      <c r="K160" s="12" t="str" cm="1">
        <f t="array" ref="K160">IF($B160&lt;&gt;"",TRANSPOSE(_xlfn._xlws.FILTER(plan!$C$4:$C$52, ($B160 &gt;= (plan!$J$4:$J$52-Indice_Plan_ExtensionPlazo))*($B160 &lt;= (plan!$K$4:$K$52+Indice_Plan_ExtensionPlazo)), "")), "")</f>
        <v/>
      </c>
      <c r="BH160" s="4"/>
    </row>
    <row r="161" spans="2:60" x14ac:dyDescent="0.3">
      <c r="B161" s="6"/>
      <c r="C161" s="10"/>
      <c r="D161" s="48" t="str">
        <f>IF(Tabla_Registro_Tareas5[[#This Row],[Actividad]]=Indice_Aux_Vacio,"",IFERROR(INDEX(plan!$D$4:$D$52,MATCH(Tabla_Registro_Tareas5[[#This Row],[Actividad]],plan!$C$4:$C$52,0)),""))</f>
        <v/>
      </c>
      <c r="E161" s="48" t="str">
        <f>IFERROR(INDEX(plan!$E$4:$E$52,MATCH(Tabla_Registro_Tareas5[[#This Row],[Actividad]],plan!$C$4:$C$52,0)),"")</f>
        <v/>
      </c>
      <c r="F161" s="49" t="str">
        <f>IF(Tabla_Registro_Tareas5[[#This Row],[Actividad]]=Indice_Aux_Vacio,"",Indice_PROBLAM_Estudiante5)</f>
        <v/>
      </c>
      <c r="G161" s="7"/>
      <c r="H161" s="8"/>
      <c r="I161" s="9"/>
      <c r="K161" s="12" t="str" cm="1">
        <f t="array" ref="K161">IF($B161&lt;&gt;"",TRANSPOSE(_xlfn._xlws.FILTER(plan!$C$4:$C$52, ($B161 &gt;= (plan!$J$4:$J$52-Indice_Plan_ExtensionPlazo))*($B161 &lt;= (plan!$K$4:$K$52+Indice_Plan_ExtensionPlazo)), "")), "")</f>
        <v/>
      </c>
      <c r="BH161" s="4"/>
    </row>
    <row r="162" spans="2:60" x14ac:dyDescent="0.3">
      <c r="B162" s="6"/>
      <c r="C162" s="10"/>
      <c r="D162" s="48" t="str">
        <f>IF(Tabla_Registro_Tareas5[[#This Row],[Actividad]]=Indice_Aux_Vacio,"",IFERROR(INDEX(plan!$D$4:$D$52,MATCH(Tabla_Registro_Tareas5[[#This Row],[Actividad]],plan!$C$4:$C$52,0)),""))</f>
        <v/>
      </c>
      <c r="E162" s="48" t="str">
        <f>IFERROR(INDEX(plan!$E$4:$E$52,MATCH(Tabla_Registro_Tareas5[[#This Row],[Actividad]],plan!$C$4:$C$52,0)),"")</f>
        <v/>
      </c>
      <c r="F162" s="49" t="str">
        <f>IF(Tabla_Registro_Tareas5[[#This Row],[Actividad]]=Indice_Aux_Vacio,"",Indice_PROBLAM_Estudiante5)</f>
        <v/>
      </c>
      <c r="G162" s="7"/>
      <c r="H162" s="8"/>
      <c r="I162" s="9"/>
      <c r="K162" s="12" t="str" cm="1">
        <f t="array" ref="K162">IF($B162&lt;&gt;"",TRANSPOSE(_xlfn._xlws.FILTER(plan!$C$4:$C$52, ($B162 &gt;= (plan!$J$4:$J$52-Indice_Plan_ExtensionPlazo))*($B162 &lt;= (plan!$K$4:$K$52+Indice_Plan_ExtensionPlazo)), "")), "")</f>
        <v/>
      </c>
      <c r="BH162" s="4"/>
    </row>
    <row r="163" spans="2:60" x14ac:dyDescent="0.3">
      <c r="B163" s="6"/>
      <c r="C163" s="10"/>
      <c r="D163" s="48" t="str">
        <f>IF(Tabla_Registro_Tareas5[[#This Row],[Actividad]]=Indice_Aux_Vacio,"",IFERROR(INDEX(plan!$D$4:$D$52,MATCH(Tabla_Registro_Tareas5[[#This Row],[Actividad]],plan!$C$4:$C$52,0)),""))</f>
        <v/>
      </c>
      <c r="E163" s="48" t="str">
        <f>IFERROR(INDEX(plan!$E$4:$E$52,MATCH(Tabla_Registro_Tareas5[[#This Row],[Actividad]],plan!$C$4:$C$52,0)),"")</f>
        <v/>
      </c>
      <c r="F163" s="49" t="str">
        <f>IF(Tabla_Registro_Tareas5[[#This Row],[Actividad]]=Indice_Aux_Vacio,"",Indice_PROBLAM_Estudiante5)</f>
        <v/>
      </c>
      <c r="G163" s="7"/>
      <c r="H163" s="8"/>
      <c r="I163" s="9"/>
      <c r="K163" s="12" t="str" cm="1">
        <f t="array" ref="K163">IF($B163&lt;&gt;"",TRANSPOSE(_xlfn._xlws.FILTER(plan!$C$4:$C$52, ($B163 &gt;= (plan!$J$4:$J$52-Indice_Plan_ExtensionPlazo))*($B163 &lt;= (plan!$K$4:$K$52+Indice_Plan_ExtensionPlazo)), "")), "")</f>
        <v/>
      </c>
      <c r="BH163" s="4"/>
    </row>
    <row r="164" spans="2:60" x14ac:dyDescent="0.3">
      <c r="B164" s="6"/>
      <c r="C164" s="10"/>
      <c r="D164" s="48" t="str">
        <f>IF(Tabla_Registro_Tareas5[[#This Row],[Actividad]]=Indice_Aux_Vacio,"",IFERROR(INDEX(plan!$D$4:$D$52,MATCH(Tabla_Registro_Tareas5[[#This Row],[Actividad]],plan!$C$4:$C$52,0)),""))</f>
        <v/>
      </c>
      <c r="E164" s="48" t="str">
        <f>IFERROR(INDEX(plan!$E$4:$E$52,MATCH(Tabla_Registro_Tareas5[[#This Row],[Actividad]],plan!$C$4:$C$52,0)),"")</f>
        <v/>
      </c>
      <c r="F164" s="49" t="str">
        <f>IF(Tabla_Registro_Tareas5[[#This Row],[Actividad]]=Indice_Aux_Vacio,"",Indice_PROBLAM_Estudiante5)</f>
        <v/>
      </c>
      <c r="G164" s="7"/>
      <c r="H164" s="8"/>
      <c r="I164" s="9"/>
      <c r="K164" s="12" t="str" cm="1">
        <f t="array" ref="K164">IF($B164&lt;&gt;"",TRANSPOSE(_xlfn._xlws.FILTER(plan!$C$4:$C$52, ($B164 &gt;= (plan!$J$4:$J$52-Indice_Plan_ExtensionPlazo))*($B164 &lt;= (plan!$K$4:$K$52+Indice_Plan_ExtensionPlazo)), "")), "")</f>
        <v/>
      </c>
      <c r="BH164" s="4"/>
    </row>
    <row r="165" spans="2:60" x14ac:dyDescent="0.3">
      <c r="B165" s="6"/>
      <c r="C165" s="10"/>
      <c r="D165" s="48" t="str">
        <f>IF(Tabla_Registro_Tareas5[[#This Row],[Actividad]]=Indice_Aux_Vacio,"",IFERROR(INDEX(plan!$D$4:$D$52,MATCH(Tabla_Registro_Tareas5[[#This Row],[Actividad]],plan!$C$4:$C$52,0)),""))</f>
        <v/>
      </c>
      <c r="E165" s="48" t="str">
        <f>IFERROR(INDEX(plan!$E$4:$E$52,MATCH(Tabla_Registro_Tareas5[[#This Row],[Actividad]],plan!$C$4:$C$52,0)),"")</f>
        <v/>
      </c>
      <c r="F165" s="49" t="str">
        <f>IF(Tabla_Registro_Tareas5[[#This Row],[Actividad]]=Indice_Aux_Vacio,"",Indice_PROBLAM_Estudiante5)</f>
        <v/>
      </c>
      <c r="G165" s="7"/>
      <c r="H165" s="8"/>
      <c r="I165" s="9"/>
      <c r="K165" s="12" t="str" cm="1">
        <f t="array" ref="K165">IF($B165&lt;&gt;"",TRANSPOSE(_xlfn._xlws.FILTER(plan!$C$4:$C$52, ($B165 &gt;= (plan!$J$4:$J$52-Indice_Plan_ExtensionPlazo))*($B165 &lt;= (plan!$K$4:$K$52+Indice_Plan_ExtensionPlazo)), "")), "")</f>
        <v/>
      </c>
      <c r="BH165" s="4"/>
    </row>
    <row r="166" spans="2:60" x14ac:dyDescent="0.3">
      <c r="B166" s="6"/>
      <c r="C166" s="10"/>
      <c r="D166" s="48" t="str">
        <f>IF(Tabla_Registro_Tareas5[[#This Row],[Actividad]]=Indice_Aux_Vacio,"",IFERROR(INDEX(plan!$D$4:$D$52,MATCH(Tabla_Registro_Tareas5[[#This Row],[Actividad]],plan!$C$4:$C$52,0)),""))</f>
        <v/>
      </c>
      <c r="E166" s="48" t="str">
        <f>IFERROR(INDEX(plan!$E$4:$E$52,MATCH(Tabla_Registro_Tareas5[[#This Row],[Actividad]],plan!$C$4:$C$52,0)),"")</f>
        <v/>
      </c>
      <c r="F166" s="49" t="str">
        <f>IF(Tabla_Registro_Tareas5[[#This Row],[Actividad]]=Indice_Aux_Vacio,"",Indice_PROBLAM_Estudiante5)</f>
        <v/>
      </c>
      <c r="G166" s="7"/>
      <c r="H166" s="8"/>
      <c r="I166" s="9"/>
      <c r="K166" s="12" t="str" cm="1">
        <f t="array" ref="K166">IF($B166&lt;&gt;"",TRANSPOSE(_xlfn._xlws.FILTER(plan!$C$4:$C$52, ($B166 &gt;= (plan!$J$4:$J$52-Indice_Plan_ExtensionPlazo))*($B166 &lt;= (plan!$K$4:$K$52+Indice_Plan_ExtensionPlazo)), "")), "")</f>
        <v/>
      </c>
      <c r="BH166" s="4"/>
    </row>
    <row r="167" spans="2:60" x14ac:dyDescent="0.3">
      <c r="B167" s="6"/>
      <c r="C167" s="10"/>
      <c r="D167" s="48" t="str">
        <f>IF(Tabla_Registro_Tareas5[[#This Row],[Actividad]]=Indice_Aux_Vacio,"",IFERROR(INDEX(plan!$D$4:$D$52,MATCH(Tabla_Registro_Tareas5[[#This Row],[Actividad]],plan!$C$4:$C$52,0)),""))</f>
        <v/>
      </c>
      <c r="E167" s="48" t="str">
        <f>IFERROR(INDEX(plan!$E$4:$E$52,MATCH(Tabla_Registro_Tareas5[[#This Row],[Actividad]],plan!$C$4:$C$52,0)),"")</f>
        <v/>
      </c>
      <c r="F167" s="49" t="str">
        <f>IF(Tabla_Registro_Tareas5[[#This Row],[Actividad]]=Indice_Aux_Vacio,"",Indice_PROBLAM_Estudiante5)</f>
        <v/>
      </c>
      <c r="G167" s="7"/>
      <c r="H167" s="8"/>
      <c r="I167" s="9"/>
      <c r="K167" s="12" t="str" cm="1">
        <f t="array" ref="K167">IF($B167&lt;&gt;"",TRANSPOSE(_xlfn._xlws.FILTER(plan!$C$4:$C$52, ($B167 &gt;= (plan!$J$4:$J$52-Indice_Plan_ExtensionPlazo))*($B167 &lt;= (plan!$K$4:$K$52+Indice_Plan_ExtensionPlazo)), "")), "")</f>
        <v/>
      </c>
      <c r="BH167" s="4"/>
    </row>
    <row r="168" spans="2:60" x14ac:dyDescent="0.3">
      <c r="B168" s="6"/>
      <c r="C168" s="10"/>
      <c r="D168" s="48" t="str">
        <f>IF(Tabla_Registro_Tareas5[[#This Row],[Actividad]]=Indice_Aux_Vacio,"",IFERROR(INDEX(plan!$D$4:$D$52,MATCH(Tabla_Registro_Tareas5[[#This Row],[Actividad]],plan!$C$4:$C$52,0)),""))</f>
        <v/>
      </c>
      <c r="E168" s="48" t="str">
        <f>IFERROR(INDEX(plan!$E$4:$E$52,MATCH(Tabla_Registro_Tareas5[[#This Row],[Actividad]],plan!$C$4:$C$52,0)),"")</f>
        <v/>
      </c>
      <c r="F168" s="49" t="str">
        <f>IF(Tabla_Registro_Tareas5[[#This Row],[Actividad]]=Indice_Aux_Vacio,"",Indice_PROBLAM_Estudiante5)</f>
        <v/>
      </c>
      <c r="G168" s="7"/>
      <c r="H168" s="8"/>
      <c r="I168" s="9"/>
      <c r="K168" s="12" t="str" cm="1">
        <f t="array" ref="K168">IF($B168&lt;&gt;"",TRANSPOSE(_xlfn._xlws.FILTER(plan!$C$4:$C$52, ($B168 &gt;= (plan!$J$4:$J$52-Indice_Plan_ExtensionPlazo))*($B168 &lt;= (plan!$K$4:$K$52+Indice_Plan_ExtensionPlazo)), "")), "")</f>
        <v/>
      </c>
      <c r="BH168" s="4"/>
    </row>
    <row r="169" spans="2:60" x14ac:dyDescent="0.3">
      <c r="B169" s="6"/>
      <c r="C169" s="10"/>
      <c r="D169" s="48" t="str">
        <f>IF(Tabla_Registro_Tareas5[[#This Row],[Actividad]]=Indice_Aux_Vacio,"",IFERROR(INDEX(plan!$D$4:$D$52,MATCH(Tabla_Registro_Tareas5[[#This Row],[Actividad]],plan!$C$4:$C$52,0)),""))</f>
        <v/>
      </c>
      <c r="E169" s="48" t="str">
        <f>IFERROR(INDEX(plan!$E$4:$E$52,MATCH(Tabla_Registro_Tareas5[[#This Row],[Actividad]],plan!$C$4:$C$52,0)),"")</f>
        <v/>
      </c>
      <c r="F169" s="49" t="str">
        <f>IF(Tabla_Registro_Tareas5[[#This Row],[Actividad]]=Indice_Aux_Vacio,"",Indice_PROBLAM_Estudiante5)</f>
        <v/>
      </c>
      <c r="G169" s="7"/>
      <c r="H169" s="8"/>
      <c r="I169" s="9"/>
      <c r="K169" s="12" t="str" cm="1">
        <f t="array" ref="K169">IF($B169&lt;&gt;"",TRANSPOSE(_xlfn._xlws.FILTER(plan!$C$4:$C$52, ($B169 &gt;= (plan!$J$4:$J$52-Indice_Plan_ExtensionPlazo))*($B169 &lt;= (plan!$K$4:$K$52+Indice_Plan_ExtensionPlazo)), "")), "")</f>
        <v/>
      </c>
      <c r="BH169" s="4"/>
    </row>
    <row r="170" spans="2:60" x14ac:dyDescent="0.3">
      <c r="B170" s="6"/>
      <c r="C170" s="10"/>
      <c r="D170" s="48" t="str">
        <f>IF(Tabla_Registro_Tareas5[[#This Row],[Actividad]]=Indice_Aux_Vacio,"",IFERROR(INDEX(plan!$D$4:$D$52,MATCH(Tabla_Registro_Tareas5[[#This Row],[Actividad]],plan!$C$4:$C$52,0)),""))</f>
        <v/>
      </c>
      <c r="E170" s="48" t="str">
        <f>IFERROR(INDEX(plan!$E$4:$E$52,MATCH(Tabla_Registro_Tareas5[[#This Row],[Actividad]],plan!$C$4:$C$52,0)),"")</f>
        <v/>
      </c>
      <c r="F170" s="49" t="str">
        <f>IF(Tabla_Registro_Tareas5[[#This Row],[Actividad]]=Indice_Aux_Vacio,"",Indice_PROBLAM_Estudiante5)</f>
        <v/>
      </c>
      <c r="G170" s="7"/>
      <c r="H170" s="8"/>
      <c r="I170" s="9"/>
      <c r="K170" s="12" t="str" cm="1">
        <f t="array" ref="K170">IF($B170&lt;&gt;"",TRANSPOSE(_xlfn._xlws.FILTER(plan!$C$4:$C$52, ($B170 &gt;= (plan!$J$4:$J$52-Indice_Plan_ExtensionPlazo))*($B170 &lt;= (plan!$K$4:$K$52+Indice_Plan_ExtensionPlazo)), "")), "")</f>
        <v/>
      </c>
      <c r="BH170" s="4"/>
    </row>
    <row r="171" spans="2:60" x14ac:dyDescent="0.3">
      <c r="B171" s="6"/>
      <c r="C171" s="10"/>
      <c r="D171" s="48" t="str">
        <f>IF(Tabla_Registro_Tareas5[[#This Row],[Actividad]]=Indice_Aux_Vacio,"",IFERROR(INDEX(plan!$D$4:$D$52,MATCH(Tabla_Registro_Tareas5[[#This Row],[Actividad]],plan!$C$4:$C$52,0)),""))</f>
        <v/>
      </c>
      <c r="E171" s="48" t="str">
        <f>IFERROR(INDEX(plan!$E$4:$E$52,MATCH(Tabla_Registro_Tareas5[[#This Row],[Actividad]],plan!$C$4:$C$52,0)),"")</f>
        <v/>
      </c>
      <c r="F171" s="49" t="str">
        <f>IF(Tabla_Registro_Tareas5[[#This Row],[Actividad]]=Indice_Aux_Vacio,"",Indice_PROBLAM_Estudiante5)</f>
        <v/>
      </c>
      <c r="G171" s="7"/>
      <c r="H171" s="8"/>
      <c r="I171" s="9"/>
      <c r="K171" s="12" t="str" cm="1">
        <f t="array" ref="K171">IF($B171&lt;&gt;"",TRANSPOSE(_xlfn._xlws.FILTER(plan!$C$4:$C$52, ($B171 &gt;= (plan!$J$4:$J$52-Indice_Plan_ExtensionPlazo))*($B171 &lt;= (plan!$K$4:$K$52+Indice_Plan_ExtensionPlazo)), "")), "")</f>
        <v/>
      </c>
      <c r="BH171" s="4"/>
    </row>
    <row r="172" spans="2:60" x14ac:dyDescent="0.3">
      <c r="B172" s="6"/>
      <c r="C172" s="10"/>
      <c r="D172" s="48" t="str">
        <f>IF(Tabla_Registro_Tareas5[[#This Row],[Actividad]]=Indice_Aux_Vacio,"",IFERROR(INDEX(plan!$D$4:$D$52,MATCH(Tabla_Registro_Tareas5[[#This Row],[Actividad]],plan!$C$4:$C$52,0)),""))</f>
        <v/>
      </c>
      <c r="E172" s="48" t="str">
        <f>IFERROR(INDEX(plan!$E$4:$E$52,MATCH(Tabla_Registro_Tareas5[[#This Row],[Actividad]],plan!$C$4:$C$52,0)),"")</f>
        <v/>
      </c>
      <c r="F172" s="49" t="str">
        <f>IF(Tabla_Registro_Tareas5[[#This Row],[Actividad]]=Indice_Aux_Vacio,"",Indice_PROBLAM_Estudiante5)</f>
        <v/>
      </c>
      <c r="G172" s="7"/>
      <c r="H172" s="8"/>
      <c r="I172" s="9"/>
      <c r="K172" s="12" t="str" cm="1">
        <f t="array" ref="K172">IF($B172&lt;&gt;"",TRANSPOSE(_xlfn._xlws.FILTER(plan!$C$4:$C$52, ($B172 &gt;= (plan!$J$4:$J$52-Indice_Plan_ExtensionPlazo))*($B172 &lt;= (plan!$K$4:$K$52+Indice_Plan_ExtensionPlazo)), "")), "")</f>
        <v/>
      </c>
      <c r="BH172" s="4"/>
    </row>
    <row r="173" spans="2:60" x14ac:dyDescent="0.3">
      <c r="B173" s="6"/>
      <c r="C173" s="10"/>
      <c r="D173" s="48" t="str">
        <f>IF(Tabla_Registro_Tareas5[[#This Row],[Actividad]]=Indice_Aux_Vacio,"",IFERROR(INDEX(plan!$D$4:$D$52,MATCH(Tabla_Registro_Tareas5[[#This Row],[Actividad]],plan!$C$4:$C$52,0)),""))</f>
        <v/>
      </c>
      <c r="E173" s="48" t="str">
        <f>IFERROR(INDEX(plan!$E$4:$E$52,MATCH(Tabla_Registro_Tareas5[[#This Row],[Actividad]],plan!$C$4:$C$52,0)),"")</f>
        <v/>
      </c>
      <c r="F173" s="49" t="str">
        <f>IF(Tabla_Registro_Tareas5[[#This Row],[Actividad]]=Indice_Aux_Vacio,"",Indice_PROBLAM_Estudiante5)</f>
        <v/>
      </c>
      <c r="G173" s="7"/>
      <c r="H173" s="8"/>
      <c r="I173" s="9"/>
      <c r="K173" s="12" t="str" cm="1">
        <f t="array" ref="K173">IF($B173&lt;&gt;"",TRANSPOSE(_xlfn._xlws.FILTER(plan!$C$4:$C$52, ($B173 &gt;= (plan!$J$4:$J$52-Indice_Plan_ExtensionPlazo))*($B173 &lt;= (plan!$K$4:$K$52+Indice_Plan_ExtensionPlazo)), "")), "")</f>
        <v/>
      </c>
      <c r="BH173" s="4"/>
    </row>
    <row r="174" spans="2:60" x14ac:dyDescent="0.3">
      <c r="B174" s="6"/>
      <c r="C174" s="10"/>
      <c r="D174" s="48" t="str">
        <f>IF(Tabla_Registro_Tareas5[[#This Row],[Actividad]]=Indice_Aux_Vacio,"",IFERROR(INDEX(plan!$D$4:$D$52,MATCH(Tabla_Registro_Tareas5[[#This Row],[Actividad]],plan!$C$4:$C$52,0)),""))</f>
        <v/>
      </c>
      <c r="E174" s="48" t="str">
        <f>IFERROR(INDEX(plan!$E$4:$E$52,MATCH(Tabla_Registro_Tareas5[[#This Row],[Actividad]],plan!$C$4:$C$52,0)),"")</f>
        <v/>
      </c>
      <c r="F174" s="49" t="str">
        <f>IF(Tabla_Registro_Tareas5[[#This Row],[Actividad]]=Indice_Aux_Vacio,"",Indice_PROBLAM_Estudiante5)</f>
        <v/>
      </c>
      <c r="G174" s="7"/>
      <c r="H174" s="8"/>
      <c r="I174" s="9"/>
      <c r="K174" s="12" t="str" cm="1">
        <f t="array" ref="K174">IF($B174&lt;&gt;"",TRANSPOSE(_xlfn._xlws.FILTER(plan!$C$4:$C$52, ($B174 &gt;= (plan!$J$4:$J$52-Indice_Plan_ExtensionPlazo))*($B174 &lt;= (plan!$K$4:$K$52+Indice_Plan_ExtensionPlazo)), "")), "")</f>
        <v/>
      </c>
      <c r="BH174" s="4"/>
    </row>
    <row r="175" spans="2:60" x14ac:dyDescent="0.3">
      <c r="B175" s="6"/>
      <c r="C175" s="10"/>
      <c r="D175" s="48" t="str">
        <f>IF(Tabla_Registro_Tareas5[[#This Row],[Actividad]]=Indice_Aux_Vacio,"",IFERROR(INDEX(plan!$D$4:$D$52,MATCH(Tabla_Registro_Tareas5[[#This Row],[Actividad]],plan!$C$4:$C$52,0)),""))</f>
        <v/>
      </c>
      <c r="E175" s="48" t="str">
        <f>IFERROR(INDEX(plan!$E$4:$E$52,MATCH(Tabla_Registro_Tareas5[[#This Row],[Actividad]],plan!$C$4:$C$52,0)),"")</f>
        <v/>
      </c>
      <c r="F175" s="49" t="str">
        <f>IF(Tabla_Registro_Tareas5[[#This Row],[Actividad]]=Indice_Aux_Vacio,"",Indice_PROBLAM_Estudiante5)</f>
        <v/>
      </c>
      <c r="G175" s="7"/>
      <c r="H175" s="8"/>
      <c r="I175" s="9"/>
      <c r="K175" s="12" t="str" cm="1">
        <f t="array" ref="K175">IF($B175&lt;&gt;"",TRANSPOSE(_xlfn._xlws.FILTER(plan!$C$4:$C$52, ($B175 &gt;= (plan!$J$4:$J$52-Indice_Plan_ExtensionPlazo))*($B175 &lt;= (plan!$K$4:$K$52+Indice_Plan_ExtensionPlazo)), "")), "")</f>
        <v/>
      </c>
      <c r="BH175" s="4"/>
    </row>
    <row r="176" spans="2:60" x14ac:dyDescent="0.3">
      <c r="B176" s="6"/>
      <c r="C176" s="10"/>
      <c r="D176" s="48" t="str">
        <f>IF(Tabla_Registro_Tareas5[[#This Row],[Actividad]]=Indice_Aux_Vacio,"",IFERROR(INDEX(plan!$D$4:$D$52,MATCH(Tabla_Registro_Tareas5[[#This Row],[Actividad]],plan!$C$4:$C$52,0)),""))</f>
        <v/>
      </c>
      <c r="E176" s="48" t="str">
        <f>IFERROR(INDEX(plan!$E$4:$E$52,MATCH(Tabla_Registro_Tareas5[[#This Row],[Actividad]],plan!$C$4:$C$52,0)),"")</f>
        <v/>
      </c>
      <c r="F176" s="49" t="str">
        <f>IF(Tabla_Registro_Tareas5[[#This Row],[Actividad]]=Indice_Aux_Vacio,"",Indice_PROBLAM_Estudiante5)</f>
        <v/>
      </c>
      <c r="G176" s="7"/>
      <c r="H176" s="8"/>
      <c r="I176" s="9"/>
      <c r="K176" s="12" t="str" cm="1">
        <f t="array" ref="K176">IF($B176&lt;&gt;"",TRANSPOSE(_xlfn._xlws.FILTER(plan!$C$4:$C$52, ($B176 &gt;= (plan!$J$4:$J$52-Indice_Plan_ExtensionPlazo))*($B176 &lt;= (plan!$K$4:$K$52+Indice_Plan_ExtensionPlazo)), "")), "")</f>
        <v/>
      </c>
      <c r="BH176" s="4"/>
    </row>
    <row r="177" spans="2:60" x14ac:dyDescent="0.3">
      <c r="B177" s="6"/>
      <c r="C177" s="10"/>
      <c r="D177" s="48" t="str">
        <f>IF(Tabla_Registro_Tareas5[[#This Row],[Actividad]]=Indice_Aux_Vacio,"",IFERROR(INDEX(plan!$D$4:$D$52,MATCH(Tabla_Registro_Tareas5[[#This Row],[Actividad]],plan!$C$4:$C$52,0)),""))</f>
        <v/>
      </c>
      <c r="E177" s="48" t="str">
        <f>IFERROR(INDEX(plan!$E$4:$E$52,MATCH(Tabla_Registro_Tareas5[[#This Row],[Actividad]],plan!$C$4:$C$52,0)),"")</f>
        <v/>
      </c>
      <c r="F177" s="49" t="str">
        <f>IF(Tabla_Registro_Tareas5[[#This Row],[Actividad]]=Indice_Aux_Vacio,"",Indice_PROBLAM_Estudiante5)</f>
        <v/>
      </c>
      <c r="G177" s="7"/>
      <c r="H177" s="8"/>
      <c r="I177" s="9"/>
      <c r="K177" s="12" t="str" cm="1">
        <f t="array" ref="K177">IF($B177&lt;&gt;"",TRANSPOSE(_xlfn._xlws.FILTER(plan!$C$4:$C$52, ($B177 &gt;= (plan!$J$4:$J$52-Indice_Plan_ExtensionPlazo))*($B177 &lt;= (plan!$K$4:$K$52+Indice_Plan_ExtensionPlazo)), "")), "")</f>
        <v/>
      </c>
      <c r="BH177" s="4"/>
    </row>
    <row r="178" spans="2:60" x14ac:dyDescent="0.3">
      <c r="B178" s="6"/>
      <c r="C178" s="10"/>
      <c r="D178" s="48" t="str">
        <f>IF(Tabla_Registro_Tareas5[[#This Row],[Actividad]]=Indice_Aux_Vacio,"",IFERROR(INDEX(plan!$D$4:$D$52,MATCH(Tabla_Registro_Tareas5[[#This Row],[Actividad]],plan!$C$4:$C$52,0)),""))</f>
        <v/>
      </c>
      <c r="E178" s="48" t="str">
        <f>IFERROR(INDEX(plan!$E$4:$E$52,MATCH(Tabla_Registro_Tareas5[[#This Row],[Actividad]],plan!$C$4:$C$52,0)),"")</f>
        <v/>
      </c>
      <c r="F178" s="49" t="str">
        <f>IF(Tabla_Registro_Tareas5[[#This Row],[Actividad]]=Indice_Aux_Vacio,"",Indice_PROBLAM_Estudiante5)</f>
        <v/>
      </c>
      <c r="G178" s="7"/>
      <c r="H178" s="8"/>
      <c r="I178" s="9"/>
      <c r="K178" s="12" t="str" cm="1">
        <f t="array" ref="K178">IF($B178&lt;&gt;"",TRANSPOSE(_xlfn._xlws.FILTER(plan!$C$4:$C$52, ($B178 &gt;= (plan!$J$4:$J$52-Indice_Plan_ExtensionPlazo))*($B178 &lt;= (plan!$K$4:$K$52+Indice_Plan_ExtensionPlazo)), "")), "")</f>
        <v/>
      </c>
      <c r="BH178" s="4"/>
    </row>
    <row r="179" spans="2:60" x14ac:dyDescent="0.3">
      <c r="B179" s="6"/>
      <c r="C179" s="10"/>
      <c r="D179" s="48" t="str">
        <f>IF(Tabla_Registro_Tareas5[[#This Row],[Actividad]]=Indice_Aux_Vacio,"",IFERROR(INDEX(plan!$D$4:$D$52,MATCH(Tabla_Registro_Tareas5[[#This Row],[Actividad]],plan!$C$4:$C$52,0)),""))</f>
        <v/>
      </c>
      <c r="E179" s="48" t="str">
        <f>IFERROR(INDEX(plan!$E$4:$E$52,MATCH(Tabla_Registro_Tareas5[[#This Row],[Actividad]],plan!$C$4:$C$52,0)),"")</f>
        <v/>
      </c>
      <c r="F179" s="49" t="str">
        <f>IF(Tabla_Registro_Tareas5[[#This Row],[Actividad]]=Indice_Aux_Vacio,"",Indice_PROBLAM_Estudiante5)</f>
        <v/>
      </c>
      <c r="G179" s="7"/>
      <c r="H179" s="8"/>
      <c r="I179" s="9"/>
      <c r="K179" s="12" t="str" cm="1">
        <f t="array" ref="K179">IF($B179&lt;&gt;"",TRANSPOSE(_xlfn._xlws.FILTER(plan!$C$4:$C$52, ($B179 &gt;= (plan!$J$4:$J$52-Indice_Plan_ExtensionPlazo))*($B179 &lt;= (plan!$K$4:$K$52+Indice_Plan_ExtensionPlazo)), "")), "")</f>
        <v/>
      </c>
      <c r="BH179" s="4"/>
    </row>
    <row r="180" spans="2:60" x14ac:dyDescent="0.3">
      <c r="B180" s="6"/>
      <c r="C180" s="10"/>
      <c r="D180" s="48" t="str">
        <f>IF(Tabla_Registro_Tareas5[[#This Row],[Actividad]]=Indice_Aux_Vacio,"",IFERROR(INDEX(plan!$D$4:$D$52,MATCH(Tabla_Registro_Tareas5[[#This Row],[Actividad]],plan!$C$4:$C$52,0)),""))</f>
        <v/>
      </c>
      <c r="E180" s="48" t="str">
        <f>IFERROR(INDEX(plan!$E$4:$E$52,MATCH(Tabla_Registro_Tareas5[[#This Row],[Actividad]],plan!$C$4:$C$52,0)),"")</f>
        <v/>
      </c>
      <c r="F180" s="49" t="str">
        <f>IF(Tabla_Registro_Tareas5[[#This Row],[Actividad]]=Indice_Aux_Vacio,"",Indice_PROBLAM_Estudiante5)</f>
        <v/>
      </c>
      <c r="G180" s="7"/>
      <c r="H180" s="8"/>
      <c r="I180" s="9"/>
      <c r="K180" s="12" t="str" cm="1">
        <f t="array" ref="K180">IF($B180&lt;&gt;"",TRANSPOSE(_xlfn._xlws.FILTER(plan!$C$4:$C$52, ($B180 &gt;= (plan!$J$4:$J$52-Indice_Plan_ExtensionPlazo))*($B180 &lt;= (plan!$K$4:$K$52+Indice_Plan_ExtensionPlazo)), "")), "")</f>
        <v/>
      </c>
      <c r="BH180" s="4"/>
    </row>
    <row r="181" spans="2:60" x14ac:dyDescent="0.3">
      <c r="B181" s="6"/>
      <c r="C181" s="10"/>
      <c r="D181" s="48" t="str">
        <f>IF(Tabla_Registro_Tareas5[[#This Row],[Actividad]]=Indice_Aux_Vacio,"",IFERROR(INDEX(plan!$D$4:$D$52,MATCH(Tabla_Registro_Tareas5[[#This Row],[Actividad]],plan!$C$4:$C$52,0)),""))</f>
        <v/>
      </c>
      <c r="E181" s="48" t="str">
        <f>IFERROR(INDEX(plan!$E$4:$E$52,MATCH(Tabla_Registro_Tareas5[[#This Row],[Actividad]],plan!$C$4:$C$52,0)),"")</f>
        <v/>
      </c>
      <c r="F181" s="49" t="str">
        <f>IF(Tabla_Registro_Tareas5[[#This Row],[Actividad]]=Indice_Aux_Vacio,"",Indice_PROBLAM_Estudiante5)</f>
        <v/>
      </c>
      <c r="G181" s="7"/>
      <c r="H181" s="8"/>
      <c r="I181" s="9"/>
      <c r="K181" s="12" t="str" cm="1">
        <f t="array" ref="K181">IF($B181&lt;&gt;"",TRANSPOSE(_xlfn._xlws.FILTER(plan!$C$4:$C$52, ($B181 &gt;= (plan!$J$4:$J$52-Indice_Plan_ExtensionPlazo))*($B181 &lt;= (plan!$K$4:$K$52+Indice_Plan_ExtensionPlazo)), "")), "")</f>
        <v/>
      </c>
      <c r="BH181" s="4"/>
    </row>
    <row r="182" spans="2:60" x14ac:dyDescent="0.3">
      <c r="B182" s="6"/>
      <c r="C182" s="10"/>
      <c r="D182" s="48" t="str">
        <f>IF(Tabla_Registro_Tareas5[[#This Row],[Actividad]]=Indice_Aux_Vacio,"",IFERROR(INDEX(plan!$D$4:$D$52,MATCH(Tabla_Registro_Tareas5[[#This Row],[Actividad]],plan!$C$4:$C$52,0)),""))</f>
        <v/>
      </c>
      <c r="E182" s="48" t="str">
        <f>IFERROR(INDEX(plan!$E$4:$E$52,MATCH(Tabla_Registro_Tareas5[[#This Row],[Actividad]],plan!$C$4:$C$52,0)),"")</f>
        <v/>
      </c>
      <c r="F182" s="49" t="str">
        <f>IF(Tabla_Registro_Tareas5[[#This Row],[Actividad]]=Indice_Aux_Vacio,"",Indice_PROBLAM_Estudiante5)</f>
        <v/>
      </c>
      <c r="G182" s="7"/>
      <c r="H182" s="8"/>
      <c r="I182" s="9"/>
      <c r="K182" s="12" t="str" cm="1">
        <f t="array" ref="K182">IF($B182&lt;&gt;"",TRANSPOSE(_xlfn._xlws.FILTER(plan!$C$4:$C$52, ($B182 &gt;= (plan!$J$4:$J$52-Indice_Plan_ExtensionPlazo))*($B182 &lt;= (plan!$K$4:$K$52+Indice_Plan_ExtensionPlazo)), "")), "")</f>
        <v/>
      </c>
      <c r="BH182" s="4"/>
    </row>
    <row r="183" spans="2:60" x14ac:dyDescent="0.3">
      <c r="B183" s="6"/>
      <c r="C183" s="10"/>
      <c r="D183" s="48" t="str">
        <f>IF(Tabla_Registro_Tareas5[[#This Row],[Actividad]]=Indice_Aux_Vacio,"",IFERROR(INDEX(plan!$D$4:$D$52,MATCH(Tabla_Registro_Tareas5[[#This Row],[Actividad]],plan!$C$4:$C$52,0)),""))</f>
        <v/>
      </c>
      <c r="E183" s="48" t="str">
        <f>IFERROR(INDEX(plan!$E$4:$E$52,MATCH(Tabla_Registro_Tareas5[[#This Row],[Actividad]],plan!$C$4:$C$52,0)),"")</f>
        <v/>
      </c>
      <c r="F183" s="49" t="str">
        <f>IF(Tabla_Registro_Tareas5[[#This Row],[Actividad]]=Indice_Aux_Vacio,"",Indice_PROBLAM_Estudiante5)</f>
        <v/>
      </c>
      <c r="G183" s="7"/>
      <c r="H183" s="8"/>
      <c r="I183" s="9"/>
      <c r="K183" s="12" t="str" cm="1">
        <f t="array" ref="K183">IF($B183&lt;&gt;"",TRANSPOSE(_xlfn._xlws.FILTER(plan!$C$4:$C$52, ($B183 &gt;= (plan!$J$4:$J$52-Indice_Plan_ExtensionPlazo))*($B183 &lt;= (plan!$K$4:$K$52+Indice_Plan_ExtensionPlazo)), "")), "")</f>
        <v/>
      </c>
      <c r="BH183" s="4"/>
    </row>
    <row r="184" spans="2:60" x14ac:dyDescent="0.3">
      <c r="B184" s="6"/>
      <c r="C184" s="10"/>
      <c r="D184" s="48" t="str">
        <f>IF(Tabla_Registro_Tareas5[[#This Row],[Actividad]]=Indice_Aux_Vacio,"",IFERROR(INDEX(plan!$D$4:$D$52,MATCH(Tabla_Registro_Tareas5[[#This Row],[Actividad]],plan!$C$4:$C$52,0)),""))</f>
        <v/>
      </c>
      <c r="E184" s="48" t="str">
        <f>IFERROR(INDEX(plan!$E$4:$E$52,MATCH(Tabla_Registro_Tareas5[[#This Row],[Actividad]],plan!$C$4:$C$52,0)),"")</f>
        <v/>
      </c>
      <c r="F184" s="49" t="str">
        <f>IF(Tabla_Registro_Tareas5[[#This Row],[Actividad]]=Indice_Aux_Vacio,"",Indice_PROBLAM_Estudiante5)</f>
        <v/>
      </c>
      <c r="G184" s="7"/>
      <c r="H184" s="8"/>
      <c r="I184" s="9"/>
      <c r="K184" s="12" t="str" cm="1">
        <f t="array" ref="K184">IF($B184&lt;&gt;"",TRANSPOSE(_xlfn._xlws.FILTER(plan!$C$4:$C$52, ($B184 &gt;= (plan!$J$4:$J$52-Indice_Plan_ExtensionPlazo))*($B184 &lt;= (plan!$K$4:$K$52+Indice_Plan_ExtensionPlazo)), "")), "")</f>
        <v/>
      </c>
      <c r="BH184" s="4"/>
    </row>
    <row r="185" spans="2:60" x14ac:dyDescent="0.3">
      <c r="B185" s="6"/>
      <c r="C185" s="10"/>
      <c r="D185" s="48" t="str">
        <f>IF(Tabla_Registro_Tareas5[[#This Row],[Actividad]]=Indice_Aux_Vacio,"",IFERROR(INDEX(plan!$D$4:$D$52,MATCH(Tabla_Registro_Tareas5[[#This Row],[Actividad]],plan!$C$4:$C$52,0)),""))</f>
        <v/>
      </c>
      <c r="E185" s="48" t="str">
        <f>IFERROR(INDEX(plan!$E$4:$E$52,MATCH(Tabla_Registro_Tareas5[[#This Row],[Actividad]],plan!$C$4:$C$52,0)),"")</f>
        <v/>
      </c>
      <c r="F185" s="49" t="str">
        <f>IF(Tabla_Registro_Tareas5[[#This Row],[Actividad]]=Indice_Aux_Vacio,"",Indice_PROBLAM_Estudiante5)</f>
        <v/>
      </c>
      <c r="G185" s="7"/>
      <c r="H185" s="8"/>
      <c r="I185" s="9"/>
      <c r="K185" s="12" t="str" cm="1">
        <f t="array" ref="K185">IF($B185&lt;&gt;"",TRANSPOSE(_xlfn._xlws.FILTER(plan!$C$4:$C$52, ($B185 &gt;= (plan!$J$4:$J$52-Indice_Plan_ExtensionPlazo))*($B185 &lt;= (plan!$K$4:$K$52+Indice_Plan_ExtensionPlazo)), "")), "")</f>
        <v/>
      </c>
      <c r="BH185" s="4"/>
    </row>
    <row r="186" spans="2:60" x14ac:dyDescent="0.3">
      <c r="B186" s="6"/>
      <c r="C186" s="10"/>
      <c r="D186" s="48" t="str">
        <f>IF(Tabla_Registro_Tareas5[[#This Row],[Actividad]]=Indice_Aux_Vacio,"",IFERROR(INDEX(plan!$D$4:$D$52,MATCH(Tabla_Registro_Tareas5[[#This Row],[Actividad]],plan!$C$4:$C$52,0)),""))</f>
        <v/>
      </c>
      <c r="E186" s="48" t="str">
        <f>IFERROR(INDEX(plan!$E$4:$E$52,MATCH(Tabla_Registro_Tareas5[[#This Row],[Actividad]],plan!$C$4:$C$52,0)),"")</f>
        <v/>
      </c>
      <c r="F186" s="49" t="str">
        <f>IF(Tabla_Registro_Tareas5[[#This Row],[Actividad]]=Indice_Aux_Vacio,"",Indice_PROBLAM_Estudiante5)</f>
        <v/>
      </c>
      <c r="G186" s="7"/>
      <c r="H186" s="8"/>
      <c r="I186" s="9"/>
      <c r="K186" s="12" t="str" cm="1">
        <f t="array" ref="K186">IF($B186&lt;&gt;"",TRANSPOSE(_xlfn._xlws.FILTER(plan!$C$4:$C$52, ($B186 &gt;= (plan!$J$4:$J$52-Indice_Plan_ExtensionPlazo))*($B186 &lt;= (plan!$K$4:$K$52+Indice_Plan_ExtensionPlazo)), "")), "")</f>
        <v/>
      </c>
      <c r="BH186" s="4"/>
    </row>
    <row r="187" spans="2:60" x14ac:dyDescent="0.3">
      <c r="B187" s="6"/>
      <c r="C187" s="10"/>
      <c r="D187" s="48" t="str">
        <f>IF(Tabla_Registro_Tareas5[[#This Row],[Actividad]]=Indice_Aux_Vacio,"",IFERROR(INDEX(plan!$D$4:$D$52,MATCH(Tabla_Registro_Tareas5[[#This Row],[Actividad]],plan!$C$4:$C$52,0)),""))</f>
        <v/>
      </c>
      <c r="E187" s="48" t="str">
        <f>IFERROR(INDEX(plan!$E$4:$E$52,MATCH(Tabla_Registro_Tareas5[[#This Row],[Actividad]],plan!$C$4:$C$52,0)),"")</f>
        <v/>
      </c>
      <c r="F187" s="49" t="str">
        <f>IF(Tabla_Registro_Tareas5[[#This Row],[Actividad]]=Indice_Aux_Vacio,"",Indice_PROBLAM_Estudiante5)</f>
        <v/>
      </c>
      <c r="G187" s="7"/>
      <c r="H187" s="8"/>
      <c r="I187" s="9"/>
      <c r="K187" s="12" t="str" cm="1">
        <f t="array" ref="K187">IF($B187&lt;&gt;"",TRANSPOSE(_xlfn._xlws.FILTER(plan!$C$4:$C$52, ($B187 &gt;= (plan!$J$4:$J$52-Indice_Plan_ExtensionPlazo))*($B187 &lt;= (plan!$K$4:$K$52+Indice_Plan_ExtensionPlazo)), "")), "")</f>
        <v/>
      </c>
      <c r="BH187" s="4"/>
    </row>
    <row r="188" spans="2:60" x14ac:dyDescent="0.3">
      <c r="B188" s="6"/>
      <c r="C188" s="10"/>
      <c r="D188" s="48" t="str">
        <f>IF(Tabla_Registro_Tareas5[[#This Row],[Actividad]]=Indice_Aux_Vacio,"",IFERROR(INDEX(plan!$D$4:$D$52,MATCH(Tabla_Registro_Tareas5[[#This Row],[Actividad]],plan!$C$4:$C$52,0)),""))</f>
        <v/>
      </c>
      <c r="E188" s="48" t="str">
        <f>IFERROR(INDEX(plan!$E$4:$E$52,MATCH(Tabla_Registro_Tareas5[[#This Row],[Actividad]],plan!$C$4:$C$52,0)),"")</f>
        <v/>
      </c>
      <c r="F188" s="49" t="str">
        <f>IF(Tabla_Registro_Tareas5[[#This Row],[Actividad]]=Indice_Aux_Vacio,"",Indice_PROBLAM_Estudiante5)</f>
        <v/>
      </c>
      <c r="G188" s="7"/>
      <c r="H188" s="8"/>
      <c r="I188" s="9"/>
      <c r="K188" s="12" t="str" cm="1">
        <f t="array" ref="K188">IF($B188&lt;&gt;"",TRANSPOSE(_xlfn._xlws.FILTER(plan!$C$4:$C$52, ($B188 &gt;= (plan!$J$4:$J$52-Indice_Plan_ExtensionPlazo))*($B188 &lt;= (plan!$K$4:$K$52+Indice_Plan_ExtensionPlazo)), "")), "")</f>
        <v/>
      </c>
      <c r="BH188" s="4"/>
    </row>
    <row r="189" spans="2:60" x14ac:dyDescent="0.3">
      <c r="B189" s="6"/>
      <c r="C189" s="10"/>
      <c r="D189" s="48" t="str">
        <f>IF(Tabla_Registro_Tareas5[[#This Row],[Actividad]]=Indice_Aux_Vacio,"",IFERROR(INDEX(plan!$D$4:$D$52,MATCH(Tabla_Registro_Tareas5[[#This Row],[Actividad]],plan!$C$4:$C$52,0)),""))</f>
        <v/>
      </c>
      <c r="E189" s="48" t="str">
        <f>IFERROR(INDEX(plan!$E$4:$E$52,MATCH(Tabla_Registro_Tareas5[[#This Row],[Actividad]],plan!$C$4:$C$52,0)),"")</f>
        <v/>
      </c>
      <c r="F189" s="49" t="str">
        <f>IF(Tabla_Registro_Tareas5[[#This Row],[Actividad]]=Indice_Aux_Vacio,"",Indice_PROBLAM_Estudiante5)</f>
        <v/>
      </c>
      <c r="G189" s="7"/>
      <c r="H189" s="8"/>
      <c r="I189" s="9"/>
      <c r="K189" s="12" t="str" cm="1">
        <f t="array" ref="K189">IF($B189&lt;&gt;"",TRANSPOSE(_xlfn._xlws.FILTER(plan!$C$4:$C$52, ($B189 &gt;= (plan!$J$4:$J$52-Indice_Plan_ExtensionPlazo))*($B189 &lt;= (plan!$K$4:$K$52+Indice_Plan_ExtensionPlazo)), "")), "")</f>
        <v/>
      </c>
      <c r="BH189" s="4"/>
    </row>
    <row r="190" spans="2:60" x14ac:dyDescent="0.3">
      <c r="B190" s="6"/>
      <c r="C190" s="10"/>
      <c r="D190" s="48" t="str">
        <f>IF(Tabla_Registro_Tareas5[[#This Row],[Actividad]]=Indice_Aux_Vacio,"",IFERROR(INDEX(plan!$D$4:$D$52,MATCH(Tabla_Registro_Tareas5[[#This Row],[Actividad]],plan!$C$4:$C$52,0)),""))</f>
        <v/>
      </c>
      <c r="E190" s="48" t="str">
        <f>IFERROR(INDEX(plan!$E$4:$E$52,MATCH(Tabla_Registro_Tareas5[[#This Row],[Actividad]],plan!$C$4:$C$52,0)),"")</f>
        <v/>
      </c>
      <c r="F190" s="49" t="str">
        <f>IF(Tabla_Registro_Tareas5[[#This Row],[Actividad]]=Indice_Aux_Vacio,"",Indice_PROBLAM_Estudiante5)</f>
        <v/>
      </c>
      <c r="G190" s="7"/>
      <c r="H190" s="8"/>
      <c r="I190" s="9"/>
      <c r="K190" s="12" t="str" cm="1">
        <f t="array" ref="K190">IF($B190&lt;&gt;"",TRANSPOSE(_xlfn._xlws.FILTER(plan!$C$4:$C$52, ($B190 &gt;= (plan!$J$4:$J$52-Indice_Plan_ExtensionPlazo))*($B190 &lt;= (plan!$K$4:$K$52+Indice_Plan_ExtensionPlazo)), "")), "")</f>
        <v/>
      </c>
      <c r="BH190" s="4"/>
    </row>
    <row r="191" spans="2:60" x14ac:dyDescent="0.3">
      <c r="B191" s="6"/>
      <c r="C191" s="10"/>
      <c r="D191" s="48" t="str">
        <f>IF(Tabla_Registro_Tareas5[[#This Row],[Actividad]]=Indice_Aux_Vacio,"",IFERROR(INDEX(plan!$D$4:$D$52,MATCH(Tabla_Registro_Tareas5[[#This Row],[Actividad]],plan!$C$4:$C$52,0)),""))</f>
        <v/>
      </c>
      <c r="E191" s="48" t="str">
        <f>IFERROR(INDEX(plan!$E$4:$E$52,MATCH(Tabla_Registro_Tareas5[[#This Row],[Actividad]],plan!$C$4:$C$52,0)),"")</f>
        <v/>
      </c>
      <c r="F191" s="49" t="str">
        <f>IF(Tabla_Registro_Tareas5[[#This Row],[Actividad]]=Indice_Aux_Vacio,"",Indice_PROBLAM_Estudiante5)</f>
        <v/>
      </c>
      <c r="G191" s="7"/>
      <c r="H191" s="8"/>
      <c r="I191" s="9"/>
      <c r="K191" s="12" t="str" cm="1">
        <f t="array" ref="K191">IF($B191&lt;&gt;"",TRANSPOSE(_xlfn._xlws.FILTER(plan!$C$4:$C$52, ($B191 &gt;= (plan!$J$4:$J$52-Indice_Plan_ExtensionPlazo))*($B191 &lt;= (plan!$K$4:$K$52+Indice_Plan_ExtensionPlazo)), "")), "")</f>
        <v/>
      </c>
      <c r="BH191" s="4"/>
    </row>
    <row r="192" spans="2:60" x14ac:dyDescent="0.3">
      <c r="B192" s="6"/>
      <c r="C192" s="10"/>
      <c r="D192" s="48" t="str">
        <f>IF(Tabla_Registro_Tareas5[[#This Row],[Actividad]]=Indice_Aux_Vacio,"",IFERROR(INDEX(plan!$D$4:$D$52,MATCH(Tabla_Registro_Tareas5[[#This Row],[Actividad]],plan!$C$4:$C$52,0)),""))</f>
        <v/>
      </c>
      <c r="E192" s="48" t="str">
        <f>IFERROR(INDEX(plan!$E$4:$E$52,MATCH(Tabla_Registro_Tareas5[[#This Row],[Actividad]],plan!$C$4:$C$52,0)),"")</f>
        <v/>
      </c>
      <c r="F192" s="49" t="str">
        <f>IF(Tabla_Registro_Tareas5[[#This Row],[Actividad]]=Indice_Aux_Vacio,"",Indice_PROBLAM_Estudiante5)</f>
        <v/>
      </c>
      <c r="G192" s="7"/>
      <c r="H192" s="8"/>
      <c r="I192" s="9"/>
      <c r="K192" s="12" t="str" cm="1">
        <f t="array" ref="K192">IF($B192&lt;&gt;"",TRANSPOSE(_xlfn._xlws.FILTER(plan!$C$4:$C$52, ($B192 &gt;= (plan!$J$4:$J$52-Indice_Plan_ExtensionPlazo))*($B192 &lt;= (plan!$K$4:$K$52+Indice_Plan_ExtensionPlazo)), "")), "")</f>
        <v/>
      </c>
      <c r="BH192" s="4"/>
    </row>
    <row r="193" spans="2:60" x14ac:dyDescent="0.3">
      <c r="B193" s="6"/>
      <c r="C193" s="10"/>
      <c r="D193" s="48" t="str">
        <f>IF(Tabla_Registro_Tareas5[[#This Row],[Actividad]]=Indice_Aux_Vacio,"",IFERROR(INDEX(plan!$D$4:$D$52,MATCH(Tabla_Registro_Tareas5[[#This Row],[Actividad]],plan!$C$4:$C$52,0)),""))</f>
        <v/>
      </c>
      <c r="E193" s="48" t="str">
        <f>IFERROR(INDEX(plan!$E$4:$E$52,MATCH(Tabla_Registro_Tareas5[[#This Row],[Actividad]],plan!$C$4:$C$52,0)),"")</f>
        <v/>
      </c>
      <c r="F193" s="49" t="str">
        <f>IF(Tabla_Registro_Tareas5[[#This Row],[Actividad]]=Indice_Aux_Vacio,"",Indice_PROBLAM_Estudiante5)</f>
        <v/>
      </c>
      <c r="G193" s="7"/>
      <c r="H193" s="8"/>
      <c r="I193" s="9"/>
      <c r="K193" s="12" t="str" cm="1">
        <f t="array" ref="K193">IF($B193&lt;&gt;"",TRANSPOSE(_xlfn._xlws.FILTER(plan!$C$4:$C$52, ($B193 &gt;= (plan!$J$4:$J$52-Indice_Plan_ExtensionPlazo))*($B193 &lt;= (plan!$K$4:$K$52+Indice_Plan_ExtensionPlazo)), "")), "")</f>
        <v/>
      </c>
      <c r="BH193" s="4"/>
    </row>
    <row r="194" spans="2:60" x14ac:dyDescent="0.3">
      <c r="B194" s="6"/>
      <c r="C194" s="10"/>
      <c r="D194" s="48" t="str">
        <f>IF(Tabla_Registro_Tareas5[[#This Row],[Actividad]]=Indice_Aux_Vacio,"",IFERROR(INDEX(plan!$D$4:$D$52,MATCH(Tabla_Registro_Tareas5[[#This Row],[Actividad]],plan!$C$4:$C$52,0)),""))</f>
        <v/>
      </c>
      <c r="E194" s="48" t="str">
        <f>IFERROR(INDEX(plan!$E$4:$E$52,MATCH(Tabla_Registro_Tareas5[[#This Row],[Actividad]],plan!$C$4:$C$52,0)),"")</f>
        <v/>
      </c>
      <c r="F194" s="49" t="str">
        <f>IF(Tabla_Registro_Tareas5[[#This Row],[Actividad]]=Indice_Aux_Vacio,"",Indice_PROBLAM_Estudiante5)</f>
        <v/>
      </c>
      <c r="G194" s="7"/>
      <c r="H194" s="8"/>
      <c r="I194" s="9"/>
      <c r="K194" s="12" t="str" cm="1">
        <f t="array" ref="K194">IF($B194&lt;&gt;"",TRANSPOSE(_xlfn._xlws.FILTER(plan!$C$4:$C$52, ($B194 &gt;= (plan!$J$4:$J$52-Indice_Plan_ExtensionPlazo))*($B194 &lt;= (plan!$K$4:$K$52+Indice_Plan_ExtensionPlazo)), "")), "")</f>
        <v/>
      </c>
      <c r="BH194" s="4"/>
    </row>
    <row r="195" spans="2:60" x14ac:dyDescent="0.3">
      <c r="B195" s="6"/>
      <c r="C195" s="10"/>
      <c r="D195" s="48" t="str">
        <f>IF(Tabla_Registro_Tareas5[[#This Row],[Actividad]]=Indice_Aux_Vacio,"",IFERROR(INDEX(plan!$D$4:$D$52,MATCH(Tabla_Registro_Tareas5[[#This Row],[Actividad]],plan!$C$4:$C$52,0)),""))</f>
        <v/>
      </c>
      <c r="E195" s="48" t="str">
        <f>IFERROR(INDEX(plan!$E$4:$E$52,MATCH(Tabla_Registro_Tareas5[[#This Row],[Actividad]],plan!$C$4:$C$52,0)),"")</f>
        <v/>
      </c>
      <c r="F195" s="49" t="str">
        <f>IF(Tabla_Registro_Tareas5[[#This Row],[Actividad]]=Indice_Aux_Vacio,"",Indice_PROBLAM_Estudiante5)</f>
        <v/>
      </c>
      <c r="G195" s="7"/>
      <c r="H195" s="8"/>
      <c r="I195" s="9"/>
      <c r="K195" s="12" t="str" cm="1">
        <f t="array" ref="K195">IF($B195&lt;&gt;"",TRANSPOSE(_xlfn._xlws.FILTER(plan!$C$4:$C$52, ($B195 &gt;= (plan!$J$4:$J$52-Indice_Plan_ExtensionPlazo))*($B195 &lt;= (plan!$K$4:$K$52+Indice_Plan_ExtensionPlazo)), "")), "")</f>
        <v/>
      </c>
      <c r="BH195" s="4"/>
    </row>
    <row r="196" spans="2:60" x14ac:dyDescent="0.3">
      <c r="B196" s="6"/>
      <c r="C196" s="10"/>
      <c r="D196" s="48" t="str">
        <f>IF(Tabla_Registro_Tareas5[[#This Row],[Actividad]]=Indice_Aux_Vacio,"",IFERROR(INDEX(plan!$D$4:$D$52,MATCH(Tabla_Registro_Tareas5[[#This Row],[Actividad]],plan!$C$4:$C$52,0)),""))</f>
        <v/>
      </c>
      <c r="E196" s="48" t="str">
        <f>IFERROR(INDEX(plan!$E$4:$E$52,MATCH(Tabla_Registro_Tareas5[[#This Row],[Actividad]],plan!$C$4:$C$52,0)),"")</f>
        <v/>
      </c>
      <c r="F196" s="49" t="str">
        <f>IF(Tabla_Registro_Tareas5[[#This Row],[Actividad]]=Indice_Aux_Vacio,"",Indice_PROBLAM_Estudiante5)</f>
        <v/>
      </c>
      <c r="G196" s="7"/>
      <c r="H196" s="8"/>
      <c r="I196" s="9"/>
      <c r="K196" s="12" t="str" cm="1">
        <f t="array" ref="K196">IF($B196&lt;&gt;"",TRANSPOSE(_xlfn._xlws.FILTER(plan!$C$4:$C$52, ($B196 &gt;= (plan!$J$4:$J$52-Indice_Plan_ExtensionPlazo))*($B196 &lt;= (plan!$K$4:$K$52+Indice_Plan_ExtensionPlazo)), "")), "")</f>
        <v/>
      </c>
      <c r="BH196" s="4"/>
    </row>
    <row r="197" spans="2:60" x14ac:dyDescent="0.3">
      <c r="B197" s="6"/>
      <c r="C197" s="10"/>
      <c r="D197" s="48" t="str">
        <f>IF(Tabla_Registro_Tareas5[[#This Row],[Actividad]]=Indice_Aux_Vacio,"",IFERROR(INDEX(plan!$D$4:$D$52,MATCH(Tabla_Registro_Tareas5[[#This Row],[Actividad]],plan!$C$4:$C$52,0)),""))</f>
        <v/>
      </c>
      <c r="E197" s="48" t="str">
        <f>IFERROR(INDEX(plan!$E$4:$E$52,MATCH(Tabla_Registro_Tareas5[[#This Row],[Actividad]],plan!$C$4:$C$52,0)),"")</f>
        <v/>
      </c>
      <c r="F197" s="49" t="str">
        <f>IF(Tabla_Registro_Tareas5[[#This Row],[Actividad]]=Indice_Aux_Vacio,"",Indice_PROBLAM_Estudiante5)</f>
        <v/>
      </c>
      <c r="G197" s="7"/>
      <c r="H197" s="8"/>
      <c r="I197" s="9"/>
      <c r="K197" s="12" t="str" cm="1">
        <f t="array" ref="K197">IF($B197&lt;&gt;"",TRANSPOSE(_xlfn._xlws.FILTER(plan!$C$4:$C$52, ($B197 &gt;= (plan!$J$4:$J$52-Indice_Plan_ExtensionPlazo))*($B197 &lt;= (plan!$K$4:$K$52+Indice_Plan_ExtensionPlazo)), "")), "")</f>
        <v/>
      </c>
      <c r="BH197" s="4"/>
    </row>
    <row r="198" spans="2:60" x14ac:dyDescent="0.3">
      <c r="B198" s="6"/>
      <c r="C198" s="10"/>
      <c r="D198" s="48" t="str">
        <f>IF(Tabla_Registro_Tareas5[[#This Row],[Actividad]]=Indice_Aux_Vacio,"",IFERROR(INDEX(plan!$D$4:$D$52,MATCH(Tabla_Registro_Tareas5[[#This Row],[Actividad]],plan!$C$4:$C$52,0)),""))</f>
        <v/>
      </c>
      <c r="E198" s="48" t="str">
        <f>IFERROR(INDEX(plan!$E$4:$E$52,MATCH(Tabla_Registro_Tareas5[[#This Row],[Actividad]],plan!$C$4:$C$52,0)),"")</f>
        <v/>
      </c>
      <c r="F198" s="49" t="str">
        <f>IF(Tabla_Registro_Tareas5[[#This Row],[Actividad]]=Indice_Aux_Vacio,"",Indice_PROBLAM_Estudiante5)</f>
        <v/>
      </c>
      <c r="G198" s="7"/>
      <c r="H198" s="8"/>
      <c r="I198" s="9"/>
      <c r="K198" s="12" t="str" cm="1">
        <f t="array" ref="K198">IF($B198&lt;&gt;"",TRANSPOSE(_xlfn._xlws.FILTER(plan!$C$4:$C$52, ($B198 &gt;= (plan!$J$4:$J$52-Indice_Plan_ExtensionPlazo))*($B198 &lt;= (plan!$K$4:$K$52+Indice_Plan_ExtensionPlazo)), "")), "")</f>
        <v/>
      </c>
      <c r="BH198" s="4"/>
    </row>
    <row r="199" spans="2:60" x14ac:dyDescent="0.3">
      <c r="B199" s="6"/>
      <c r="C199" s="10"/>
      <c r="D199" s="48" t="str">
        <f>IF(Tabla_Registro_Tareas5[[#This Row],[Actividad]]=Indice_Aux_Vacio,"",IFERROR(INDEX(plan!$D$4:$D$52,MATCH(Tabla_Registro_Tareas5[[#This Row],[Actividad]],plan!$C$4:$C$52,0)),""))</f>
        <v/>
      </c>
      <c r="E199" s="48" t="str">
        <f>IFERROR(INDEX(plan!$E$4:$E$52,MATCH(Tabla_Registro_Tareas5[[#This Row],[Actividad]],plan!$C$4:$C$52,0)),"")</f>
        <v/>
      </c>
      <c r="F199" s="49" t="str">
        <f>IF(Tabla_Registro_Tareas5[[#This Row],[Actividad]]=Indice_Aux_Vacio,"",Indice_PROBLAM_Estudiante5)</f>
        <v/>
      </c>
      <c r="G199" s="7"/>
      <c r="H199" s="8"/>
      <c r="I199" s="9"/>
      <c r="K199" s="12" t="str" cm="1">
        <f t="array" ref="K199">IF($B199&lt;&gt;"",TRANSPOSE(_xlfn._xlws.FILTER(plan!$C$4:$C$52, ($B199 &gt;= (plan!$J$4:$J$52-Indice_Plan_ExtensionPlazo))*($B199 &lt;= (plan!$K$4:$K$52+Indice_Plan_ExtensionPlazo)), "")), "")</f>
        <v/>
      </c>
      <c r="BH199" s="4"/>
    </row>
    <row r="200" spans="2:60" x14ac:dyDescent="0.3">
      <c r="B200" s="6"/>
      <c r="C200" s="10"/>
      <c r="D200" s="48" t="str">
        <f>IF(Tabla_Registro_Tareas5[[#This Row],[Actividad]]=Indice_Aux_Vacio,"",IFERROR(INDEX(plan!$D$4:$D$52,MATCH(Tabla_Registro_Tareas5[[#This Row],[Actividad]],plan!$C$4:$C$52,0)),""))</f>
        <v/>
      </c>
      <c r="E200" s="48" t="str">
        <f>IFERROR(INDEX(plan!$E$4:$E$52,MATCH(Tabla_Registro_Tareas5[[#This Row],[Actividad]],plan!$C$4:$C$52,0)),"")</f>
        <v/>
      </c>
      <c r="F200" s="49" t="str">
        <f>IF(Tabla_Registro_Tareas5[[#This Row],[Actividad]]=Indice_Aux_Vacio,"",Indice_PROBLAM_Estudiante5)</f>
        <v/>
      </c>
      <c r="G200" s="7"/>
      <c r="H200" s="8"/>
      <c r="I200" s="9"/>
      <c r="K200" s="12" t="str" cm="1">
        <f t="array" ref="K200">IF($B200&lt;&gt;"",TRANSPOSE(_xlfn._xlws.FILTER(plan!$C$4:$C$52, ($B200 &gt;= (plan!$J$4:$J$52-Indice_Plan_ExtensionPlazo))*($B200 &lt;= (plan!$K$4:$K$52+Indice_Plan_ExtensionPlazo)), "")), "")</f>
        <v/>
      </c>
      <c r="BH200" s="4"/>
    </row>
    <row r="201" spans="2:60" x14ac:dyDescent="0.3">
      <c r="B201" s="6"/>
      <c r="C201" s="10"/>
      <c r="D201" s="48" t="str">
        <f>IF(Tabla_Registro_Tareas5[[#This Row],[Actividad]]=Indice_Aux_Vacio,"",IFERROR(INDEX(plan!$D$4:$D$52,MATCH(Tabla_Registro_Tareas5[[#This Row],[Actividad]],plan!$C$4:$C$52,0)),""))</f>
        <v/>
      </c>
      <c r="E201" s="48" t="str">
        <f>IFERROR(INDEX(plan!$E$4:$E$52,MATCH(Tabla_Registro_Tareas5[[#This Row],[Actividad]],plan!$C$4:$C$52,0)),"")</f>
        <v/>
      </c>
      <c r="F201" s="49" t="str">
        <f>IF(Tabla_Registro_Tareas5[[#This Row],[Actividad]]=Indice_Aux_Vacio,"",Indice_PROBLAM_Estudiante5)</f>
        <v/>
      </c>
      <c r="G201" s="7"/>
      <c r="H201" s="8"/>
      <c r="I201" s="9"/>
      <c r="K201" s="12" t="str" cm="1">
        <f t="array" ref="K201">IF($B201&lt;&gt;"",TRANSPOSE(_xlfn._xlws.FILTER(plan!$C$4:$C$52, ($B201 &gt;= (plan!$J$4:$J$52-Indice_Plan_ExtensionPlazo))*($B201 &lt;= (plan!$K$4:$K$52+Indice_Plan_ExtensionPlazo)), "")), "")</f>
        <v/>
      </c>
      <c r="BH201" s="4"/>
    </row>
    <row r="202" spans="2:60" x14ac:dyDescent="0.3">
      <c r="B202" s="6"/>
      <c r="C202" s="10"/>
      <c r="D202" s="48" t="str">
        <f>IF(Tabla_Registro_Tareas5[[#This Row],[Actividad]]=Indice_Aux_Vacio,"",IFERROR(INDEX(plan!$D$4:$D$52,MATCH(Tabla_Registro_Tareas5[[#This Row],[Actividad]],plan!$C$4:$C$52,0)),""))</f>
        <v/>
      </c>
      <c r="E202" s="48" t="str">
        <f>IFERROR(INDEX(plan!$E$4:$E$52,MATCH(Tabla_Registro_Tareas5[[#This Row],[Actividad]],plan!$C$4:$C$52,0)),"")</f>
        <v/>
      </c>
      <c r="F202" s="49" t="str">
        <f>IF(Tabla_Registro_Tareas5[[#This Row],[Actividad]]=Indice_Aux_Vacio,"",Indice_PROBLAM_Estudiante5)</f>
        <v/>
      </c>
      <c r="G202" s="7"/>
      <c r="H202" s="8"/>
      <c r="I202" s="9"/>
      <c r="K202" s="12" t="str" cm="1">
        <f t="array" ref="K202">IF($B202&lt;&gt;"",TRANSPOSE(_xlfn._xlws.FILTER(plan!$C$4:$C$52, ($B202 &gt;= (plan!$J$4:$J$52-Indice_Plan_ExtensionPlazo))*($B202 &lt;= (plan!$K$4:$K$52+Indice_Plan_ExtensionPlazo)), "")), "")</f>
        <v/>
      </c>
      <c r="BH202" s="4"/>
    </row>
    <row r="203" spans="2:60" x14ac:dyDescent="0.3">
      <c r="B203" s="6"/>
      <c r="C203" s="10"/>
      <c r="D203" s="48" t="str">
        <f>IF(Tabla_Registro_Tareas5[[#This Row],[Actividad]]=Indice_Aux_Vacio,"",IFERROR(INDEX(plan!$D$4:$D$52,MATCH(Tabla_Registro_Tareas5[[#This Row],[Actividad]],plan!$C$4:$C$52,0)),""))</f>
        <v/>
      </c>
      <c r="E203" s="48" t="str">
        <f>IFERROR(INDEX(plan!$E$4:$E$52,MATCH(Tabla_Registro_Tareas5[[#This Row],[Actividad]],plan!$C$4:$C$52,0)),"")</f>
        <v/>
      </c>
      <c r="F203" s="49" t="str">
        <f>IF(Tabla_Registro_Tareas5[[#This Row],[Actividad]]=Indice_Aux_Vacio,"",Indice_PROBLAM_Estudiante5)</f>
        <v/>
      </c>
      <c r="G203" s="7"/>
      <c r="H203" s="8"/>
      <c r="I203" s="9"/>
      <c r="K203" s="12" t="str" cm="1">
        <f t="array" ref="K203">IF($B203&lt;&gt;"",TRANSPOSE(_xlfn._xlws.FILTER(plan!$C$4:$C$52, ($B203 &gt;= (plan!$J$4:$J$52-Indice_Plan_ExtensionPlazo))*($B203 &lt;= (plan!$K$4:$K$52+Indice_Plan_ExtensionPlazo)), "")), "")</f>
        <v/>
      </c>
      <c r="BH203" s="4"/>
    </row>
    <row r="204" spans="2:60" x14ac:dyDescent="0.3">
      <c r="B204" s="6"/>
      <c r="C204" s="10"/>
      <c r="D204" s="48" t="str">
        <f>IF(Tabla_Registro_Tareas5[[#This Row],[Actividad]]=Indice_Aux_Vacio,"",IFERROR(INDEX(plan!$D$4:$D$52,MATCH(Tabla_Registro_Tareas5[[#This Row],[Actividad]],plan!$C$4:$C$52,0)),""))</f>
        <v/>
      </c>
      <c r="E204" s="48" t="str">
        <f>IFERROR(INDEX(plan!$E$4:$E$52,MATCH(Tabla_Registro_Tareas5[[#This Row],[Actividad]],plan!$C$4:$C$52,0)),"")</f>
        <v/>
      </c>
      <c r="F204" s="49" t="str">
        <f>IF(Tabla_Registro_Tareas5[[#This Row],[Actividad]]=Indice_Aux_Vacio,"",Indice_PROBLAM_Estudiante5)</f>
        <v/>
      </c>
      <c r="G204" s="7"/>
      <c r="H204" s="8"/>
      <c r="I204" s="9"/>
      <c r="K204" s="12" t="str" cm="1">
        <f t="array" ref="K204">IF($B204&lt;&gt;"",TRANSPOSE(_xlfn._xlws.FILTER(plan!$C$4:$C$52, ($B204 &gt;= (plan!$J$4:$J$52-Indice_Plan_ExtensionPlazo))*($B204 &lt;= (plan!$K$4:$K$52+Indice_Plan_ExtensionPlazo)), "")), "")</f>
        <v/>
      </c>
      <c r="BH204" s="4"/>
    </row>
    <row r="205" spans="2:60" x14ac:dyDescent="0.3">
      <c r="B205" s="6"/>
      <c r="C205" s="10"/>
      <c r="D205" s="48" t="str">
        <f>IF(Tabla_Registro_Tareas5[[#This Row],[Actividad]]=Indice_Aux_Vacio,"",IFERROR(INDEX(plan!$D$4:$D$52,MATCH(Tabla_Registro_Tareas5[[#This Row],[Actividad]],plan!$C$4:$C$52,0)),""))</f>
        <v/>
      </c>
      <c r="E205" s="48" t="str">
        <f>IFERROR(INDEX(plan!$E$4:$E$52,MATCH(Tabla_Registro_Tareas5[[#This Row],[Actividad]],plan!$C$4:$C$52,0)),"")</f>
        <v/>
      </c>
      <c r="F205" s="49" t="str">
        <f>IF(Tabla_Registro_Tareas5[[#This Row],[Actividad]]=Indice_Aux_Vacio,"",Indice_PROBLAM_Estudiante5)</f>
        <v/>
      </c>
      <c r="G205" s="7"/>
      <c r="H205" s="8"/>
      <c r="I205" s="9"/>
      <c r="K205" s="12" t="str" cm="1">
        <f t="array" ref="K205">IF($B205&lt;&gt;"",TRANSPOSE(_xlfn._xlws.FILTER(plan!$C$4:$C$52, ($B205 &gt;= (plan!$J$4:$J$52-Indice_Plan_ExtensionPlazo))*($B205 &lt;= (plan!$K$4:$K$52+Indice_Plan_ExtensionPlazo)), "")), "")</f>
        <v/>
      </c>
      <c r="BH205" s="4"/>
    </row>
    <row r="206" spans="2:60" x14ac:dyDescent="0.3">
      <c r="B206" s="6"/>
      <c r="C206" s="10"/>
      <c r="D206" s="48" t="str">
        <f>IF(Tabla_Registro_Tareas5[[#This Row],[Actividad]]=Indice_Aux_Vacio,"",IFERROR(INDEX(plan!$D$4:$D$52,MATCH(Tabla_Registro_Tareas5[[#This Row],[Actividad]],plan!$C$4:$C$52,0)),""))</f>
        <v/>
      </c>
      <c r="E206" s="48" t="str">
        <f>IFERROR(INDEX(plan!$E$4:$E$52,MATCH(Tabla_Registro_Tareas5[[#This Row],[Actividad]],plan!$C$4:$C$52,0)),"")</f>
        <v/>
      </c>
      <c r="F206" s="49" t="str">
        <f>IF(Tabla_Registro_Tareas5[[#This Row],[Actividad]]=Indice_Aux_Vacio,"",Indice_PROBLAM_Estudiante5)</f>
        <v/>
      </c>
      <c r="G206" s="7"/>
      <c r="H206" s="8"/>
      <c r="I206" s="9"/>
      <c r="K206" s="12" t="str" cm="1">
        <f t="array" ref="K206">IF($B206&lt;&gt;"",TRANSPOSE(_xlfn._xlws.FILTER(plan!$C$4:$C$52, ($B206 &gt;= (plan!$J$4:$J$52-Indice_Plan_ExtensionPlazo))*($B206 &lt;= (plan!$K$4:$K$52+Indice_Plan_ExtensionPlazo)), "")), "")</f>
        <v/>
      </c>
      <c r="BH206" s="4"/>
    </row>
    <row r="207" spans="2:60" x14ac:dyDescent="0.3">
      <c r="B207" s="6"/>
      <c r="C207" s="10"/>
      <c r="D207" s="48" t="str">
        <f>IF(Tabla_Registro_Tareas5[[#This Row],[Actividad]]=Indice_Aux_Vacio,"",IFERROR(INDEX(plan!$D$4:$D$52,MATCH(Tabla_Registro_Tareas5[[#This Row],[Actividad]],plan!$C$4:$C$52,0)),""))</f>
        <v/>
      </c>
      <c r="E207" s="48" t="str">
        <f>IFERROR(INDEX(plan!$E$4:$E$52,MATCH(Tabla_Registro_Tareas5[[#This Row],[Actividad]],plan!$C$4:$C$52,0)),"")</f>
        <v/>
      </c>
      <c r="F207" s="49" t="str">
        <f>IF(Tabla_Registro_Tareas5[[#This Row],[Actividad]]=Indice_Aux_Vacio,"",Indice_PROBLAM_Estudiante5)</f>
        <v/>
      </c>
      <c r="G207" s="7"/>
      <c r="H207" s="8"/>
      <c r="I207" s="9"/>
      <c r="K207" s="12" t="str" cm="1">
        <f t="array" ref="K207">IF($B207&lt;&gt;"",TRANSPOSE(_xlfn._xlws.FILTER(plan!$C$4:$C$52, ($B207 &gt;= (plan!$J$4:$J$52-Indice_Plan_ExtensionPlazo))*($B207 &lt;= (plan!$K$4:$K$52+Indice_Plan_ExtensionPlazo)), "")), "")</f>
        <v/>
      </c>
      <c r="BH207" s="4"/>
    </row>
    <row r="208" spans="2:60" x14ac:dyDescent="0.3">
      <c r="B208" s="6"/>
      <c r="C208" s="10"/>
      <c r="D208" s="48" t="str">
        <f>IF(Tabla_Registro_Tareas5[[#This Row],[Actividad]]=Indice_Aux_Vacio,"",IFERROR(INDEX(plan!$D$4:$D$52,MATCH(Tabla_Registro_Tareas5[[#This Row],[Actividad]],plan!$C$4:$C$52,0)),""))</f>
        <v/>
      </c>
      <c r="E208" s="48" t="str">
        <f>IFERROR(INDEX(plan!$E$4:$E$52,MATCH(Tabla_Registro_Tareas5[[#This Row],[Actividad]],plan!$C$4:$C$52,0)),"")</f>
        <v/>
      </c>
      <c r="F208" s="49" t="str">
        <f>IF(Tabla_Registro_Tareas5[[#This Row],[Actividad]]=Indice_Aux_Vacio,"",Indice_PROBLAM_Estudiante5)</f>
        <v/>
      </c>
      <c r="G208" s="7"/>
      <c r="H208" s="8"/>
      <c r="I208" s="9"/>
      <c r="K208" s="12" t="str" cm="1">
        <f t="array" ref="K208">IF($B208&lt;&gt;"",TRANSPOSE(_xlfn._xlws.FILTER(plan!$C$4:$C$52, ($B208 &gt;= (plan!$J$4:$J$52-Indice_Plan_ExtensionPlazo))*($B208 &lt;= (plan!$K$4:$K$52+Indice_Plan_ExtensionPlazo)), "")), "")</f>
        <v/>
      </c>
      <c r="BH208" s="4"/>
    </row>
    <row r="209" spans="2:60" x14ac:dyDescent="0.3">
      <c r="B209" s="6"/>
      <c r="C209" s="10"/>
      <c r="D209" s="48" t="str">
        <f>IF(Tabla_Registro_Tareas5[[#This Row],[Actividad]]=Indice_Aux_Vacio,"",IFERROR(INDEX(plan!$D$4:$D$52,MATCH(Tabla_Registro_Tareas5[[#This Row],[Actividad]],plan!$C$4:$C$52,0)),""))</f>
        <v/>
      </c>
      <c r="E209" s="48" t="str">
        <f>IFERROR(INDEX(plan!$E$4:$E$52,MATCH(Tabla_Registro_Tareas5[[#This Row],[Actividad]],plan!$C$4:$C$52,0)),"")</f>
        <v/>
      </c>
      <c r="F209" s="49" t="str">
        <f>IF(Tabla_Registro_Tareas5[[#This Row],[Actividad]]=Indice_Aux_Vacio,"",Indice_PROBLAM_Estudiante5)</f>
        <v/>
      </c>
      <c r="G209" s="7"/>
      <c r="H209" s="8"/>
      <c r="I209" s="9"/>
      <c r="K209" s="12" t="str" cm="1">
        <f t="array" ref="K209">IF($B209&lt;&gt;"",TRANSPOSE(_xlfn._xlws.FILTER(plan!$C$4:$C$52, ($B209 &gt;= (plan!$J$4:$J$52-Indice_Plan_ExtensionPlazo))*($B209 &lt;= (plan!$K$4:$K$52+Indice_Plan_ExtensionPlazo)), "")), "")</f>
        <v/>
      </c>
      <c r="BH209" s="4"/>
    </row>
    <row r="210" spans="2:60" x14ac:dyDescent="0.3">
      <c r="B210" s="6"/>
      <c r="C210" s="10"/>
      <c r="D210" s="48" t="str">
        <f>IF(Tabla_Registro_Tareas5[[#This Row],[Actividad]]=Indice_Aux_Vacio,"",IFERROR(INDEX(plan!$D$4:$D$52,MATCH(Tabla_Registro_Tareas5[[#This Row],[Actividad]],plan!$C$4:$C$52,0)),""))</f>
        <v/>
      </c>
      <c r="E210" s="48" t="str">
        <f>IFERROR(INDEX(plan!$E$4:$E$52,MATCH(Tabla_Registro_Tareas5[[#This Row],[Actividad]],plan!$C$4:$C$52,0)),"")</f>
        <v/>
      </c>
      <c r="F210" s="49" t="str">
        <f>IF(Tabla_Registro_Tareas5[[#This Row],[Actividad]]=Indice_Aux_Vacio,"",Indice_PROBLAM_Estudiante5)</f>
        <v/>
      </c>
      <c r="G210" s="7"/>
      <c r="H210" s="8"/>
      <c r="I210" s="9"/>
      <c r="K210" s="12" t="str" cm="1">
        <f t="array" ref="K210">IF($B210&lt;&gt;"",TRANSPOSE(_xlfn._xlws.FILTER(plan!$C$4:$C$52, ($B210 &gt;= (plan!$J$4:$J$52-Indice_Plan_ExtensionPlazo))*($B210 &lt;= (plan!$K$4:$K$52+Indice_Plan_ExtensionPlazo)), "")), "")</f>
        <v/>
      </c>
      <c r="BH210" s="4"/>
    </row>
    <row r="211" spans="2:60" x14ac:dyDescent="0.3">
      <c r="B211" s="6"/>
      <c r="C211" s="10"/>
      <c r="D211" s="48" t="str">
        <f>IF(Tabla_Registro_Tareas5[[#This Row],[Actividad]]=Indice_Aux_Vacio,"",IFERROR(INDEX(plan!$D$4:$D$52,MATCH(Tabla_Registro_Tareas5[[#This Row],[Actividad]],plan!$C$4:$C$52,0)),""))</f>
        <v/>
      </c>
      <c r="E211" s="48" t="str">
        <f>IFERROR(INDEX(plan!$E$4:$E$52,MATCH(Tabla_Registro_Tareas5[[#This Row],[Actividad]],plan!$C$4:$C$52,0)),"")</f>
        <v/>
      </c>
      <c r="F211" s="49" t="str">
        <f>IF(Tabla_Registro_Tareas5[[#This Row],[Actividad]]=Indice_Aux_Vacio,"",Indice_PROBLAM_Estudiante5)</f>
        <v/>
      </c>
      <c r="G211" s="7"/>
      <c r="H211" s="8"/>
      <c r="I211" s="9"/>
      <c r="K211" s="12" t="str" cm="1">
        <f t="array" ref="K211">IF($B211&lt;&gt;"",TRANSPOSE(_xlfn._xlws.FILTER(plan!$C$4:$C$52, ($B211 &gt;= (plan!$J$4:$J$52-Indice_Plan_ExtensionPlazo))*($B211 &lt;= (plan!$K$4:$K$52+Indice_Plan_ExtensionPlazo)), "")), "")</f>
        <v/>
      </c>
      <c r="BH211" s="4"/>
    </row>
    <row r="212" spans="2:60" x14ac:dyDescent="0.3">
      <c r="B212" s="6"/>
      <c r="C212" s="10"/>
      <c r="D212" s="48" t="str">
        <f>IF(Tabla_Registro_Tareas5[[#This Row],[Actividad]]=Indice_Aux_Vacio,"",IFERROR(INDEX(plan!$D$4:$D$52,MATCH(Tabla_Registro_Tareas5[[#This Row],[Actividad]],plan!$C$4:$C$52,0)),""))</f>
        <v/>
      </c>
      <c r="E212" s="48" t="str">
        <f>IFERROR(INDEX(plan!$E$4:$E$52,MATCH(Tabla_Registro_Tareas5[[#This Row],[Actividad]],plan!$C$4:$C$52,0)),"")</f>
        <v/>
      </c>
      <c r="F212" s="49" t="str">
        <f>IF(Tabla_Registro_Tareas5[[#This Row],[Actividad]]=Indice_Aux_Vacio,"",Indice_PROBLAM_Estudiante5)</f>
        <v/>
      </c>
      <c r="G212" s="7"/>
      <c r="H212" s="8"/>
      <c r="I212" s="9"/>
      <c r="K212" s="12" t="str" cm="1">
        <f t="array" ref="K212">IF($B212&lt;&gt;"",TRANSPOSE(_xlfn._xlws.FILTER(plan!$C$4:$C$52, ($B212 &gt;= (plan!$J$4:$J$52-Indice_Plan_ExtensionPlazo))*($B212 &lt;= (plan!$K$4:$K$52+Indice_Plan_ExtensionPlazo)), "")), "")</f>
        <v/>
      </c>
      <c r="BH212" s="4"/>
    </row>
    <row r="213" spans="2:60" x14ac:dyDescent="0.3">
      <c r="B213" s="6"/>
      <c r="C213" s="10"/>
      <c r="D213" s="48" t="str">
        <f>IF(Tabla_Registro_Tareas5[[#This Row],[Actividad]]=Indice_Aux_Vacio,"",IFERROR(INDEX(plan!$D$4:$D$52,MATCH(Tabla_Registro_Tareas5[[#This Row],[Actividad]],plan!$C$4:$C$52,0)),""))</f>
        <v/>
      </c>
      <c r="E213" s="48" t="str">
        <f>IFERROR(INDEX(plan!$E$4:$E$52,MATCH(Tabla_Registro_Tareas5[[#This Row],[Actividad]],plan!$C$4:$C$52,0)),"")</f>
        <v/>
      </c>
      <c r="F213" s="49" t="str">
        <f>IF(Tabla_Registro_Tareas5[[#This Row],[Actividad]]=Indice_Aux_Vacio,"",Indice_PROBLAM_Estudiante5)</f>
        <v/>
      </c>
      <c r="G213" s="7"/>
      <c r="H213" s="8"/>
      <c r="I213" s="9"/>
      <c r="K213" s="12" t="str" cm="1">
        <f t="array" ref="K213">IF($B213&lt;&gt;"",TRANSPOSE(_xlfn._xlws.FILTER(plan!$C$4:$C$52, ($B213 &gt;= (plan!$J$4:$J$52-Indice_Plan_ExtensionPlazo))*($B213 &lt;= (plan!$K$4:$K$52+Indice_Plan_ExtensionPlazo)), "")), "")</f>
        <v/>
      </c>
      <c r="BH213" s="4"/>
    </row>
    <row r="214" spans="2:60" x14ac:dyDescent="0.3">
      <c r="B214" s="6"/>
      <c r="C214" s="10"/>
      <c r="D214" s="48" t="str">
        <f>IF(Tabla_Registro_Tareas5[[#This Row],[Actividad]]=Indice_Aux_Vacio,"",IFERROR(INDEX(plan!$D$4:$D$52,MATCH(Tabla_Registro_Tareas5[[#This Row],[Actividad]],plan!$C$4:$C$52,0)),""))</f>
        <v/>
      </c>
      <c r="E214" s="48" t="str">
        <f>IFERROR(INDEX(plan!$E$4:$E$52,MATCH(Tabla_Registro_Tareas5[[#This Row],[Actividad]],plan!$C$4:$C$52,0)),"")</f>
        <v/>
      </c>
      <c r="F214" s="49" t="str">
        <f>IF(Tabla_Registro_Tareas5[[#This Row],[Actividad]]=Indice_Aux_Vacio,"",Indice_PROBLAM_Estudiante5)</f>
        <v/>
      </c>
      <c r="G214" s="7"/>
      <c r="H214" s="8"/>
      <c r="I214" s="9"/>
      <c r="K214" s="12" t="str" cm="1">
        <f t="array" ref="K214">IF($B214&lt;&gt;"",TRANSPOSE(_xlfn._xlws.FILTER(plan!$C$4:$C$52, ($B214 &gt;= (plan!$J$4:$J$52-Indice_Plan_ExtensionPlazo))*($B214 &lt;= (plan!$K$4:$K$52+Indice_Plan_ExtensionPlazo)), "")), "")</f>
        <v/>
      </c>
      <c r="BH214" s="4"/>
    </row>
    <row r="215" spans="2:60" x14ac:dyDescent="0.3">
      <c r="B215" s="6"/>
      <c r="C215" s="10"/>
      <c r="D215" s="48" t="str">
        <f>IF(Tabla_Registro_Tareas5[[#This Row],[Actividad]]=Indice_Aux_Vacio,"",IFERROR(INDEX(plan!$D$4:$D$52,MATCH(Tabla_Registro_Tareas5[[#This Row],[Actividad]],plan!$C$4:$C$52,0)),""))</f>
        <v/>
      </c>
      <c r="E215" s="48" t="str">
        <f>IFERROR(INDEX(plan!$E$4:$E$52,MATCH(Tabla_Registro_Tareas5[[#This Row],[Actividad]],plan!$C$4:$C$52,0)),"")</f>
        <v/>
      </c>
      <c r="F215" s="49" t="str">
        <f>IF(Tabla_Registro_Tareas5[[#This Row],[Actividad]]=Indice_Aux_Vacio,"",Indice_PROBLAM_Estudiante5)</f>
        <v/>
      </c>
      <c r="G215" s="7"/>
      <c r="H215" s="8"/>
      <c r="I215" s="9"/>
      <c r="K215" s="12" t="str" cm="1">
        <f t="array" ref="K215">IF($B215&lt;&gt;"",TRANSPOSE(_xlfn._xlws.FILTER(plan!$C$4:$C$52, ($B215 &gt;= (plan!$J$4:$J$52-Indice_Plan_ExtensionPlazo))*($B215 &lt;= (plan!$K$4:$K$52+Indice_Plan_ExtensionPlazo)), "")), "")</f>
        <v/>
      </c>
      <c r="BH215" s="4"/>
    </row>
    <row r="216" spans="2:60" x14ac:dyDescent="0.3">
      <c r="B216" s="6"/>
      <c r="C216" s="10"/>
      <c r="D216" s="48" t="str">
        <f>IF(Tabla_Registro_Tareas5[[#This Row],[Actividad]]=Indice_Aux_Vacio,"",IFERROR(INDEX(plan!$D$4:$D$52,MATCH(Tabla_Registro_Tareas5[[#This Row],[Actividad]],plan!$C$4:$C$52,0)),""))</f>
        <v/>
      </c>
      <c r="E216" s="48" t="str">
        <f>IFERROR(INDEX(plan!$E$4:$E$52,MATCH(Tabla_Registro_Tareas5[[#This Row],[Actividad]],plan!$C$4:$C$52,0)),"")</f>
        <v/>
      </c>
      <c r="F216" s="49" t="str">
        <f>IF(Tabla_Registro_Tareas5[[#This Row],[Actividad]]=Indice_Aux_Vacio,"",Indice_PROBLAM_Estudiante5)</f>
        <v/>
      </c>
      <c r="G216" s="7"/>
      <c r="H216" s="8"/>
      <c r="I216" s="9"/>
      <c r="K216" s="12" t="str" cm="1">
        <f t="array" ref="K216">IF($B216&lt;&gt;"",TRANSPOSE(_xlfn._xlws.FILTER(plan!$C$4:$C$52, ($B216 &gt;= (plan!$J$4:$J$52-Indice_Plan_ExtensionPlazo))*($B216 &lt;= (plan!$K$4:$K$52+Indice_Plan_ExtensionPlazo)), "")), "")</f>
        <v/>
      </c>
      <c r="BH216" s="4"/>
    </row>
    <row r="217" spans="2:60" x14ac:dyDescent="0.3">
      <c r="B217" s="6"/>
      <c r="C217" s="10"/>
      <c r="D217" s="48" t="str">
        <f>IF(Tabla_Registro_Tareas5[[#This Row],[Actividad]]=Indice_Aux_Vacio,"",IFERROR(INDEX(plan!$D$4:$D$52,MATCH(Tabla_Registro_Tareas5[[#This Row],[Actividad]],plan!$C$4:$C$52,0)),""))</f>
        <v/>
      </c>
      <c r="E217" s="48" t="str">
        <f>IFERROR(INDEX(plan!$E$4:$E$52,MATCH(Tabla_Registro_Tareas5[[#This Row],[Actividad]],plan!$C$4:$C$52,0)),"")</f>
        <v/>
      </c>
      <c r="F217" s="49" t="str">
        <f>IF(Tabla_Registro_Tareas5[[#This Row],[Actividad]]=Indice_Aux_Vacio,"",Indice_PROBLAM_Estudiante5)</f>
        <v/>
      </c>
      <c r="G217" s="7"/>
      <c r="H217" s="8"/>
      <c r="I217" s="9"/>
      <c r="K217" s="12" t="str" cm="1">
        <f t="array" ref="K217">IF($B217&lt;&gt;"",TRANSPOSE(_xlfn._xlws.FILTER(plan!$C$4:$C$52, ($B217 &gt;= (plan!$J$4:$J$52-Indice_Plan_ExtensionPlazo))*($B217 &lt;= (plan!$K$4:$K$52+Indice_Plan_ExtensionPlazo)), "")), "")</f>
        <v/>
      </c>
      <c r="BH217" s="4"/>
    </row>
    <row r="218" spans="2:60" x14ac:dyDescent="0.3">
      <c r="B218" s="6"/>
      <c r="C218" s="10"/>
      <c r="D218" s="48" t="str">
        <f>IF(Tabla_Registro_Tareas5[[#This Row],[Actividad]]=Indice_Aux_Vacio,"",IFERROR(INDEX(plan!$D$4:$D$52,MATCH(Tabla_Registro_Tareas5[[#This Row],[Actividad]],plan!$C$4:$C$52,0)),""))</f>
        <v/>
      </c>
      <c r="E218" s="48" t="str">
        <f>IFERROR(INDEX(plan!$E$4:$E$52,MATCH(Tabla_Registro_Tareas5[[#This Row],[Actividad]],plan!$C$4:$C$52,0)),"")</f>
        <v/>
      </c>
      <c r="F218" s="49" t="str">
        <f>IF(Tabla_Registro_Tareas5[[#This Row],[Actividad]]=Indice_Aux_Vacio,"",Indice_PROBLAM_Estudiante5)</f>
        <v/>
      </c>
      <c r="G218" s="7"/>
      <c r="H218" s="8"/>
      <c r="I218" s="9"/>
      <c r="K218" s="12" t="str" cm="1">
        <f t="array" ref="K218">IF($B218&lt;&gt;"",TRANSPOSE(_xlfn._xlws.FILTER(plan!$C$4:$C$52, ($B218 &gt;= (plan!$J$4:$J$52-Indice_Plan_ExtensionPlazo))*($B218 &lt;= (plan!$K$4:$K$52+Indice_Plan_ExtensionPlazo)), "")), "")</f>
        <v/>
      </c>
      <c r="BH218" s="4"/>
    </row>
    <row r="219" spans="2:60" x14ac:dyDescent="0.3">
      <c r="B219" s="6"/>
      <c r="C219" s="10"/>
      <c r="D219" s="48" t="str">
        <f>IF(Tabla_Registro_Tareas5[[#This Row],[Actividad]]=Indice_Aux_Vacio,"",IFERROR(INDEX(plan!$D$4:$D$52,MATCH(Tabla_Registro_Tareas5[[#This Row],[Actividad]],plan!$C$4:$C$52,0)),""))</f>
        <v/>
      </c>
      <c r="E219" s="48" t="str">
        <f>IFERROR(INDEX(plan!$E$4:$E$52,MATCH(Tabla_Registro_Tareas5[[#This Row],[Actividad]],plan!$C$4:$C$52,0)),"")</f>
        <v/>
      </c>
      <c r="F219" s="49" t="str">
        <f>IF(Tabla_Registro_Tareas5[[#This Row],[Actividad]]=Indice_Aux_Vacio,"",Indice_PROBLAM_Estudiante5)</f>
        <v/>
      </c>
      <c r="G219" s="7"/>
      <c r="H219" s="8"/>
      <c r="I219" s="9"/>
      <c r="K219" s="12" t="str" cm="1">
        <f t="array" ref="K219">IF($B219&lt;&gt;"",TRANSPOSE(_xlfn._xlws.FILTER(plan!$C$4:$C$52, ($B219 &gt;= (plan!$J$4:$J$52-Indice_Plan_ExtensionPlazo))*($B219 &lt;= (plan!$K$4:$K$52+Indice_Plan_ExtensionPlazo)), "")), "")</f>
        <v/>
      </c>
      <c r="BH219" s="4"/>
    </row>
    <row r="220" spans="2:60" x14ac:dyDescent="0.3">
      <c r="B220" s="6"/>
      <c r="C220" s="10"/>
      <c r="D220" s="48" t="str">
        <f>IF(Tabla_Registro_Tareas5[[#This Row],[Actividad]]=Indice_Aux_Vacio,"",IFERROR(INDEX(plan!$D$4:$D$52,MATCH(Tabla_Registro_Tareas5[[#This Row],[Actividad]],plan!$C$4:$C$52,0)),""))</f>
        <v/>
      </c>
      <c r="E220" s="48" t="str">
        <f>IFERROR(INDEX(plan!$E$4:$E$52,MATCH(Tabla_Registro_Tareas5[[#This Row],[Actividad]],plan!$C$4:$C$52,0)),"")</f>
        <v/>
      </c>
      <c r="F220" s="49" t="str">
        <f>IF(Tabla_Registro_Tareas5[[#This Row],[Actividad]]=Indice_Aux_Vacio,"",Indice_PROBLAM_Estudiante5)</f>
        <v/>
      </c>
      <c r="G220" s="7"/>
      <c r="H220" s="8"/>
      <c r="I220" s="9"/>
      <c r="K220" s="12" t="str" cm="1">
        <f t="array" ref="K220">IF($B220&lt;&gt;"",TRANSPOSE(_xlfn._xlws.FILTER(plan!$C$4:$C$52, ($B220 &gt;= (plan!$J$4:$J$52-Indice_Plan_ExtensionPlazo))*($B220 &lt;= (plan!$K$4:$K$52+Indice_Plan_ExtensionPlazo)), "")), "")</f>
        <v/>
      </c>
      <c r="BH220" s="4"/>
    </row>
    <row r="221" spans="2:60" x14ac:dyDescent="0.3">
      <c r="B221" s="6"/>
      <c r="C221" s="10"/>
      <c r="D221" s="48" t="str">
        <f>IF(Tabla_Registro_Tareas5[[#This Row],[Actividad]]=Indice_Aux_Vacio,"",IFERROR(INDEX(plan!$D$4:$D$52,MATCH(Tabla_Registro_Tareas5[[#This Row],[Actividad]],plan!$C$4:$C$52,0)),""))</f>
        <v/>
      </c>
      <c r="E221" s="48" t="str">
        <f>IFERROR(INDEX(plan!$E$4:$E$52,MATCH(Tabla_Registro_Tareas5[[#This Row],[Actividad]],plan!$C$4:$C$52,0)),"")</f>
        <v/>
      </c>
      <c r="F221" s="49" t="str">
        <f>IF(Tabla_Registro_Tareas5[[#This Row],[Actividad]]=Indice_Aux_Vacio,"",Indice_PROBLAM_Estudiante5)</f>
        <v/>
      </c>
      <c r="G221" s="7"/>
      <c r="H221" s="8"/>
      <c r="I221" s="9"/>
      <c r="K221" s="12" t="str" cm="1">
        <f t="array" ref="K221">IF($B221&lt;&gt;"",TRANSPOSE(_xlfn._xlws.FILTER(plan!$C$4:$C$52, ($B221 &gt;= (plan!$J$4:$J$52-Indice_Plan_ExtensionPlazo))*($B221 &lt;= (plan!$K$4:$K$52+Indice_Plan_ExtensionPlazo)), "")), "")</f>
        <v/>
      </c>
      <c r="BH221" s="4"/>
    </row>
    <row r="222" spans="2:60" x14ac:dyDescent="0.3">
      <c r="B222" s="6"/>
      <c r="C222" s="10"/>
      <c r="D222" s="48" t="str">
        <f>IF(Tabla_Registro_Tareas5[[#This Row],[Actividad]]=Indice_Aux_Vacio,"",IFERROR(INDEX(plan!$D$4:$D$52,MATCH(Tabla_Registro_Tareas5[[#This Row],[Actividad]],plan!$C$4:$C$52,0)),""))</f>
        <v/>
      </c>
      <c r="E222" s="48" t="str">
        <f>IFERROR(INDEX(plan!$E$4:$E$52,MATCH(Tabla_Registro_Tareas5[[#This Row],[Actividad]],plan!$C$4:$C$52,0)),"")</f>
        <v/>
      </c>
      <c r="F222" s="49" t="str">
        <f>IF(Tabla_Registro_Tareas5[[#This Row],[Actividad]]=Indice_Aux_Vacio,"",Indice_PROBLAM_Estudiante5)</f>
        <v/>
      </c>
      <c r="G222" s="7"/>
      <c r="H222" s="8"/>
      <c r="I222" s="9"/>
      <c r="K222" s="12" t="str" cm="1">
        <f t="array" ref="K222">IF($B222&lt;&gt;"",TRANSPOSE(_xlfn._xlws.FILTER(plan!$C$4:$C$52, ($B222 &gt;= (plan!$J$4:$J$52-Indice_Plan_ExtensionPlazo))*($B222 &lt;= (plan!$K$4:$K$52+Indice_Plan_ExtensionPlazo)), "")), "")</f>
        <v/>
      </c>
      <c r="BH222" s="4"/>
    </row>
    <row r="223" spans="2:60" x14ac:dyDescent="0.3">
      <c r="B223" s="6"/>
      <c r="C223" s="10"/>
      <c r="D223" s="48" t="str">
        <f>IF(Tabla_Registro_Tareas5[[#This Row],[Actividad]]=Indice_Aux_Vacio,"",IFERROR(INDEX(plan!$D$4:$D$52,MATCH(Tabla_Registro_Tareas5[[#This Row],[Actividad]],plan!$C$4:$C$52,0)),""))</f>
        <v/>
      </c>
      <c r="E223" s="48" t="str">
        <f>IFERROR(INDEX(plan!$E$4:$E$52,MATCH(Tabla_Registro_Tareas5[[#This Row],[Actividad]],plan!$C$4:$C$52,0)),"")</f>
        <v/>
      </c>
      <c r="F223" s="49" t="str">
        <f>IF(Tabla_Registro_Tareas5[[#This Row],[Actividad]]=Indice_Aux_Vacio,"",Indice_PROBLAM_Estudiante5)</f>
        <v/>
      </c>
      <c r="G223" s="7"/>
      <c r="H223" s="8"/>
      <c r="I223" s="9"/>
      <c r="K223" s="12" t="str" cm="1">
        <f t="array" ref="K223">IF($B223&lt;&gt;"",TRANSPOSE(_xlfn._xlws.FILTER(plan!$C$4:$C$52, ($B223 &gt;= (plan!$J$4:$J$52-Indice_Plan_ExtensionPlazo))*($B223 &lt;= (plan!$K$4:$K$52+Indice_Plan_ExtensionPlazo)), "")), "")</f>
        <v/>
      </c>
      <c r="BH223" s="4"/>
    </row>
    <row r="224" spans="2:60" x14ac:dyDescent="0.3">
      <c r="B224" s="6"/>
      <c r="C224" s="10"/>
      <c r="D224" s="48" t="str">
        <f>IF(Tabla_Registro_Tareas5[[#This Row],[Actividad]]=Indice_Aux_Vacio,"",IFERROR(INDEX(plan!$D$4:$D$52,MATCH(Tabla_Registro_Tareas5[[#This Row],[Actividad]],plan!$C$4:$C$52,0)),""))</f>
        <v/>
      </c>
      <c r="E224" s="48" t="str">
        <f>IFERROR(INDEX(plan!$E$4:$E$52,MATCH(Tabla_Registro_Tareas5[[#This Row],[Actividad]],plan!$C$4:$C$52,0)),"")</f>
        <v/>
      </c>
      <c r="F224" s="49" t="str">
        <f>IF(Tabla_Registro_Tareas5[[#This Row],[Actividad]]=Indice_Aux_Vacio,"",Indice_PROBLAM_Estudiante5)</f>
        <v/>
      </c>
      <c r="G224" s="7"/>
      <c r="H224" s="8"/>
      <c r="I224" s="9"/>
      <c r="K224" s="12" t="str" cm="1">
        <f t="array" ref="K224">IF($B224&lt;&gt;"",TRANSPOSE(_xlfn._xlws.FILTER(plan!$C$4:$C$52, ($B224 &gt;= (plan!$J$4:$J$52-Indice_Plan_ExtensionPlazo))*($B224 &lt;= (plan!$K$4:$K$52+Indice_Plan_ExtensionPlazo)), "")), "")</f>
        <v/>
      </c>
      <c r="BH224" s="4"/>
    </row>
    <row r="225" spans="2:60" x14ac:dyDescent="0.3">
      <c r="B225" s="6"/>
      <c r="C225" s="10"/>
      <c r="D225" s="48" t="str">
        <f>IF(Tabla_Registro_Tareas5[[#This Row],[Actividad]]=Indice_Aux_Vacio,"",IFERROR(INDEX(plan!$D$4:$D$52,MATCH(Tabla_Registro_Tareas5[[#This Row],[Actividad]],plan!$C$4:$C$52,0)),""))</f>
        <v/>
      </c>
      <c r="E225" s="48" t="str">
        <f>IFERROR(INDEX(plan!$E$4:$E$52,MATCH(Tabla_Registro_Tareas5[[#This Row],[Actividad]],plan!$C$4:$C$52,0)),"")</f>
        <v/>
      </c>
      <c r="F225" s="49" t="str">
        <f>IF(Tabla_Registro_Tareas5[[#This Row],[Actividad]]=Indice_Aux_Vacio,"",Indice_PROBLAM_Estudiante5)</f>
        <v/>
      </c>
      <c r="G225" s="7"/>
      <c r="H225" s="8"/>
      <c r="I225" s="9"/>
      <c r="K225" s="12" t="str" cm="1">
        <f t="array" ref="K225">IF($B225&lt;&gt;"",TRANSPOSE(_xlfn._xlws.FILTER(plan!$C$4:$C$52, ($B225 &gt;= (plan!$J$4:$J$52-Indice_Plan_ExtensionPlazo))*($B225 &lt;= (plan!$K$4:$K$52+Indice_Plan_ExtensionPlazo)), "")), "")</f>
        <v/>
      </c>
      <c r="BH225" s="4"/>
    </row>
    <row r="226" spans="2:60" x14ac:dyDescent="0.3">
      <c r="B226" s="6"/>
      <c r="C226" s="10"/>
      <c r="D226" s="48" t="str">
        <f>IF(Tabla_Registro_Tareas5[[#This Row],[Actividad]]=Indice_Aux_Vacio,"",IFERROR(INDEX(plan!$D$4:$D$52,MATCH(Tabla_Registro_Tareas5[[#This Row],[Actividad]],plan!$C$4:$C$52,0)),""))</f>
        <v/>
      </c>
      <c r="E226" s="48" t="str">
        <f>IFERROR(INDEX(plan!$E$4:$E$52,MATCH(Tabla_Registro_Tareas5[[#This Row],[Actividad]],plan!$C$4:$C$52,0)),"")</f>
        <v/>
      </c>
      <c r="F226" s="49" t="str">
        <f>IF(Tabla_Registro_Tareas5[[#This Row],[Actividad]]=Indice_Aux_Vacio,"",Indice_PROBLAM_Estudiante5)</f>
        <v/>
      </c>
      <c r="G226" s="7"/>
      <c r="H226" s="8"/>
      <c r="I226" s="9"/>
      <c r="K226" s="12" t="str" cm="1">
        <f t="array" ref="K226">IF($B226&lt;&gt;"",TRANSPOSE(_xlfn._xlws.FILTER(plan!$C$4:$C$52, ($B226 &gt;= (plan!$J$4:$J$52-Indice_Plan_ExtensionPlazo))*($B226 &lt;= (plan!$K$4:$K$52+Indice_Plan_ExtensionPlazo)), "")), "")</f>
        <v/>
      </c>
      <c r="BH226" s="4"/>
    </row>
    <row r="227" spans="2:60" x14ac:dyDescent="0.3">
      <c r="B227" s="6"/>
      <c r="C227" s="10"/>
      <c r="D227" s="48" t="str">
        <f>IF(Tabla_Registro_Tareas5[[#This Row],[Actividad]]=Indice_Aux_Vacio,"",IFERROR(INDEX(plan!$D$4:$D$52,MATCH(Tabla_Registro_Tareas5[[#This Row],[Actividad]],plan!$C$4:$C$52,0)),""))</f>
        <v/>
      </c>
      <c r="E227" s="48" t="str">
        <f>IFERROR(INDEX(plan!$E$4:$E$52,MATCH(Tabla_Registro_Tareas5[[#This Row],[Actividad]],plan!$C$4:$C$52,0)),"")</f>
        <v/>
      </c>
      <c r="F227" s="49" t="str">
        <f>IF(Tabla_Registro_Tareas5[[#This Row],[Actividad]]=Indice_Aux_Vacio,"",Indice_PROBLAM_Estudiante5)</f>
        <v/>
      </c>
      <c r="G227" s="7"/>
      <c r="H227" s="8"/>
      <c r="I227" s="9"/>
      <c r="K227" s="12" t="str" cm="1">
        <f t="array" ref="K227">IF($B227&lt;&gt;"",TRANSPOSE(_xlfn._xlws.FILTER(plan!$C$4:$C$52, ($B227 &gt;= (plan!$J$4:$J$52-Indice_Plan_ExtensionPlazo))*($B227 &lt;= (plan!$K$4:$K$52+Indice_Plan_ExtensionPlazo)), "")), "")</f>
        <v/>
      </c>
      <c r="BH227" s="4"/>
    </row>
    <row r="228" spans="2:60" x14ac:dyDescent="0.3">
      <c r="B228" s="6"/>
      <c r="C228" s="10"/>
      <c r="D228" s="48" t="str">
        <f>IF(Tabla_Registro_Tareas5[[#This Row],[Actividad]]=Indice_Aux_Vacio,"",IFERROR(INDEX(plan!$D$4:$D$52,MATCH(Tabla_Registro_Tareas5[[#This Row],[Actividad]],plan!$C$4:$C$52,0)),""))</f>
        <v/>
      </c>
      <c r="E228" s="48" t="str">
        <f>IFERROR(INDEX(plan!$E$4:$E$52,MATCH(Tabla_Registro_Tareas5[[#This Row],[Actividad]],plan!$C$4:$C$52,0)),"")</f>
        <v/>
      </c>
      <c r="F228" s="49" t="str">
        <f>IF(Tabla_Registro_Tareas5[[#This Row],[Actividad]]=Indice_Aux_Vacio,"",Indice_PROBLAM_Estudiante5)</f>
        <v/>
      </c>
      <c r="G228" s="7"/>
      <c r="H228" s="8"/>
      <c r="I228" s="9"/>
      <c r="K228" s="12" t="str" cm="1">
        <f t="array" ref="K228">IF($B228&lt;&gt;"",TRANSPOSE(_xlfn._xlws.FILTER(plan!$C$4:$C$52, ($B228 &gt;= (plan!$J$4:$J$52-Indice_Plan_ExtensionPlazo))*($B228 &lt;= (plan!$K$4:$K$52+Indice_Plan_ExtensionPlazo)), "")), "")</f>
        <v/>
      </c>
      <c r="BH228" s="4"/>
    </row>
    <row r="229" spans="2:60" x14ac:dyDescent="0.3">
      <c r="B229" s="6"/>
      <c r="C229" s="10"/>
      <c r="D229" s="48" t="str">
        <f>IF(Tabla_Registro_Tareas5[[#This Row],[Actividad]]=Indice_Aux_Vacio,"",IFERROR(INDEX(plan!$D$4:$D$52,MATCH(Tabla_Registro_Tareas5[[#This Row],[Actividad]],plan!$C$4:$C$52,0)),""))</f>
        <v/>
      </c>
      <c r="E229" s="48" t="str">
        <f>IFERROR(INDEX(plan!$E$4:$E$52,MATCH(Tabla_Registro_Tareas5[[#This Row],[Actividad]],plan!$C$4:$C$52,0)),"")</f>
        <v/>
      </c>
      <c r="F229" s="49" t="str">
        <f>IF(Tabla_Registro_Tareas5[[#This Row],[Actividad]]=Indice_Aux_Vacio,"",Indice_PROBLAM_Estudiante5)</f>
        <v/>
      </c>
      <c r="G229" s="7"/>
      <c r="H229" s="8"/>
      <c r="I229" s="9"/>
      <c r="K229" s="12" t="str" cm="1">
        <f t="array" ref="K229">IF($B229&lt;&gt;"",TRANSPOSE(_xlfn._xlws.FILTER(plan!$C$4:$C$52, ($B229 &gt;= (plan!$J$4:$J$52-Indice_Plan_ExtensionPlazo))*($B229 &lt;= (plan!$K$4:$K$52+Indice_Plan_ExtensionPlazo)), "")), "")</f>
        <v/>
      </c>
      <c r="BH229" s="4"/>
    </row>
    <row r="230" spans="2:60" x14ac:dyDescent="0.3">
      <c r="B230" s="6"/>
      <c r="C230" s="10"/>
      <c r="D230" s="48" t="str">
        <f>IF(Tabla_Registro_Tareas5[[#This Row],[Actividad]]=Indice_Aux_Vacio,"",IFERROR(INDEX(plan!$D$4:$D$52,MATCH(Tabla_Registro_Tareas5[[#This Row],[Actividad]],plan!$C$4:$C$52,0)),""))</f>
        <v/>
      </c>
      <c r="E230" s="48" t="str">
        <f>IFERROR(INDEX(plan!$E$4:$E$52,MATCH(Tabla_Registro_Tareas5[[#This Row],[Actividad]],plan!$C$4:$C$52,0)),"")</f>
        <v/>
      </c>
      <c r="F230" s="49" t="str">
        <f>IF(Tabla_Registro_Tareas5[[#This Row],[Actividad]]=Indice_Aux_Vacio,"",Indice_PROBLAM_Estudiante5)</f>
        <v/>
      </c>
      <c r="G230" s="7"/>
      <c r="H230" s="8"/>
      <c r="I230" s="9"/>
      <c r="K230" s="12" t="str" cm="1">
        <f t="array" ref="K230">IF($B230&lt;&gt;"",TRANSPOSE(_xlfn._xlws.FILTER(plan!$C$4:$C$52, ($B230 &gt;= (plan!$J$4:$J$52-Indice_Plan_ExtensionPlazo))*($B230 &lt;= (plan!$K$4:$K$52+Indice_Plan_ExtensionPlazo)), "")), "")</f>
        <v/>
      </c>
      <c r="BH230" s="4"/>
    </row>
    <row r="231" spans="2:60" x14ac:dyDescent="0.3">
      <c r="B231" s="6"/>
      <c r="C231" s="10"/>
      <c r="D231" s="48" t="str">
        <f>IF(Tabla_Registro_Tareas5[[#This Row],[Actividad]]=Indice_Aux_Vacio,"",IFERROR(INDEX(plan!$D$4:$D$52,MATCH(Tabla_Registro_Tareas5[[#This Row],[Actividad]],plan!$C$4:$C$52,0)),""))</f>
        <v/>
      </c>
      <c r="E231" s="48" t="str">
        <f>IFERROR(INDEX(plan!$E$4:$E$52,MATCH(Tabla_Registro_Tareas5[[#This Row],[Actividad]],plan!$C$4:$C$52,0)),"")</f>
        <v/>
      </c>
      <c r="F231" s="49" t="str">
        <f>IF(Tabla_Registro_Tareas5[[#This Row],[Actividad]]=Indice_Aux_Vacio,"",Indice_PROBLAM_Estudiante5)</f>
        <v/>
      </c>
      <c r="G231" s="7"/>
      <c r="H231" s="8"/>
      <c r="I231" s="9"/>
      <c r="K231" s="12" t="str" cm="1">
        <f t="array" ref="K231">IF($B231&lt;&gt;"",TRANSPOSE(_xlfn._xlws.FILTER(plan!$C$4:$C$52, ($B231 &gt;= (plan!$J$4:$J$52-Indice_Plan_ExtensionPlazo))*($B231 &lt;= (plan!$K$4:$K$52+Indice_Plan_ExtensionPlazo)), "")), "")</f>
        <v/>
      </c>
      <c r="BH231" s="4"/>
    </row>
    <row r="232" spans="2:60" x14ac:dyDescent="0.3">
      <c r="B232" s="6"/>
      <c r="C232" s="10"/>
      <c r="D232" s="48" t="str">
        <f>IF(Tabla_Registro_Tareas5[[#This Row],[Actividad]]=Indice_Aux_Vacio,"",IFERROR(INDEX(plan!$D$4:$D$52,MATCH(Tabla_Registro_Tareas5[[#This Row],[Actividad]],plan!$C$4:$C$52,0)),""))</f>
        <v/>
      </c>
      <c r="E232" s="48" t="str">
        <f>IFERROR(INDEX(plan!$E$4:$E$52,MATCH(Tabla_Registro_Tareas5[[#This Row],[Actividad]],plan!$C$4:$C$52,0)),"")</f>
        <v/>
      </c>
      <c r="F232" s="49" t="str">
        <f>IF(Tabla_Registro_Tareas5[[#This Row],[Actividad]]=Indice_Aux_Vacio,"",Indice_PROBLAM_Estudiante5)</f>
        <v/>
      </c>
      <c r="G232" s="7"/>
      <c r="H232" s="8"/>
      <c r="I232" s="9"/>
      <c r="K232" s="12" t="str" cm="1">
        <f t="array" ref="K232">IF($B232&lt;&gt;"",TRANSPOSE(_xlfn._xlws.FILTER(plan!$C$4:$C$52, ($B232 &gt;= (plan!$J$4:$J$52-Indice_Plan_ExtensionPlazo))*($B232 &lt;= (plan!$K$4:$K$52+Indice_Plan_ExtensionPlazo)), "")), "")</f>
        <v/>
      </c>
      <c r="BH232" s="4"/>
    </row>
    <row r="233" spans="2:60" x14ac:dyDescent="0.3">
      <c r="B233" s="6"/>
      <c r="C233" s="10"/>
      <c r="D233" s="48" t="str">
        <f>IF(Tabla_Registro_Tareas5[[#This Row],[Actividad]]=Indice_Aux_Vacio,"",IFERROR(INDEX(plan!$D$4:$D$52,MATCH(Tabla_Registro_Tareas5[[#This Row],[Actividad]],plan!$C$4:$C$52,0)),""))</f>
        <v/>
      </c>
      <c r="E233" s="48" t="str">
        <f>IFERROR(INDEX(plan!$E$4:$E$52,MATCH(Tabla_Registro_Tareas5[[#This Row],[Actividad]],plan!$C$4:$C$52,0)),"")</f>
        <v/>
      </c>
      <c r="F233" s="49" t="str">
        <f>IF(Tabla_Registro_Tareas5[[#This Row],[Actividad]]=Indice_Aux_Vacio,"",Indice_PROBLAM_Estudiante5)</f>
        <v/>
      </c>
      <c r="G233" s="7"/>
      <c r="H233" s="8"/>
      <c r="I233" s="9"/>
      <c r="K233" s="12" t="str" cm="1">
        <f t="array" ref="K233">IF($B233&lt;&gt;"",TRANSPOSE(_xlfn._xlws.FILTER(plan!$C$4:$C$52, ($B233 &gt;= (plan!$J$4:$J$52-Indice_Plan_ExtensionPlazo))*($B233 &lt;= (plan!$K$4:$K$52+Indice_Plan_ExtensionPlazo)), "")), "")</f>
        <v/>
      </c>
      <c r="BH233" s="4"/>
    </row>
    <row r="234" spans="2:60" x14ac:dyDescent="0.3">
      <c r="B234" s="6"/>
      <c r="C234" s="10"/>
      <c r="D234" s="48" t="str">
        <f>IF(Tabla_Registro_Tareas5[[#This Row],[Actividad]]=Indice_Aux_Vacio,"",IFERROR(INDEX(plan!$D$4:$D$52,MATCH(Tabla_Registro_Tareas5[[#This Row],[Actividad]],plan!$C$4:$C$52,0)),""))</f>
        <v/>
      </c>
      <c r="E234" s="48" t="str">
        <f>IFERROR(INDEX(plan!$E$4:$E$52,MATCH(Tabla_Registro_Tareas5[[#This Row],[Actividad]],plan!$C$4:$C$52,0)),"")</f>
        <v/>
      </c>
      <c r="F234" s="49" t="str">
        <f>IF(Tabla_Registro_Tareas5[[#This Row],[Actividad]]=Indice_Aux_Vacio,"",Indice_PROBLAM_Estudiante5)</f>
        <v/>
      </c>
      <c r="G234" s="7"/>
      <c r="H234" s="8"/>
      <c r="I234" s="9"/>
      <c r="K234" s="12" t="str" cm="1">
        <f t="array" ref="K234">IF($B234&lt;&gt;"",TRANSPOSE(_xlfn._xlws.FILTER(plan!$C$4:$C$52, ($B234 &gt;= (plan!$J$4:$J$52-Indice_Plan_ExtensionPlazo))*($B234 &lt;= (plan!$K$4:$K$52+Indice_Plan_ExtensionPlazo)), "")), "")</f>
        <v/>
      </c>
      <c r="BH234" s="4"/>
    </row>
    <row r="235" spans="2:60" x14ac:dyDescent="0.3">
      <c r="B235" s="6"/>
      <c r="C235" s="10"/>
      <c r="D235" s="48" t="str">
        <f>IF(Tabla_Registro_Tareas5[[#This Row],[Actividad]]=Indice_Aux_Vacio,"",IFERROR(INDEX(plan!$D$4:$D$52,MATCH(Tabla_Registro_Tareas5[[#This Row],[Actividad]],plan!$C$4:$C$52,0)),""))</f>
        <v/>
      </c>
      <c r="E235" s="48" t="str">
        <f>IFERROR(INDEX(plan!$E$4:$E$52,MATCH(Tabla_Registro_Tareas5[[#This Row],[Actividad]],plan!$C$4:$C$52,0)),"")</f>
        <v/>
      </c>
      <c r="F235" s="49" t="str">
        <f>IF(Tabla_Registro_Tareas5[[#This Row],[Actividad]]=Indice_Aux_Vacio,"",Indice_PROBLAM_Estudiante5)</f>
        <v/>
      </c>
      <c r="G235" s="7"/>
      <c r="H235" s="8"/>
      <c r="I235" s="9"/>
      <c r="K235" s="12" t="str" cm="1">
        <f t="array" ref="K235">IF($B235&lt;&gt;"",TRANSPOSE(_xlfn._xlws.FILTER(plan!$C$4:$C$52, ($B235 &gt;= (plan!$J$4:$J$52-Indice_Plan_ExtensionPlazo))*($B235 &lt;= (plan!$K$4:$K$52+Indice_Plan_ExtensionPlazo)), "")), "")</f>
        <v/>
      </c>
      <c r="BH235" s="4"/>
    </row>
    <row r="236" spans="2:60" x14ac:dyDescent="0.3">
      <c r="B236" s="6"/>
      <c r="C236" s="10"/>
      <c r="D236" s="48" t="str">
        <f>IF(Tabla_Registro_Tareas5[[#This Row],[Actividad]]=Indice_Aux_Vacio,"",IFERROR(INDEX(plan!$D$4:$D$52,MATCH(Tabla_Registro_Tareas5[[#This Row],[Actividad]],plan!$C$4:$C$52,0)),""))</f>
        <v/>
      </c>
      <c r="E236" s="48" t="str">
        <f>IFERROR(INDEX(plan!$E$4:$E$52,MATCH(Tabla_Registro_Tareas5[[#This Row],[Actividad]],plan!$C$4:$C$52,0)),"")</f>
        <v/>
      </c>
      <c r="F236" s="49" t="str">
        <f>IF(Tabla_Registro_Tareas5[[#This Row],[Actividad]]=Indice_Aux_Vacio,"",Indice_PROBLAM_Estudiante5)</f>
        <v/>
      </c>
      <c r="G236" s="7"/>
      <c r="H236" s="8"/>
      <c r="I236" s="9"/>
      <c r="K236" s="12" t="str" cm="1">
        <f t="array" ref="K236">IF($B236&lt;&gt;"",TRANSPOSE(_xlfn._xlws.FILTER(plan!$C$4:$C$52, ($B236 &gt;= (plan!$J$4:$J$52-Indice_Plan_ExtensionPlazo))*($B236 &lt;= (plan!$K$4:$K$52+Indice_Plan_ExtensionPlazo)), "")), "")</f>
        <v/>
      </c>
      <c r="BH236" s="4"/>
    </row>
    <row r="237" spans="2:60" x14ac:dyDescent="0.3">
      <c r="B237" s="6"/>
      <c r="C237" s="10"/>
      <c r="D237" s="48" t="str">
        <f>IF(Tabla_Registro_Tareas5[[#This Row],[Actividad]]=Indice_Aux_Vacio,"",IFERROR(INDEX(plan!$D$4:$D$52,MATCH(Tabla_Registro_Tareas5[[#This Row],[Actividad]],plan!$C$4:$C$52,0)),""))</f>
        <v/>
      </c>
      <c r="E237" s="48" t="str">
        <f>IFERROR(INDEX(plan!$E$4:$E$52,MATCH(Tabla_Registro_Tareas5[[#This Row],[Actividad]],plan!$C$4:$C$52,0)),"")</f>
        <v/>
      </c>
      <c r="F237" s="49" t="str">
        <f>IF(Tabla_Registro_Tareas5[[#This Row],[Actividad]]=Indice_Aux_Vacio,"",Indice_PROBLAM_Estudiante5)</f>
        <v/>
      </c>
      <c r="G237" s="7"/>
      <c r="H237" s="8"/>
      <c r="I237" s="9"/>
      <c r="K237" s="12" t="str" cm="1">
        <f t="array" ref="K237">IF($B237&lt;&gt;"",TRANSPOSE(_xlfn._xlws.FILTER(plan!$C$4:$C$52, ($B237 &gt;= (plan!$J$4:$J$52-Indice_Plan_ExtensionPlazo))*($B237 &lt;= (plan!$K$4:$K$52+Indice_Plan_ExtensionPlazo)), "")), "")</f>
        <v/>
      </c>
      <c r="BH237" s="4"/>
    </row>
    <row r="238" spans="2:60" x14ac:dyDescent="0.3">
      <c r="B238" s="6"/>
      <c r="C238" s="10"/>
      <c r="D238" s="48" t="str">
        <f>IF(Tabla_Registro_Tareas5[[#This Row],[Actividad]]=Indice_Aux_Vacio,"",IFERROR(INDEX(plan!$D$4:$D$52,MATCH(Tabla_Registro_Tareas5[[#This Row],[Actividad]],plan!$C$4:$C$52,0)),""))</f>
        <v/>
      </c>
      <c r="E238" s="48" t="str">
        <f>IFERROR(INDEX(plan!$E$4:$E$52,MATCH(Tabla_Registro_Tareas5[[#This Row],[Actividad]],plan!$C$4:$C$52,0)),"")</f>
        <v/>
      </c>
      <c r="F238" s="49" t="str">
        <f>IF(Tabla_Registro_Tareas5[[#This Row],[Actividad]]=Indice_Aux_Vacio,"",Indice_PROBLAM_Estudiante5)</f>
        <v/>
      </c>
      <c r="G238" s="7"/>
      <c r="H238" s="8"/>
      <c r="I238" s="9"/>
      <c r="K238" s="12" t="str" cm="1">
        <f t="array" ref="K238">IF($B238&lt;&gt;"",TRANSPOSE(_xlfn._xlws.FILTER(plan!$C$4:$C$52, ($B238 &gt;= (plan!$J$4:$J$52-Indice_Plan_ExtensionPlazo))*($B238 &lt;= (plan!$K$4:$K$52+Indice_Plan_ExtensionPlazo)), "")), "")</f>
        <v/>
      </c>
      <c r="BH238" s="4"/>
    </row>
    <row r="239" spans="2:60" x14ac:dyDescent="0.3">
      <c r="B239" s="6"/>
      <c r="C239" s="10"/>
      <c r="D239" s="48" t="str">
        <f>IF(Tabla_Registro_Tareas5[[#This Row],[Actividad]]=Indice_Aux_Vacio,"",IFERROR(INDEX(plan!$D$4:$D$52,MATCH(Tabla_Registro_Tareas5[[#This Row],[Actividad]],plan!$C$4:$C$52,0)),""))</f>
        <v/>
      </c>
      <c r="E239" s="48" t="str">
        <f>IFERROR(INDEX(plan!$E$4:$E$52,MATCH(Tabla_Registro_Tareas5[[#This Row],[Actividad]],plan!$C$4:$C$52,0)),"")</f>
        <v/>
      </c>
      <c r="F239" s="49" t="str">
        <f>IF(Tabla_Registro_Tareas5[[#This Row],[Actividad]]=Indice_Aux_Vacio,"",Indice_PROBLAM_Estudiante5)</f>
        <v/>
      </c>
      <c r="G239" s="7"/>
      <c r="H239" s="8"/>
      <c r="I239" s="9"/>
      <c r="K239" s="12" t="str" cm="1">
        <f t="array" ref="K239">IF($B239&lt;&gt;"",TRANSPOSE(_xlfn._xlws.FILTER(plan!$C$4:$C$52, ($B239 &gt;= (plan!$J$4:$J$52-Indice_Plan_ExtensionPlazo))*($B239 &lt;= (plan!$K$4:$K$52+Indice_Plan_ExtensionPlazo)), "")), "")</f>
        <v/>
      </c>
      <c r="BH239" s="4"/>
    </row>
    <row r="240" spans="2:60" x14ac:dyDescent="0.3">
      <c r="B240" s="6"/>
      <c r="C240" s="10"/>
      <c r="D240" s="48" t="str">
        <f>IF(Tabla_Registro_Tareas5[[#This Row],[Actividad]]=Indice_Aux_Vacio,"",IFERROR(INDEX(plan!$D$4:$D$52,MATCH(Tabla_Registro_Tareas5[[#This Row],[Actividad]],plan!$C$4:$C$52,0)),""))</f>
        <v/>
      </c>
      <c r="E240" s="48" t="str">
        <f>IFERROR(INDEX(plan!$E$4:$E$52,MATCH(Tabla_Registro_Tareas5[[#This Row],[Actividad]],plan!$C$4:$C$52,0)),"")</f>
        <v/>
      </c>
      <c r="F240" s="49" t="str">
        <f>IF(Tabla_Registro_Tareas5[[#This Row],[Actividad]]=Indice_Aux_Vacio,"",Indice_PROBLAM_Estudiante5)</f>
        <v/>
      </c>
      <c r="G240" s="7"/>
      <c r="H240" s="8"/>
      <c r="I240" s="9"/>
      <c r="K240" s="12" t="str" cm="1">
        <f t="array" ref="K240">IF($B240&lt;&gt;"",TRANSPOSE(_xlfn._xlws.FILTER(plan!$C$4:$C$52, ($B240 &gt;= (plan!$J$4:$J$52-Indice_Plan_ExtensionPlazo))*($B240 &lt;= (plan!$K$4:$K$52+Indice_Plan_ExtensionPlazo)), "")), "")</f>
        <v/>
      </c>
      <c r="BH240" s="4"/>
    </row>
    <row r="241" spans="2:60" x14ac:dyDescent="0.3">
      <c r="B241" s="6"/>
      <c r="C241" s="10"/>
      <c r="D241" s="48" t="str">
        <f>IF(Tabla_Registro_Tareas5[[#This Row],[Actividad]]=Indice_Aux_Vacio,"",IFERROR(INDEX(plan!$D$4:$D$52,MATCH(Tabla_Registro_Tareas5[[#This Row],[Actividad]],plan!$C$4:$C$52,0)),""))</f>
        <v/>
      </c>
      <c r="E241" s="48" t="str">
        <f>IFERROR(INDEX(plan!$E$4:$E$52,MATCH(Tabla_Registro_Tareas5[[#This Row],[Actividad]],plan!$C$4:$C$52,0)),"")</f>
        <v/>
      </c>
      <c r="F241" s="49" t="str">
        <f>IF(Tabla_Registro_Tareas5[[#This Row],[Actividad]]=Indice_Aux_Vacio,"",Indice_PROBLAM_Estudiante5)</f>
        <v/>
      </c>
      <c r="G241" s="7"/>
      <c r="H241" s="8"/>
      <c r="I241" s="9"/>
      <c r="K241" s="12" t="str" cm="1">
        <f t="array" ref="K241">IF($B241&lt;&gt;"",TRANSPOSE(_xlfn._xlws.FILTER(plan!$C$4:$C$52, ($B241 &gt;= (plan!$J$4:$J$52-Indice_Plan_ExtensionPlazo))*($B241 &lt;= (plan!$K$4:$K$52+Indice_Plan_ExtensionPlazo)), "")), "")</f>
        <v/>
      </c>
      <c r="BH241" s="4"/>
    </row>
    <row r="242" spans="2:60" x14ac:dyDescent="0.3">
      <c r="B242" s="6"/>
      <c r="C242" s="10"/>
      <c r="D242" s="48" t="str">
        <f>IF(Tabla_Registro_Tareas5[[#This Row],[Actividad]]=Indice_Aux_Vacio,"",IFERROR(INDEX(plan!$D$4:$D$52,MATCH(Tabla_Registro_Tareas5[[#This Row],[Actividad]],plan!$C$4:$C$52,0)),""))</f>
        <v/>
      </c>
      <c r="E242" s="48" t="str">
        <f>IFERROR(INDEX(plan!$E$4:$E$52,MATCH(Tabla_Registro_Tareas5[[#This Row],[Actividad]],plan!$C$4:$C$52,0)),"")</f>
        <v/>
      </c>
      <c r="F242" s="49" t="str">
        <f>IF(Tabla_Registro_Tareas5[[#This Row],[Actividad]]=Indice_Aux_Vacio,"",Indice_PROBLAM_Estudiante5)</f>
        <v/>
      </c>
      <c r="G242" s="7"/>
      <c r="H242" s="8"/>
      <c r="I242" s="9"/>
      <c r="K242" s="12" t="str" cm="1">
        <f t="array" ref="K242">IF($B242&lt;&gt;"",TRANSPOSE(_xlfn._xlws.FILTER(plan!$C$4:$C$52, ($B242 &gt;= (plan!$J$4:$J$52-Indice_Plan_ExtensionPlazo))*($B242 &lt;= (plan!$K$4:$K$52+Indice_Plan_ExtensionPlazo)), "")), "")</f>
        <v/>
      </c>
      <c r="BH242" s="4"/>
    </row>
    <row r="243" spans="2:60" x14ac:dyDescent="0.3">
      <c r="B243" s="6"/>
      <c r="C243" s="10"/>
      <c r="D243" s="48" t="str">
        <f>IF(Tabla_Registro_Tareas5[[#This Row],[Actividad]]=Indice_Aux_Vacio,"",IFERROR(INDEX(plan!$D$4:$D$52,MATCH(Tabla_Registro_Tareas5[[#This Row],[Actividad]],plan!$C$4:$C$52,0)),""))</f>
        <v/>
      </c>
      <c r="E243" s="48" t="str">
        <f>IFERROR(INDEX(plan!$E$4:$E$52,MATCH(Tabla_Registro_Tareas5[[#This Row],[Actividad]],plan!$C$4:$C$52,0)),"")</f>
        <v/>
      </c>
      <c r="F243" s="49" t="str">
        <f>IF(Tabla_Registro_Tareas5[[#This Row],[Actividad]]=Indice_Aux_Vacio,"",Indice_PROBLAM_Estudiante5)</f>
        <v/>
      </c>
      <c r="G243" s="7"/>
      <c r="H243" s="8"/>
      <c r="I243" s="9"/>
      <c r="K243" s="12" t="str" cm="1">
        <f t="array" ref="K243">IF($B243&lt;&gt;"",TRANSPOSE(_xlfn._xlws.FILTER(plan!$C$4:$C$52, ($B243 &gt;= (plan!$J$4:$J$52-Indice_Plan_ExtensionPlazo))*($B243 &lt;= (plan!$K$4:$K$52+Indice_Plan_ExtensionPlazo)), "")), "")</f>
        <v/>
      </c>
      <c r="BH243" s="4"/>
    </row>
    <row r="244" spans="2:60" x14ac:dyDescent="0.3">
      <c r="B244" s="6"/>
      <c r="C244" s="10"/>
      <c r="D244" s="48" t="str">
        <f>IF(Tabla_Registro_Tareas5[[#This Row],[Actividad]]=Indice_Aux_Vacio,"",IFERROR(INDEX(plan!$D$4:$D$52,MATCH(Tabla_Registro_Tareas5[[#This Row],[Actividad]],plan!$C$4:$C$52,0)),""))</f>
        <v/>
      </c>
      <c r="E244" s="48" t="str">
        <f>IFERROR(INDEX(plan!$E$4:$E$52,MATCH(Tabla_Registro_Tareas5[[#This Row],[Actividad]],plan!$C$4:$C$52,0)),"")</f>
        <v/>
      </c>
      <c r="F244" s="49" t="str">
        <f>IF(Tabla_Registro_Tareas5[[#This Row],[Actividad]]=Indice_Aux_Vacio,"",Indice_PROBLAM_Estudiante5)</f>
        <v/>
      </c>
      <c r="G244" s="7"/>
      <c r="H244" s="8"/>
      <c r="I244" s="9"/>
      <c r="K244" s="12" t="str" cm="1">
        <f t="array" ref="K244">IF($B244&lt;&gt;"",TRANSPOSE(_xlfn._xlws.FILTER(plan!$C$4:$C$52, ($B244 &gt;= (plan!$J$4:$J$52-Indice_Plan_ExtensionPlazo))*($B244 &lt;= (plan!$K$4:$K$52+Indice_Plan_ExtensionPlazo)), "")), "")</f>
        <v/>
      </c>
      <c r="BH244" s="4"/>
    </row>
    <row r="245" spans="2:60" x14ac:dyDescent="0.3">
      <c r="B245" s="6"/>
      <c r="C245" s="10"/>
      <c r="D245" s="48" t="str">
        <f>IF(Tabla_Registro_Tareas5[[#This Row],[Actividad]]=Indice_Aux_Vacio,"",IFERROR(INDEX(plan!$D$4:$D$52,MATCH(Tabla_Registro_Tareas5[[#This Row],[Actividad]],plan!$C$4:$C$52,0)),""))</f>
        <v/>
      </c>
      <c r="E245" s="48" t="str">
        <f>IFERROR(INDEX(plan!$E$4:$E$52,MATCH(Tabla_Registro_Tareas5[[#This Row],[Actividad]],plan!$C$4:$C$52,0)),"")</f>
        <v/>
      </c>
      <c r="F245" s="49" t="str">
        <f>IF(Tabla_Registro_Tareas5[[#This Row],[Actividad]]=Indice_Aux_Vacio,"",Indice_PROBLAM_Estudiante5)</f>
        <v/>
      </c>
      <c r="G245" s="7"/>
      <c r="H245" s="8"/>
      <c r="I245" s="9"/>
      <c r="K245" s="12" t="str" cm="1">
        <f t="array" ref="K245">IF($B245&lt;&gt;"",TRANSPOSE(_xlfn._xlws.FILTER(plan!$C$4:$C$52, ($B245 &gt;= (plan!$J$4:$J$52-Indice_Plan_ExtensionPlazo))*($B245 &lt;= (plan!$K$4:$K$52+Indice_Plan_ExtensionPlazo)), "")), "")</f>
        <v/>
      </c>
      <c r="BH245" s="4"/>
    </row>
    <row r="246" spans="2:60" x14ac:dyDescent="0.3">
      <c r="B246" s="6"/>
      <c r="C246" s="10"/>
      <c r="D246" s="48" t="str">
        <f>IF(Tabla_Registro_Tareas5[[#This Row],[Actividad]]=Indice_Aux_Vacio,"",IFERROR(INDEX(plan!$D$4:$D$52,MATCH(Tabla_Registro_Tareas5[[#This Row],[Actividad]],plan!$C$4:$C$52,0)),""))</f>
        <v/>
      </c>
      <c r="E246" s="48" t="str">
        <f>IFERROR(INDEX(plan!$E$4:$E$52,MATCH(Tabla_Registro_Tareas5[[#This Row],[Actividad]],plan!$C$4:$C$52,0)),"")</f>
        <v/>
      </c>
      <c r="F246" s="49" t="str">
        <f>IF(Tabla_Registro_Tareas5[[#This Row],[Actividad]]=Indice_Aux_Vacio,"",Indice_PROBLAM_Estudiante5)</f>
        <v/>
      </c>
      <c r="G246" s="7"/>
      <c r="H246" s="8"/>
      <c r="I246" s="9"/>
      <c r="K246" s="12" t="str" cm="1">
        <f t="array" ref="K246">IF($B246&lt;&gt;"",TRANSPOSE(_xlfn._xlws.FILTER(plan!$C$4:$C$52, ($B246 &gt;= (plan!$J$4:$J$52-Indice_Plan_ExtensionPlazo))*($B246 &lt;= (plan!$K$4:$K$52+Indice_Plan_ExtensionPlazo)), "")), "")</f>
        <v/>
      </c>
      <c r="BH246" s="4"/>
    </row>
    <row r="247" spans="2:60" x14ac:dyDescent="0.3">
      <c r="B247" s="6"/>
      <c r="C247" s="10"/>
      <c r="D247" s="48" t="str">
        <f>IF(Tabla_Registro_Tareas5[[#This Row],[Actividad]]=Indice_Aux_Vacio,"",IFERROR(INDEX(plan!$D$4:$D$52,MATCH(Tabla_Registro_Tareas5[[#This Row],[Actividad]],plan!$C$4:$C$52,0)),""))</f>
        <v/>
      </c>
      <c r="E247" s="48" t="str">
        <f>IFERROR(INDEX(plan!$E$4:$E$52,MATCH(Tabla_Registro_Tareas5[[#This Row],[Actividad]],plan!$C$4:$C$52,0)),"")</f>
        <v/>
      </c>
      <c r="F247" s="49" t="str">
        <f>IF(Tabla_Registro_Tareas5[[#This Row],[Actividad]]=Indice_Aux_Vacio,"",Indice_PROBLAM_Estudiante5)</f>
        <v/>
      </c>
      <c r="G247" s="7"/>
      <c r="H247" s="8"/>
      <c r="I247" s="9"/>
      <c r="K247" s="12" t="str" cm="1">
        <f t="array" ref="K247">IF($B247&lt;&gt;"",TRANSPOSE(_xlfn._xlws.FILTER(plan!$C$4:$C$52, ($B247 &gt;= (plan!$J$4:$J$52-Indice_Plan_ExtensionPlazo))*($B247 &lt;= (plan!$K$4:$K$52+Indice_Plan_ExtensionPlazo)), "")), "")</f>
        <v/>
      </c>
      <c r="BH247" s="4"/>
    </row>
    <row r="248" spans="2:60" x14ac:dyDescent="0.3">
      <c r="B248" s="6"/>
      <c r="C248" s="10"/>
      <c r="D248" s="48" t="str">
        <f>IF(Tabla_Registro_Tareas5[[#This Row],[Actividad]]=Indice_Aux_Vacio,"",IFERROR(INDEX(plan!$D$4:$D$52,MATCH(Tabla_Registro_Tareas5[[#This Row],[Actividad]],plan!$C$4:$C$52,0)),""))</f>
        <v/>
      </c>
      <c r="E248" s="48" t="str">
        <f>IFERROR(INDEX(plan!$E$4:$E$52,MATCH(Tabla_Registro_Tareas5[[#This Row],[Actividad]],plan!$C$4:$C$52,0)),"")</f>
        <v/>
      </c>
      <c r="F248" s="49" t="str">
        <f>IF(Tabla_Registro_Tareas5[[#This Row],[Actividad]]=Indice_Aux_Vacio,"",Indice_PROBLAM_Estudiante5)</f>
        <v/>
      </c>
      <c r="G248" s="7"/>
      <c r="H248" s="8"/>
      <c r="I248" s="9"/>
      <c r="K248" s="12" t="str" cm="1">
        <f t="array" ref="K248">IF($B248&lt;&gt;"",TRANSPOSE(_xlfn._xlws.FILTER(plan!$C$4:$C$52, ($B248 &gt;= (plan!$J$4:$J$52-Indice_Plan_ExtensionPlazo))*($B248 &lt;= (plan!$K$4:$K$52+Indice_Plan_ExtensionPlazo)), "")), "")</f>
        <v/>
      </c>
      <c r="BH248" s="4"/>
    </row>
    <row r="249" spans="2:60" x14ac:dyDescent="0.3">
      <c r="B249" s="6"/>
      <c r="C249" s="10"/>
      <c r="D249" s="48" t="str">
        <f>IF(Tabla_Registro_Tareas5[[#This Row],[Actividad]]=Indice_Aux_Vacio,"",IFERROR(INDEX(plan!$D$4:$D$52,MATCH(Tabla_Registro_Tareas5[[#This Row],[Actividad]],plan!$C$4:$C$52,0)),""))</f>
        <v/>
      </c>
      <c r="E249" s="48" t="str">
        <f>IFERROR(INDEX(plan!$E$4:$E$52,MATCH(Tabla_Registro_Tareas5[[#This Row],[Actividad]],plan!$C$4:$C$52,0)),"")</f>
        <v/>
      </c>
      <c r="F249" s="49" t="str">
        <f>IF(Tabla_Registro_Tareas5[[#This Row],[Actividad]]=Indice_Aux_Vacio,"",Indice_PROBLAM_Estudiante5)</f>
        <v/>
      </c>
      <c r="G249" s="7"/>
      <c r="H249" s="8"/>
      <c r="I249" s="9"/>
      <c r="K249" s="12" t="str" cm="1">
        <f t="array" ref="K249">IF($B249&lt;&gt;"",TRANSPOSE(_xlfn._xlws.FILTER(plan!$C$4:$C$52, ($B249 &gt;= (plan!$J$4:$J$52-Indice_Plan_ExtensionPlazo))*($B249 &lt;= (plan!$K$4:$K$52+Indice_Plan_ExtensionPlazo)), "")), "")</f>
        <v/>
      </c>
      <c r="BH249" s="4"/>
    </row>
    <row r="250" spans="2:60" x14ac:dyDescent="0.3">
      <c r="B250" s="6"/>
      <c r="C250" s="10"/>
      <c r="D250" s="48" t="str">
        <f>IF(Tabla_Registro_Tareas5[[#This Row],[Actividad]]=Indice_Aux_Vacio,"",IFERROR(INDEX(plan!$D$4:$D$52,MATCH(Tabla_Registro_Tareas5[[#This Row],[Actividad]],plan!$C$4:$C$52,0)),""))</f>
        <v/>
      </c>
      <c r="E250" s="48" t="str">
        <f>IFERROR(INDEX(plan!$E$4:$E$52,MATCH(Tabla_Registro_Tareas5[[#This Row],[Actividad]],plan!$C$4:$C$52,0)),"")</f>
        <v/>
      </c>
      <c r="F250" s="49" t="str">
        <f>IF(Tabla_Registro_Tareas5[[#This Row],[Actividad]]=Indice_Aux_Vacio,"",Indice_PROBLAM_Estudiante5)</f>
        <v/>
      </c>
      <c r="G250" s="7"/>
      <c r="H250" s="8"/>
      <c r="I250" s="9"/>
      <c r="K250" s="12" t="str" cm="1">
        <f t="array" ref="K250">IF($B250&lt;&gt;"",TRANSPOSE(_xlfn._xlws.FILTER(plan!$C$4:$C$52, ($B250 &gt;= (plan!$J$4:$J$52-Indice_Plan_ExtensionPlazo))*($B250 &lt;= (plan!$K$4:$K$52+Indice_Plan_ExtensionPlazo)), "")), "")</f>
        <v/>
      </c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4"/>
    </row>
  </sheetData>
  <sheetProtection algorithmName="SHA-512" hashValue="osAUm3MHp5qX24carxRtTXKazaGkIpYS6QYSmHCg8Au+2efLdZexhTlR4J98JOdSbLDiuchG82NwFOXZkUb4fA==" saltValue="n9GfXyed3AymrP8vkxfEEQ==" spinCount="100000" sheet="1" selectLockedCells="1"/>
  <conditionalFormatting sqref="B3:C250">
    <cfRule type="containsBlanks" dxfId="5" priority="2">
      <formula>LEN(TRIM(B3))=0</formula>
    </cfRule>
  </conditionalFormatting>
  <conditionalFormatting sqref="F3:F4 I3:I6 F5:G6 F7:I250">
    <cfRule type="containsBlanks" dxfId="4" priority="13">
      <formula>LEN(TRIM(F3))=0</formula>
    </cfRule>
  </conditionalFormatting>
  <conditionalFormatting sqref="G4">
    <cfRule type="containsBlanks" dxfId="3" priority="1">
      <formula>LEN(TRIM(G4))=0</formula>
    </cfRule>
  </conditionalFormatting>
  <conditionalFormatting sqref="G3:H3">
    <cfRule type="containsBlanks" dxfId="2" priority="10">
      <formula>LEN(TRIM(G3))=0</formula>
    </cfRule>
  </conditionalFormatting>
  <conditionalFormatting sqref="H4:H6">
    <cfRule type="containsBlanks" dxfId="1" priority="4">
      <formula>LEN(TRIM(H4))=0</formula>
    </cfRule>
  </conditionalFormatting>
  <dataValidations count="5">
    <dataValidation type="list" allowBlank="1" showInputMessage="1" showErrorMessage="1" sqref="C3:C250" xr:uid="{8926925E-FC60-49D1-8B8E-CB20D34EB4B7}">
      <formula1>IF($B3&lt;&gt;"",_xlfn.ANCHORARRAY($K3),Indice_Aux_Vacio)</formula1>
    </dataValidation>
    <dataValidation type="custom" operator="greaterThan" showInputMessage="1" showErrorMessage="1" error="No puedes asignar tiempo a una actividad no definida o el tiempo asignado es inferior a 1 minuto." sqref="H3:H4" xr:uid="{0245E279-20B4-4026-BA41-4152B3803C72}">
      <formula1>IF($C3="",ISBLANK(H3),ISNUMBER(H3))</formula1>
    </dataValidation>
    <dataValidation allowBlank="1" showInputMessage="1" showErrorMessage="1" error="El valor indicado no se corresponde con ninguno de los tipos soportados en esta columna." sqref="D3:D250" xr:uid="{4270C952-BFAA-4EB8-A044-73CF8E3FE623}"/>
    <dataValidation type="date" allowBlank="1" showInputMessage="1" showErrorMessage="1" error="La fecha está fuera del periodo temporal planificado en este sprint." sqref="B3:B250" xr:uid="{36BE16C3-2762-4D72-8FE0-A4D20383B379}">
      <formula1>Indice_Plan_FechaInicio</formula1>
      <formula2>Indice_Plan_FechaFin</formula2>
    </dataValidation>
    <dataValidation type="whole" operator="greaterThan" allowBlank="1" showInputMessage="1" showErrorMessage="1" error="La tarea no puede tener una duración inferior a 1 minuto." sqref="H5:H250" xr:uid="{BD90B870-2EA8-4961-8BAC-C5D2172F388E}">
      <formula1>0</formula1>
    </dataValidation>
  </dataValidations>
  <pageMargins left="0.7" right="0.7" top="0.75" bottom="0.75" header="0.3" footer="0.3"/>
  <ignoredErrors>
    <ignoredError sqref="B7:B250" calculatedColumn="1"/>
  </ignoredErrors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AB0CC-17A2-4CF2-AF4B-5C56F702B35D}">
  <sheetPr codeName="Hoja5"/>
  <dimension ref="B2:AA28"/>
  <sheetViews>
    <sheetView topLeftCell="A7" workbookViewId="0">
      <selection activeCell="B26" sqref="B26"/>
    </sheetView>
  </sheetViews>
  <sheetFormatPr baseColWidth="10" defaultColWidth="11.44140625" defaultRowHeight="15.05" x14ac:dyDescent="0.3"/>
  <cols>
    <col min="2" max="2" width="29.44140625" bestFit="1" customWidth="1"/>
    <col min="3" max="3" width="3.5546875" customWidth="1"/>
    <col min="4" max="4" width="20.33203125" bestFit="1" customWidth="1"/>
    <col min="5" max="5" width="3.5546875" customWidth="1"/>
    <col min="6" max="6" width="15.88671875" bestFit="1" customWidth="1"/>
    <col min="7" max="7" width="3.5546875" customWidth="1"/>
    <col min="8" max="8" width="22.88671875" bestFit="1" customWidth="1"/>
    <col min="9" max="9" width="3.5546875" customWidth="1"/>
    <col min="10" max="10" width="25.5546875" bestFit="1" customWidth="1"/>
    <col min="11" max="11" width="3.5546875" customWidth="1"/>
    <col min="12" max="12" width="20.5546875" bestFit="1" customWidth="1"/>
    <col min="13" max="13" width="3.5546875" customWidth="1"/>
    <col min="14" max="14" width="20.5546875" bestFit="1" customWidth="1"/>
    <col min="22" max="22" width="4.33203125" customWidth="1"/>
    <col min="23" max="23" width="4.6640625" customWidth="1"/>
    <col min="24" max="24" width="13.5546875" customWidth="1"/>
    <col min="25" max="25" width="35" bestFit="1" customWidth="1"/>
  </cols>
  <sheetData>
    <row r="2" spans="2:14" x14ac:dyDescent="0.3">
      <c r="B2" s="11" t="s">
        <v>78</v>
      </c>
      <c r="D2" s="3" t="s">
        <v>97</v>
      </c>
      <c r="F2" s="3" t="s">
        <v>98</v>
      </c>
      <c r="H2" s="3" t="s">
        <v>99</v>
      </c>
      <c r="J2" s="3" t="s">
        <v>18</v>
      </c>
      <c r="L2" s="3" t="s">
        <v>101</v>
      </c>
      <c r="N2" s="3" t="s">
        <v>100</v>
      </c>
    </row>
    <row r="3" spans="2:14" x14ac:dyDescent="0.3">
      <c r="B3" s="15" t="s">
        <v>97</v>
      </c>
      <c r="D3" t="s">
        <v>102</v>
      </c>
      <c r="F3" t="s">
        <v>105</v>
      </c>
      <c r="H3" t="s">
        <v>107</v>
      </c>
      <c r="J3" t="s">
        <v>28</v>
      </c>
      <c r="L3" t="s">
        <v>110</v>
      </c>
      <c r="N3" t="s">
        <v>26</v>
      </c>
    </row>
    <row r="4" spans="2:14" x14ac:dyDescent="0.3">
      <c r="B4" s="15" t="s">
        <v>98</v>
      </c>
      <c r="D4" t="s">
        <v>104</v>
      </c>
      <c r="F4" t="s">
        <v>106</v>
      </c>
      <c r="H4" t="s">
        <v>108</v>
      </c>
      <c r="J4" t="s">
        <v>27</v>
      </c>
      <c r="L4" t="s">
        <v>117</v>
      </c>
      <c r="N4" t="s">
        <v>118</v>
      </c>
    </row>
    <row r="5" spans="2:14" x14ac:dyDescent="0.3">
      <c r="B5" s="15" t="s">
        <v>99</v>
      </c>
      <c r="D5" t="s">
        <v>103</v>
      </c>
      <c r="F5" t="s">
        <v>114</v>
      </c>
      <c r="H5" t="s">
        <v>109</v>
      </c>
      <c r="J5" t="s">
        <v>29</v>
      </c>
    </row>
    <row r="6" spans="2:14" x14ac:dyDescent="0.3">
      <c r="B6" s="15" t="s">
        <v>18</v>
      </c>
      <c r="D6" t="s">
        <v>113</v>
      </c>
      <c r="H6" t="s">
        <v>115</v>
      </c>
      <c r="J6" t="s">
        <v>30</v>
      </c>
    </row>
    <row r="7" spans="2:14" x14ac:dyDescent="0.3">
      <c r="B7" s="15" t="s">
        <v>101</v>
      </c>
      <c r="J7" t="s">
        <v>116</v>
      </c>
    </row>
    <row r="8" spans="2:14" x14ac:dyDescent="0.3">
      <c r="B8" s="15" t="s">
        <v>100</v>
      </c>
    </row>
    <row r="10" spans="2:14" x14ac:dyDescent="0.3">
      <c r="B10" s="17" t="s">
        <v>38</v>
      </c>
    </row>
    <row r="11" spans="2:14" x14ac:dyDescent="0.3">
      <c r="B11" s="18" t="s">
        <v>41</v>
      </c>
    </row>
    <row r="12" spans="2:14" x14ac:dyDescent="0.3">
      <c r="B12" t="s">
        <v>40</v>
      </c>
    </row>
    <row r="13" spans="2:14" x14ac:dyDescent="0.3">
      <c r="B13" t="s">
        <v>42</v>
      </c>
    </row>
    <row r="14" spans="2:14" x14ac:dyDescent="0.3">
      <c r="B14" t="s">
        <v>39</v>
      </c>
    </row>
    <row r="16" spans="2:14" x14ac:dyDescent="0.3">
      <c r="B16" s="51" t="s">
        <v>48</v>
      </c>
      <c r="D16" s="99" t="s">
        <v>79</v>
      </c>
    </row>
    <row r="17" spans="2:27" x14ac:dyDescent="0.3">
      <c r="B17" s="50" t="str">
        <f>plan!X4</f>
        <v>Nombre#1 Apellido#11 Apellido#12</v>
      </c>
      <c r="D17" s="100">
        <v>5</v>
      </c>
    </row>
    <row r="18" spans="2:27" x14ac:dyDescent="0.3">
      <c r="B18" s="50" t="str">
        <f>plan!X5</f>
        <v>Nombre#2 Apellido#21 Apellido#22</v>
      </c>
    </row>
    <row r="19" spans="2:27" x14ac:dyDescent="0.3">
      <c r="B19" s="50" t="str">
        <f>plan!X6</f>
        <v>Nombre#3 Apellido#31 Apellido#32</v>
      </c>
      <c r="AA19" s="1"/>
    </row>
    <row r="20" spans="2:27" x14ac:dyDescent="0.3">
      <c r="B20" s="50" t="str">
        <f>plan!X7</f>
        <v>Nombre#4 Apellido#41 Apellido#42</v>
      </c>
      <c r="O20" s="19"/>
    </row>
    <row r="21" spans="2:27" x14ac:dyDescent="0.3">
      <c r="B21" s="50" t="str">
        <f>plan!X8</f>
        <v>Nombre#5 Apellido#51 Apellido#52</v>
      </c>
    </row>
    <row r="22" spans="2:27" x14ac:dyDescent="0.3">
      <c r="B22" s="52"/>
    </row>
    <row r="23" spans="2:27" x14ac:dyDescent="0.3">
      <c r="B23" s="53" t="s">
        <v>124</v>
      </c>
      <c r="D23" s="53" t="s">
        <v>12</v>
      </c>
      <c r="F23" s="53" t="s">
        <v>17</v>
      </c>
      <c r="H23" s="69" t="s">
        <v>55</v>
      </c>
    </row>
    <row r="24" spans="2:27" x14ac:dyDescent="0.3">
      <c r="B24" s="54">
        <v>46097</v>
      </c>
      <c r="D24" s="54" t="s">
        <v>13</v>
      </c>
      <c r="F24" s="60">
        <v>5</v>
      </c>
      <c r="H24" s="67">
        <v>1</v>
      </c>
    </row>
    <row r="25" spans="2:27" x14ac:dyDescent="0.3">
      <c r="B25" s="55">
        <v>46136</v>
      </c>
      <c r="C25" s="61"/>
      <c r="D25" s="62"/>
      <c r="F25" s="62"/>
      <c r="H25" s="68">
        <v>2</v>
      </c>
    </row>
    <row r="26" spans="2:27" x14ac:dyDescent="0.3">
      <c r="H26" s="67">
        <v>3</v>
      </c>
    </row>
    <row r="27" spans="2:27" x14ac:dyDescent="0.3">
      <c r="B27" s="56" t="s">
        <v>15</v>
      </c>
      <c r="D27" s="58" t="s">
        <v>44</v>
      </c>
      <c r="H27" s="68">
        <v>4</v>
      </c>
    </row>
    <row r="28" spans="2:27" x14ac:dyDescent="0.3">
      <c r="B28" s="57"/>
      <c r="D28" s="59" t="s">
        <v>43</v>
      </c>
      <c r="H28" s="67">
        <v>5</v>
      </c>
    </row>
  </sheetData>
  <sheetProtection selectLockedCells="1" selectUnlockedCells="1"/>
  <phoneticPr fontId="3" type="noConversion"/>
  <pageMargins left="0.7" right="0.7" top="0.75" bottom="0.75" header="0.3" footer="0.3"/>
  <pageSetup paperSize="9" orientation="portrait" r:id="rId1"/>
  <tableParts count="10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E7E7A-98CE-4150-9F43-60F2BD163F9A}">
  <dimension ref="A2:AI64"/>
  <sheetViews>
    <sheetView zoomScale="85" zoomScaleNormal="85" workbookViewId="0">
      <selection activeCell="F18" sqref="F18"/>
    </sheetView>
  </sheetViews>
  <sheetFormatPr baseColWidth="10" defaultColWidth="11.5546875" defaultRowHeight="15.05" x14ac:dyDescent="0.3"/>
  <cols>
    <col min="1" max="1" width="7.109375" style="2" customWidth="1"/>
    <col min="2" max="2" width="5.33203125" style="2" customWidth="1"/>
    <col min="3" max="3" width="43.44140625" style="2" customWidth="1"/>
    <col min="4" max="4" width="6" style="2" customWidth="1"/>
    <col min="5" max="5" width="5.33203125" style="2" customWidth="1"/>
    <col min="6" max="6" width="43.44140625" style="2" customWidth="1"/>
    <col min="7" max="7" width="6" style="2" customWidth="1"/>
    <col min="8" max="8" width="34.5546875" style="2" customWidth="1"/>
    <col min="9" max="9" width="8.5546875" style="2" customWidth="1"/>
    <col min="10" max="10" width="7.44140625" style="2" customWidth="1"/>
    <col min="11" max="11" width="11.5546875" style="2"/>
    <col min="12" max="18" width="11.5546875" style="47"/>
    <col min="19" max="19" width="2.109375" style="47" customWidth="1"/>
    <col min="20" max="20" width="1.44140625" style="47" customWidth="1"/>
    <col min="21" max="21" width="13.109375" style="47" customWidth="1"/>
    <col min="22" max="22" width="18.88671875" style="47" customWidth="1"/>
    <col min="23" max="23" width="15.88671875" style="47" customWidth="1"/>
    <col min="24" max="24" width="8.44140625" style="47" customWidth="1"/>
    <col min="25" max="25" width="2.5546875" style="2" customWidth="1"/>
    <col min="26" max="26" width="11.5546875" style="2"/>
    <col min="27" max="27" width="14.44140625" style="2" customWidth="1"/>
    <col min="28" max="28" width="10.88671875" style="2" customWidth="1"/>
    <col min="29" max="29" width="5.109375" style="2" customWidth="1"/>
    <col min="30" max="30" width="21.88671875" style="2" customWidth="1"/>
    <col min="31" max="33" width="11.5546875" style="2"/>
    <col min="34" max="34" width="6.44140625" style="2" customWidth="1"/>
    <col min="35" max="35" width="2.88671875" style="2" customWidth="1"/>
    <col min="36" max="16384" width="11.5546875" style="47"/>
  </cols>
  <sheetData>
    <row r="2" spans="2:10" ht="34.049999999999997" x14ac:dyDescent="0.3">
      <c r="B2" s="305" t="s">
        <v>82</v>
      </c>
      <c r="C2" s="305"/>
      <c r="D2" s="305"/>
      <c r="E2" s="305"/>
      <c r="F2" s="305"/>
      <c r="G2" s="305"/>
      <c r="H2" s="305"/>
      <c r="I2" s="305"/>
      <c r="J2" s="305"/>
    </row>
    <row r="3" spans="2:10" ht="17.7" customHeight="1" thickBot="1" x14ac:dyDescent="0.35">
      <c r="B3" s="101"/>
      <c r="C3" s="101"/>
      <c r="D3" s="101"/>
      <c r="E3" s="101"/>
      <c r="F3" s="101"/>
      <c r="G3" s="101"/>
      <c r="H3" s="101"/>
      <c r="I3" s="101"/>
    </row>
    <row r="4" spans="2:10" ht="35.200000000000003" customHeight="1" x14ac:dyDescent="0.3">
      <c r="B4" s="102"/>
      <c r="C4" s="103"/>
      <c r="D4" s="104"/>
      <c r="E4" s="105"/>
      <c r="F4" s="106"/>
      <c r="G4" s="107"/>
      <c r="H4" s="306"/>
      <c r="I4" s="307"/>
      <c r="J4" s="308"/>
    </row>
    <row r="5" spans="2:10" ht="28.8" x14ac:dyDescent="0.3">
      <c r="B5" s="309">
        <f>COUNTIF(plan!N4:N52,problam!B13)</f>
        <v>0</v>
      </c>
      <c r="C5" s="310"/>
      <c r="E5" s="311">
        <f>IFERROR(VALUE(t_valor!N7),0)</f>
        <v>0</v>
      </c>
      <c r="F5" s="312"/>
      <c r="G5" s="108"/>
      <c r="H5" s="313">
        <f>SUM(I9:I13)</f>
        <v>0</v>
      </c>
      <c r="I5" s="314"/>
      <c r="J5" s="315"/>
    </row>
    <row r="6" spans="2:10" x14ac:dyDescent="0.3">
      <c r="B6" s="316" t="str">
        <f>"[ " &amp; REPT("■ ",ROUND(B5/Tabla_Plan_Actividad[[#Totals],[Actividad]]*Tabla_Plan_Actividad[[#Totals],[Actividad]],0)) &amp; REPT("□ ",Tabla_Plan_Actividad[[#Totals],[Actividad]]-ROUND(B5/Tabla_Plan_Actividad[[#Totals],[Actividad]]*Tabla_Plan_Actividad[[#Totals],[Actividad]],0)) &amp; "]"</f>
        <v>[ □ □ □ □ □ □ □ □ □ □ □ □ □ □ □ □ □ □ □ □ □ □ □ □ □ □ ]</v>
      </c>
      <c r="C6" s="317"/>
      <c r="E6" s="318" t="str">
        <f>"[ " &amp; REPT("■ ",ROUND(E5/plan!I53*20,0)) &amp; REPT("□ ",20-ROUND(E5/plan!I53*20,0)) &amp; "]"</f>
        <v>[ □ □ □ □ □ □ □ □ □ □ □ □ □ □ □ □ □ □ □ □ ]</v>
      </c>
      <c r="F6" s="319"/>
      <c r="H6" s="313"/>
      <c r="I6" s="314"/>
      <c r="J6" s="315"/>
    </row>
    <row r="7" spans="2:10" ht="35.200000000000003" customHeight="1" thickBot="1" x14ac:dyDescent="0.35">
      <c r="B7" s="109"/>
      <c r="C7" s="110" t="str">
        <f>"de " &amp; Tabla_Plan_Actividad[[#Totals],[Actividad]]</f>
        <v>de 26</v>
      </c>
      <c r="E7" s="111"/>
      <c r="F7" s="112" t="str">
        <f>"de " &amp; Tabla_Plan_Actividad[[#Totals],[Learning Points]] &amp; " LP"</f>
        <v>de 360 LP</v>
      </c>
      <c r="H7" s="302" t="s">
        <v>81</v>
      </c>
      <c r="I7" s="303"/>
      <c r="J7" s="304"/>
    </row>
    <row r="8" spans="2:10" ht="11.15" customHeight="1" thickBot="1" x14ac:dyDescent="0.35"/>
    <row r="9" spans="2:10" ht="26.7" customHeight="1" x14ac:dyDescent="0.3">
      <c r="H9" s="120" t="str">
        <f>Indice_PROBLAM_Estudiante1</f>
        <v>Nombre#1 Apellido#11 Apellido#12</v>
      </c>
      <c r="I9" s="123">
        <f>t_estudiantes!U10</f>
        <v>0</v>
      </c>
      <c r="J9" s="128" t="s">
        <v>81</v>
      </c>
    </row>
    <row r="10" spans="2:10" ht="26.7" customHeight="1" x14ac:dyDescent="0.3">
      <c r="H10" s="121" t="str">
        <f>Indice_PROBLAM_Estudiante2</f>
        <v>Nombre#2 Apellido#21 Apellido#22</v>
      </c>
      <c r="I10" s="124">
        <f>t_estudiantes!V10</f>
        <v>0</v>
      </c>
      <c r="J10" s="126" t="s">
        <v>81</v>
      </c>
    </row>
    <row r="11" spans="2:10" ht="26.7" customHeight="1" x14ac:dyDescent="0.3">
      <c r="H11" s="121" t="str">
        <f>Indice_PROBLAM_Estudiante3</f>
        <v>Nombre#3 Apellido#31 Apellido#32</v>
      </c>
      <c r="I11" s="124">
        <f>t_estudiantes!W10</f>
        <v>0</v>
      </c>
      <c r="J11" s="126" t="s">
        <v>81</v>
      </c>
    </row>
    <row r="12" spans="2:10" ht="26.7" customHeight="1" x14ac:dyDescent="0.3">
      <c r="H12" s="121" t="str">
        <f>Indice_PROBLAM_Estudiante4</f>
        <v>Nombre#4 Apellido#41 Apellido#42</v>
      </c>
      <c r="I12" s="124">
        <f>t_estudiantes!X10</f>
        <v>0</v>
      </c>
      <c r="J12" s="126" t="s">
        <v>81</v>
      </c>
    </row>
    <row r="13" spans="2:10" ht="26.7" customHeight="1" thickBot="1" x14ac:dyDescent="0.35">
      <c r="H13" s="122" t="str">
        <f>Indice_PROBLAM_Estudiante5</f>
        <v>Nombre#5 Apellido#51 Apellido#52</v>
      </c>
      <c r="I13" s="125">
        <f>t_estudiantes!Y10</f>
        <v>0</v>
      </c>
      <c r="J13" s="127" t="s">
        <v>81</v>
      </c>
    </row>
    <row r="14" spans="2:10" ht="26.7" customHeight="1" x14ac:dyDescent="0.3"/>
    <row r="15" spans="2:10" ht="26.7" customHeight="1" x14ac:dyDescent="0.3"/>
    <row r="16" spans="2:10" ht="32.1" customHeight="1" x14ac:dyDescent="0.3"/>
    <row r="17" ht="32.1" customHeight="1" x14ac:dyDescent="0.3"/>
    <row r="18" ht="32.1" customHeight="1" x14ac:dyDescent="0.3"/>
    <row r="61" spans="20:35" x14ac:dyDescent="0.3">
      <c r="T61" s="2"/>
      <c r="U61" s="2"/>
      <c r="V61" s="2"/>
      <c r="W61" s="2"/>
      <c r="X61" s="2"/>
      <c r="AE61" s="47"/>
      <c r="AF61" s="47"/>
      <c r="AG61" s="47"/>
      <c r="AH61" s="47"/>
      <c r="AI61" s="47"/>
    </row>
    <row r="62" spans="20:35" x14ac:dyDescent="0.3">
      <c r="T62" s="2"/>
      <c r="U62" s="2"/>
      <c r="V62" s="2"/>
      <c r="W62" s="2"/>
      <c r="X62" s="2"/>
      <c r="AE62" s="47"/>
      <c r="AF62" s="47"/>
      <c r="AG62" s="47"/>
      <c r="AH62" s="47"/>
      <c r="AI62" s="47"/>
    </row>
    <row r="63" spans="20:35" x14ac:dyDescent="0.3">
      <c r="T63" s="2"/>
      <c r="U63" s="2"/>
      <c r="V63" s="2"/>
      <c r="W63" s="2"/>
      <c r="X63" s="2"/>
      <c r="AE63" s="47"/>
      <c r="AF63" s="47"/>
      <c r="AG63" s="47"/>
      <c r="AH63" s="47"/>
      <c r="AI63" s="47"/>
    </row>
    <row r="64" spans="20:35" x14ac:dyDescent="0.3">
      <c r="T64" s="2"/>
      <c r="U64" s="2"/>
      <c r="V64" s="2"/>
      <c r="W64" s="2"/>
      <c r="X64" s="2"/>
      <c r="AE64" s="47"/>
      <c r="AF64" s="47"/>
      <c r="AG64" s="47"/>
      <c r="AH64" s="47"/>
      <c r="AI64" s="47"/>
    </row>
  </sheetData>
  <sheetProtection algorithmName="SHA-512" hashValue="gAdryKIT7zQHU7w1Aokh+ouiyBt8CdMXih0L3nJlGKtNxi4ABYgk2PCr+DD4dY079pIM00AV6hSneAdDKdb8Ww==" saltValue="sNhWlWkiEOJ4r5LPrj+cWQ==" spinCount="100000" sheet="1" objects="1" scenarios="1" selectLockedCells="1" selectUnlockedCells="1"/>
  <mergeCells count="8">
    <mergeCell ref="H7:J7"/>
    <mergeCell ref="B2:J2"/>
    <mergeCell ref="H4:J4"/>
    <mergeCell ref="B5:C5"/>
    <mergeCell ref="E5:F5"/>
    <mergeCell ref="H5:J6"/>
    <mergeCell ref="B6:C6"/>
    <mergeCell ref="E6:F6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F63A7-477E-4060-BB43-935111A522FB}">
  <dimension ref="B1:J8"/>
  <sheetViews>
    <sheetView workbookViewId="0"/>
  </sheetViews>
  <sheetFormatPr baseColWidth="10" defaultRowHeight="15.05" x14ac:dyDescent="0.3"/>
  <cols>
    <col min="1" max="1" width="11.5546875" customWidth="1"/>
    <col min="2" max="2" width="24.6640625" style="138" bestFit="1" customWidth="1"/>
    <col min="3" max="3" width="8.109375" style="138" bestFit="1" customWidth="1"/>
    <col min="4" max="4" width="9.33203125" style="138" hidden="1" customWidth="1"/>
    <col min="5" max="5" width="14.6640625" style="138" bestFit="1" customWidth="1"/>
    <col min="6" max="6" width="6.6640625" style="138" bestFit="1" customWidth="1"/>
    <col min="7" max="7" width="9" style="138" bestFit="1" customWidth="1"/>
    <col min="8" max="8" width="14.6640625" style="138" bestFit="1" customWidth="1"/>
    <col min="9" max="9" width="16.6640625" style="138" bestFit="1" customWidth="1"/>
    <col min="10" max="10" width="25.88671875" style="138" bestFit="1" customWidth="1"/>
    <col min="11" max="11" width="22.88671875" bestFit="1" customWidth="1"/>
    <col min="12" max="12" width="19.88671875" bestFit="1" customWidth="1"/>
    <col min="13" max="13" width="9.33203125" bestFit="1" customWidth="1"/>
  </cols>
  <sheetData>
    <row r="1" spans="2:10" ht="15.75" thickBot="1" x14ac:dyDescent="0.35">
      <c r="B1"/>
      <c r="C1"/>
      <c r="D1"/>
      <c r="E1"/>
      <c r="F1"/>
      <c r="G1"/>
      <c r="H1"/>
      <c r="I1"/>
      <c r="J1"/>
    </row>
    <row r="2" spans="2:10" x14ac:dyDescent="0.3">
      <c r="B2" s="140" t="s">
        <v>45</v>
      </c>
      <c r="C2" s="141" t="s">
        <v>0</v>
      </c>
      <c r="D2" s="142" t="s">
        <v>2</v>
      </c>
      <c r="E2" s="142" t="s">
        <v>11</v>
      </c>
      <c r="F2" s="142" t="s">
        <v>49</v>
      </c>
      <c r="G2" s="142" t="s">
        <v>50</v>
      </c>
      <c r="H2" s="142" t="s">
        <v>14</v>
      </c>
      <c r="I2" s="142" t="s">
        <v>84</v>
      </c>
      <c r="J2" s="143" t="s">
        <v>52</v>
      </c>
    </row>
    <row r="3" spans="2:10" hidden="1" x14ac:dyDescent="0.3">
      <c r="B3" s="195" t="s">
        <v>119</v>
      </c>
      <c r="C3" s="136">
        <v>46062</v>
      </c>
      <c r="D3" s="137">
        <v>1</v>
      </c>
      <c r="E3" s="138" t="s">
        <v>86</v>
      </c>
      <c r="F3" s="138" t="s">
        <v>87</v>
      </c>
      <c r="G3" s="138" t="s">
        <v>88</v>
      </c>
      <c r="H3" s="138" t="s">
        <v>113</v>
      </c>
      <c r="I3" s="137">
        <v>0</v>
      </c>
      <c r="J3" s="139"/>
    </row>
    <row r="4" spans="2:10" hidden="1" x14ac:dyDescent="0.3">
      <c r="B4" s="196" t="s">
        <v>120</v>
      </c>
      <c r="C4" s="136">
        <v>46062</v>
      </c>
      <c r="D4" s="137">
        <v>1</v>
      </c>
      <c r="E4" s="138" t="s">
        <v>86</v>
      </c>
      <c r="F4" s="138" t="s">
        <v>87</v>
      </c>
      <c r="G4" s="138" t="s">
        <v>88</v>
      </c>
      <c r="H4" s="138" t="s">
        <v>114</v>
      </c>
      <c r="I4" s="137">
        <v>0</v>
      </c>
      <c r="J4" s="139"/>
    </row>
    <row r="5" spans="2:10" hidden="1" x14ac:dyDescent="0.3">
      <c r="B5" s="196" t="s">
        <v>121</v>
      </c>
      <c r="C5" s="136">
        <v>46062</v>
      </c>
      <c r="D5" s="137">
        <v>1</v>
      </c>
      <c r="E5" s="138" t="s">
        <v>86</v>
      </c>
      <c r="F5" s="138" t="s">
        <v>87</v>
      </c>
      <c r="G5" s="138" t="s">
        <v>88</v>
      </c>
      <c r="H5" s="138" t="s">
        <v>115</v>
      </c>
      <c r="I5" s="137">
        <v>0</v>
      </c>
      <c r="J5" s="139"/>
    </row>
    <row r="6" spans="2:10" hidden="1" x14ac:dyDescent="0.3">
      <c r="B6" s="195" t="s">
        <v>122</v>
      </c>
      <c r="C6" s="136">
        <v>46062</v>
      </c>
      <c r="D6" s="137">
        <v>1</v>
      </c>
      <c r="E6" s="138" t="s">
        <v>86</v>
      </c>
      <c r="F6" s="138" t="s">
        <v>87</v>
      </c>
      <c r="G6" s="138" t="s">
        <v>88</v>
      </c>
      <c r="H6" s="138" t="s">
        <v>116</v>
      </c>
      <c r="I6" s="137">
        <v>0</v>
      </c>
      <c r="J6" s="139"/>
    </row>
    <row r="7" spans="2:10" hidden="1" x14ac:dyDescent="0.3">
      <c r="B7" s="195" t="s">
        <v>123</v>
      </c>
      <c r="C7" s="136">
        <v>46062</v>
      </c>
      <c r="D7" s="137">
        <v>1</v>
      </c>
      <c r="E7" s="138" t="s">
        <v>86</v>
      </c>
      <c r="F7" s="138" t="s">
        <v>87</v>
      </c>
      <c r="G7" s="138" t="s">
        <v>88</v>
      </c>
      <c r="H7" s="138" t="s">
        <v>117</v>
      </c>
      <c r="I7" s="137">
        <v>0</v>
      </c>
      <c r="J7" s="139"/>
    </row>
    <row r="8" spans="2:10" hidden="1" x14ac:dyDescent="0.3">
      <c r="B8" s="195" t="s">
        <v>123</v>
      </c>
      <c r="C8" s="136">
        <v>46062</v>
      </c>
      <c r="D8" s="137">
        <v>1</v>
      </c>
      <c r="E8" s="138" t="s">
        <v>86</v>
      </c>
      <c r="F8" s="138" t="s">
        <v>87</v>
      </c>
      <c r="G8" s="138" t="s">
        <v>88</v>
      </c>
      <c r="H8" s="138" t="s">
        <v>118</v>
      </c>
      <c r="I8" s="137">
        <v>0</v>
      </c>
      <c r="J8" s="139"/>
    </row>
  </sheetData>
  <sheetProtection selectLockedCells="1" autoFilter="0" pivotTables="0"/>
  <phoneticPr fontId="3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82496-DE12-4623-9C29-1C4902E8EC1E}">
  <dimension ref="A1:G2"/>
  <sheetViews>
    <sheetView workbookViewId="0">
      <selection activeCell="D7" sqref="D7"/>
    </sheetView>
  </sheetViews>
  <sheetFormatPr baseColWidth="10" defaultRowHeight="15.05" x14ac:dyDescent="0.3"/>
  <cols>
    <col min="1" max="1" width="10.109375" bestFit="1" customWidth="1"/>
    <col min="2" max="2" width="9.33203125" bestFit="1" customWidth="1"/>
    <col min="3" max="3" width="10.109375" bestFit="1" customWidth="1"/>
    <col min="4" max="4" width="10.6640625" bestFit="1" customWidth="1"/>
    <col min="5" max="5" width="9" bestFit="1" customWidth="1"/>
    <col min="6" max="6" width="28.21875" bestFit="1" customWidth="1"/>
    <col min="7" max="7" width="9.21875" bestFit="1" customWidth="1"/>
    <col min="8" max="8" width="9.33203125" bestFit="1" customWidth="1"/>
    <col min="9" max="10" width="16.6640625" bestFit="1" customWidth="1"/>
    <col min="11" max="11" width="24.33203125" customWidth="1"/>
  </cols>
  <sheetData>
    <row r="1" spans="1:7" x14ac:dyDescent="0.3">
      <c r="A1" t="s">
        <v>0</v>
      </c>
      <c r="B1" t="s">
        <v>2</v>
      </c>
      <c r="C1" t="s">
        <v>11</v>
      </c>
      <c r="D1" t="s">
        <v>49</v>
      </c>
      <c r="E1" t="s">
        <v>50</v>
      </c>
      <c r="F1" t="s">
        <v>54</v>
      </c>
      <c r="G1" t="s">
        <v>53</v>
      </c>
    </row>
    <row r="2" spans="1:7" x14ac:dyDescent="0.3">
      <c r="A2" s="66">
        <v>46097</v>
      </c>
      <c r="B2">
        <v>1</v>
      </c>
      <c r="C2" t="s">
        <v>113</v>
      </c>
      <c r="D2" t="s">
        <v>97</v>
      </c>
      <c r="E2" t="s">
        <v>113</v>
      </c>
      <c r="F2" t="s">
        <v>119</v>
      </c>
      <c r="G2">
        <v>0</v>
      </c>
    </row>
  </sheetData>
  <sheetProtection selectLockedCells="1" selectUnlockedCells="1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45AE4-7FDA-4644-9D3D-201D139680A9}">
  <dimension ref="B2:Y20"/>
  <sheetViews>
    <sheetView workbookViewId="0"/>
  </sheetViews>
  <sheetFormatPr baseColWidth="10" defaultColWidth="11.5546875" defaultRowHeight="15.05" x14ac:dyDescent="0.3"/>
  <cols>
    <col min="1" max="1" width="4.33203125" style="72" customWidth="1"/>
    <col min="2" max="2" width="13.33203125" style="72" bestFit="1" customWidth="1"/>
    <col min="3" max="3" width="11.33203125" style="72" bestFit="1" customWidth="1"/>
    <col min="4" max="4" width="5.88671875" style="72" bestFit="1" customWidth="1"/>
    <col min="5" max="7" width="6.5546875" style="72" bestFit="1" customWidth="1"/>
    <col min="8" max="8" width="5.5546875" style="72" bestFit="1" customWidth="1"/>
    <col min="9" max="9" width="4.6640625" style="72" bestFit="1" customWidth="1"/>
    <col min="10" max="10" width="4.109375" style="72" customWidth="1"/>
    <col min="11" max="11" width="13.33203125" style="72" bestFit="1" customWidth="1"/>
    <col min="12" max="12" width="11.44140625" style="72" bestFit="1" customWidth="1"/>
    <col min="13" max="13" width="5.88671875" style="72" bestFit="1" customWidth="1"/>
    <col min="14" max="16" width="6.5546875" style="72" bestFit="1" customWidth="1"/>
    <col min="17" max="17" width="4.33203125" style="72" bestFit="1" customWidth="1"/>
    <col min="18" max="18" width="4.33203125" style="72" customWidth="1"/>
    <col min="19" max="19" width="4.109375" style="72" customWidth="1"/>
    <col min="20" max="20" width="11.5546875" style="72"/>
    <col min="21" max="25" width="11.6640625" style="72" customWidth="1"/>
    <col min="26" max="16384" width="11.5546875" style="72"/>
  </cols>
  <sheetData>
    <row r="2" spans="2:25" ht="18.350000000000001" x14ac:dyDescent="0.3">
      <c r="B2" s="320" t="s">
        <v>59</v>
      </c>
      <c r="C2" s="320"/>
      <c r="D2" s="320"/>
      <c r="E2" s="320"/>
      <c r="F2" s="320"/>
      <c r="G2" s="320"/>
      <c r="H2" s="320"/>
      <c r="K2" s="320" t="s">
        <v>60</v>
      </c>
      <c r="L2" s="320"/>
      <c r="M2" s="320"/>
      <c r="N2" s="320"/>
      <c r="O2" s="320"/>
      <c r="P2" s="320"/>
      <c r="Q2" s="320"/>
    </row>
    <row r="3" spans="2:25" ht="15.05" customHeight="1" x14ac:dyDescent="0.3">
      <c r="B3" s="88" t="s">
        <v>57</v>
      </c>
      <c r="C3" s="209" t="s">
        <v>54</v>
      </c>
      <c r="D3" s="198"/>
      <c r="E3" s="199"/>
      <c r="F3" s="199"/>
      <c r="G3" s="199"/>
      <c r="H3" s="200"/>
      <c r="I3"/>
      <c r="K3" s="88" t="s">
        <v>58</v>
      </c>
      <c r="L3" s="90" t="s">
        <v>54</v>
      </c>
      <c r="M3" s="198"/>
      <c r="N3" s="199"/>
      <c r="O3" s="199"/>
      <c r="P3" s="199"/>
      <c r="Q3" s="200"/>
      <c r="R3"/>
    </row>
    <row r="4" spans="2:25" s="89" customFormat="1" ht="90.35" x14ac:dyDescent="0.3">
      <c r="B4" s="87" t="s">
        <v>2</v>
      </c>
      <c r="C4" s="89" t="s">
        <v>119</v>
      </c>
      <c r="D4" s="89" t="s">
        <v>120</v>
      </c>
      <c r="E4" s="89" t="s">
        <v>121</v>
      </c>
      <c r="F4" s="89" t="s">
        <v>122</v>
      </c>
      <c r="G4" s="89" t="s">
        <v>123</v>
      </c>
      <c r="H4" s="83" t="s">
        <v>64</v>
      </c>
      <c r="I4"/>
      <c r="K4" s="87" t="s">
        <v>2</v>
      </c>
      <c r="L4" s="89" t="s">
        <v>119</v>
      </c>
      <c r="M4" s="89" t="s">
        <v>120</v>
      </c>
      <c r="N4" s="89" t="s">
        <v>121</v>
      </c>
      <c r="O4" s="89" t="s">
        <v>122</v>
      </c>
      <c r="P4" s="89" t="s">
        <v>123</v>
      </c>
      <c r="Q4" s="83" t="s">
        <v>64</v>
      </c>
      <c r="R4"/>
      <c r="T4" s="129" t="s">
        <v>2</v>
      </c>
      <c r="U4" s="130" t="str">
        <f>Indice_PROBLAM_Estudiante1</f>
        <v>Nombre#1 Apellido#11 Apellido#12</v>
      </c>
      <c r="V4" s="130" t="str">
        <f>Indice_PROBLAM_Estudiante2</f>
        <v>Nombre#2 Apellido#21 Apellido#22</v>
      </c>
      <c r="W4" s="130" t="str">
        <f>Indice_PROBLAM_Estudiante3</f>
        <v>Nombre#3 Apellido#31 Apellido#32</v>
      </c>
      <c r="X4" s="130" t="str">
        <f>Indice_PROBLAM_Estudiante4</f>
        <v>Nombre#4 Apellido#41 Apellido#42</v>
      </c>
      <c r="Y4" s="131" t="str">
        <f>Indice_PROBLAM_Estudiante5</f>
        <v>Nombre#5 Apellido#51 Apellido#52</v>
      </c>
    </row>
    <row r="5" spans="2:25" x14ac:dyDescent="0.3">
      <c r="B5" s="201">
        <v>1</v>
      </c>
      <c r="C5" s="202">
        <v>0</v>
      </c>
      <c r="D5" s="202">
        <v>0</v>
      </c>
      <c r="E5" s="202">
        <v>0</v>
      </c>
      <c r="F5" s="202">
        <v>0</v>
      </c>
      <c r="G5" s="202">
        <v>0</v>
      </c>
      <c r="H5" s="202">
        <v>0</v>
      </c>
      <c r="I5"/>
      <c r="K5" s="201">
        <v>1</v>
      </c>
      <c r="L5" s="205">
        <v>1</v>
      </c>
      <c r="M5" s="205">
        <v>1</v>
      </c>
      <c r="N5" s="205">
        <v>1</v>
      </c>
      <c r="O5" s="205">
        <v>1</v>
      </c>
      <c r="P5" s="205">
        <v>2</v>
      </c>
      <c r="Q5" s="205">
        <v>6</v>
      </c>
      <c r="R5"/>
      <c r="T5" s="114">
        <v>1</v>
      </c>
      <c r="U5" s="116">
        <f>IFERROR(INDEX($B$4:$I$50,MATCH($T5,$B$4:$B$50,0),2),0)</f>
        <v>0</v>
      </c>
      <c r="V5" s="116">
        <f>IFERROR(INDEX($B$4:$I$50,MATCH($T5,$B$4:$B$50,0),3),0)</f>
        <v>0</v>
      </c>
      <c r="W5" s="116">
        <f>IFERROR(INDEX($B$4:$I$50,MATCH($T5,$B$4:$B$50,0),4),0)</f>
        <v>0</v>
      </c>
      <c r="X5" s="116">
        <f>IFERROR(INDEX($B$4:$I$50,MATCH($T5,$B$4:$B$50,0),5),0)</f>
        <v>0</v>
      </c>
      <c r="Y5" s="116">
        <f>IFERROR(INDEX($B$4:$I$50,MATCH($T5,$B$4:$B$50,0),6),0)</f>
        <v>0</v>
      </c>
    </row>
    <row r="6" spans="2:25" ht="15.75" thickBot="1" x14ac:dyDescent="0.35">
      <c r="B6" s="203">
        <v>46062</v>
      </c>
      <c r="C6" s="202">
        <v>0</v>
      </c>
      <c r="D6" s="202">
        <v>0</v>
      </c>
      <c r="E6" s="202">
        <v>0</v>
      </c>
      <c r="F6" s="202">
        <v>0</v>
      </c>
      <c r="G6" s="202">
        <v>0</v>
      </c>
      <c r="H6" s="202">
        <v>0</v>
      </c>
      <c r="I6"/>
      <c r="K6" s="203">
        <v>46062</v>
      </c>
      <c r="L6" s="205">
        <v>1</v>
      </c>
      <c r="M6" s="205">
        <v>1</v>
      </c>
      <c r="N6" s="205">
        <v>1</v>
      </c>
      <c r="O6" s="205">
        <v>1</v>
      </c>
      <c r="P6" s="205">
        <v>2</v>
      </c>
      <c r="Q6" s="205">
        <v>6</v>
      </c>
      <c r="R6"/>
      <c r="T6" s="132">
        <v>2</v>
      </c>
      <c r="U6" s="117">
        <f t="shared" ref="U6:U10" si="0">IFERROR(INDEX($B$4:$I$50,MATCH($T6,$B$4:$B$50,0),2),0)</f>
        <v>0</v>
      </c>
      <c r="V6" s="117">
        <f t="shared" ref="V6:V10" si="1">IFERROR(INDEX($B$4:$I$50,MATCH($T6,$B$4:$B$50,0),3),0)</f>
        <v>0</v>
      </c>
      <c r="W6" s="117">
        <f t="shared" ref="W6:W10" si="2">IFERROR(INDEX($B$4:$I$50,MATCH($T6,$B$4:$B$50,0),4),0)</f>
        <v>0</v>
      </c>
      <c r="X6" s="117">
        <f t="shared" ref="X6:X10" si="3">IFERROR(INDEX($B$4:$I$50,MATCH($T6,$B$4:$B$50,0),5),0)</f>
        <v>0</v>
      </c>
      <c r="Y6" s="117">
        <f t="shared" ref="Y6:Y10" si="4">IFERROR(INDEX($B$4:$I$50,MATCH($T6,$B$4:$B$50,0),6),0)</f>
        <v>0</v>
      </c>
    </row>
    <row r="7" spans="2:25" ht="15.75" thickBot="1" x14ac:dyDescent="0.35">
      <c r="B7" s="204" t="s">
        <v>64</v>
      </c>
      <c r="C7" s="210">
        <v>0</v>
      </c>
      <c r="D7" s="211">
        <v>0</v>
      </c>
      <c r="E7" s="211">
        <v>0</v>
      </c>
      <c r="F7" s="211">
        <v>0</v>
      </c>
      <c r="G7" s="211">
        <v>0</v>
      </c>
      <c r="H7" s="212">
        <v>0</v>
      </c>
      <c r="I7"/>
      <c r="K7" s="204" t="s">
        <v>64</v>
      </c>
      <c r="L7" s="206">
        <v>1</v>
      </c>
      <c r="M7" s="207">
        <v>1</v>
      </c>
      <c r="N7" s="207">
        <v>1</v>
      </c>
      <c r="O7" s="207">
        <v>1</v>
      </c>
      <c r="P7" s="207">
        <v>2</v>
      </c>
      <c r="Q7" s="208">
        <v>6</v>
      </c>
      <c r="R7"/>
      <c r="T7" s="133">
        <v>3</v>
      </c>
      <c r="U7" s="118">
        <f t="shared" si="0"/>
        <v>0</v>
      </c>
      <c r="V7" s="118">
        <f t="shared" si="1"/>
        <v>0</v>
      </c>
      <c r="W7" s="118">
        <f t="shared" si="2"/>
        <v>0</v>
      </c>
      <c r="X7" s="118">
        <f t="shared" si="3"/>
        <v>0</v>
      </c>
      <c r="Y7" s="118">
        <f t="shared" si="4"/>
        <v>0</v>
      </c>
    </row>
    <row r="8" spans="2:25" x14ac:dyDescent="0.3">
      <c r="B8"/>
      <c r="C8"/>
      <c r="D8"/>
      <c r="E8"/>
      <c r="F8"/>
      <c r="G8"/>
      <c r="H8"/>
      <c r="I8"/>
      <c r="K8"/>
      <c r="L8"/>
      <c r="M8"/>
      <c r="N8"/>
      <c r="O8"/>
      <c r="P8"/>
      <c r="Q8"/>
      <c r="R8"/>
      <c r="T8" s="132">
        <v>4</v>
      </c>
      <c r="U8" s="117">
        <f t="shared" si="0"/>
        <v>0</v>
      </c>
      <c r="V8" s="117">
        <f t="shared" si="1"/>
        <v>0</v>
      </c>
      <c r="W8" s="117">
        <f t="shared" si="2"/>
        <v>0</v>
      </c>
      <c r="X8" s="117">
        <f t="shared" si="3"/>
        <v>0</v>
      </c>
      <c r="Y8" s="117">
        <f t="shared" si="4"/>
        <v>0</v>
      </c>
    </row>
    <row r="9" spans="2:25" x14ac:dyDescent="0.3">
      <c r="B9"/>
      <c r="C9"/>
      <c r="D9"/>
      <c r="E9"/>
      <c r="F9"/>
      <c r="G9"/>
      <c r="H9"/>
      <c r="I9"/>
      <c r="K9"/>
      <c r="L9"/>
      <c r="M9"/>
      <c r="N9"/>
      <c r="O9"/>
      <c r="P9"/>
      <c r="Q9"/>
      <c r="R9"/>
      <c r="T9" s="133">
        <v>5</v>
      </c>
      <c r="U9" s="118">
        <f t="shared" si="0"/>
        <v>0</v>
      </c>
      <c r="V9" s="118">
        <f t="shared" si="1"/>
        <v>0</v>
      </c>
      <c r="W9" s="118">
        <f t="shared" si="2"/>
        <v>0</v>
      </c>
      <c r="X9" s="118">
        <f t="shared" si="3"/>
        <v>0</v>
      </c>
      <c r="Y9" s="118">
        <f t="shared" si="4"/>
        <v>0</v>
      </c>
    </row>
    <row r="10" spans="2:25" ht="15.75" thickBot="1" x14ac:dyDescent="0.35">
      <c r="B10"/>
      <c r="C10"/>
      <c r="D10"/>
      <c r="E10"/>
      <c r="F10"/>
      <c r="G10"/>
      <c r="H10"/>
      <c r="I10"/>
      <c r="K10"/>
      <c r="L10"/>
      <c r="M10"/>
      <c r="N10"/>
      <c r="O10"/>
      <c r="P10"/>
      <c r="Q10"/>
      <c r="R10"/>
      <c r="T10" s="115" t="s">
        <v>64</v>
      </c>
      <c r="U10" s="119">
        <f t="shared" si="0"/>
        <v>0</v>
      </c>
      <c r="V10" s="119">
        <f t="shared" si="1"/>
        <v>0</v>
      </c>
      <c r="W10" s="119">
        <f t="shared" si="2"/>
        <v>0</v>
      </c>
      <c r="X10" s="119">
        <f t="shared" si="3"/>
        <v>0</v>
      </c>
      <c r="Y10" s="119">
        <f t="shared" si="4"/>
        <v>0</v>
      </c>
    </row>
    <row r="11" spans="2:25" x14ac:dyDescent="0.3">
      <c r="B11"/>
      <c r="C11"/>
      <c r="D11"/>
      <c r="E11"/>
      <c r="F11"/>
      <c r="G11"/>
      <c r="H11"/>
      <c r="I11"/>
      <c r="K11"/>
      <c r="L11"/>
      <c r="M11"/>
      <c r="N11"/>
      <c r="O11"/>
      <c r="P11"/>
      <c r="Q11"/>
      <c r="R11"/>
    </row>
    <row r="12" spans="2:25" ht="15.75" thickBot="1" x14ac:dyDescent="0.35">
      <c r="B12"/>
      <c r="C12"/>
      <c r="D12"/>
      <c r="E12"/>
      <c r="F12"/>
      <c r="G12"/>
      <c r="H12"/>
      <c r="I12"/>
      <c r="K12"/>
      <c r="L12"/>
      <c r="M12"/>
      <c r="N12"/>
      <c r="O12"/>
      <c r="P12"/>
      <c r="Q12"/>
      <c r="R12"/>
    </row>
    <row r="13" spans="2:25" ht="15.75" thickBot="1" x14ac:dyDescent="0.35">
      <c r="B13"/>
      <c r="C13"/>
      <c r="D13"/>
      <c r="E13"/>
      <c r="F13"/>
      <c r="G13"/>
      <c r="H13"/>
      <c r="I13"/>
      <c r="K13"/>
      <c r="L13"/>
      <c r="M13"/>
      <c r="N13"/>
      <c r="O13"/>
      <c r="P13"/>
      <c r="Q13"/>
      <c r="R13"/>
    </row>
    <row r="14" spans="2:25" x14ac:dyDescent="0.3">
      <c r="B14"/>
      <c r="C14"/>
      <c r="D14"/>
      <c r="E14"/>
      <c r="F14"/>
      <c r="G14"/>
      <c r="H14"/>
      <c r="I14"/>
      <c r="K14"/>
      <c r="L14"/>
      <c r="M14"/>
      <c r="N14"/>
      <c r="O14"/>
      <c r="P14"/>
      <c r="Q14"/>
      <c r="R14"/>
    </row>
    <row r="15" spans="2:25" x14ac:dyDescent="0.3">
      <c r="B15"/>
      <c r="C15"/>
      <c r="D15"/>
      <c r="E15"/>
      <c r="F15"/>
      <c r="G15"/>
      <c r="H15"/>
      <c r="I15"/>
      <c r="K15"/>
      <c r="L15"/>
      <c r="M15"/>
      <c r="N15"/>
      <c r="O15"/>
      <c r="P15"/>
      <c r="Q15"/>
      <c r="R15"/>
    </row>
    <row r="16" spans="2:25" x14ac:dyDescent="0.3">
      <c r="B16"/>
      <c r="C16"/>
      <c r="D16"/>
      <c r="E16"/>
      <c r="F16"/>
      <c r="G16"/>
      <c r="H16"/>
      <c r="I16"/>
      <c r="K16"/>
      <c r="L16"/>
      <c r="M16"/>
      <c r="N16"/>
      <c r="O16"/>
      <c r="P16"/>
      <c r="Q16"/>
      <c r="R16"/>
    </row>
    <row r="17" spans="2:18" ht="15.75" thickBot="1" x14ac:dyDescent="0.35">
      <c r="B17"/>
      <c r="C17"/>
      <c r="D17"/>
      <c r="E17"/>
      <c r="F17"/>
      <c r="G17"/>
      <c r="H17"/>
      <c r="I17"/>
      <c r="K17"/>
      <c r="L17"/>
      <c r="M17"/>
      <c r="N17"/>
      <c r="O17"/>
      <c r="P17"/>
      <c r="Q17"/>
      <c r="R17"/>
    </row>
    <row r="18" spans="2:18" ht="15.75" thickBot="1" x14ac:dyDescent="0.35">
      <c r="B18"/>
      <c r="C18"/>
      <c r="D18"/>
      <c r="E18"/>
      <c r="F18"/>
      <c r="G18"/>
      <c r="H18"/>
      <c r="K18"/>
      <c r="L18"/>
      <c r="M18"/>
      <c r="N18"/>
      <c r="O18"/>
      <c r="P18"/>
      <c r="Q18"/>
    </row>
    <row r="19" spans="2:18" ht="15.75" thickBot="1" x14ac:dyDescent="0.35">
      <c r="B19"/>
      <c r="C19"/>
      <c r="D19"/>
      <c r="E19"/>
      <c r="F19"/>
      <c r="G19"/>
      <c r="H19"/>
      <c r="K19"/>
      <c r="L19"/>
      <c r="M19"/>
      <c r="N19"/>
      <c r="O19"/>
      <c r="P19"/>
      <c r="Q19"/>
    </row>
    <row r="20" spans="2:18" ht="15.75" thickBot="1" x14ac:dyDescent="0.35">
      <c r="B20"/>
      <c r="C20"/>
      <c r="D20"/>
      <c r="E20"/>
      <c r="F20"/>
      <c r="G20"/>
      <c r="H20"/>
      <c r="K20"/>
      <c r="L20"/>
      <c r="M20"/>
      <c r="N20"/>
      <c r="O20"/>
      <c r="P20"/>
      <c r="Q20"/>
    </row>
  </sheetData>
  <sheetProtection selectLockedCells="1" selectUnlockedCells="1"/>
  <mergeCells count="2">
    <mergeCell ref="B2:H2"/>
    <mergeCell ref="K2:Q2"/>
  </mergeCells>
  <pageMargins left="0.7" right="0.7" top="0.75" bottom="0.75" header="0.3" footer="0.3"/>
  <pageSetup paperSize="9" orientation="portrait"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E61F3-8DCE-47A6-B0B3-39455E7A864F}">
  <dimension ref="A2:Y10"/>
  <sheetViews>
    <sheetView workbookViewId="0"/>
  </sheetViews>
  <sheetFormatPr baseColWidth="10" defaultRowHeight="15.05" x14ac:dyDescent="0.3"/>
  <cols>
    <col min="1" max="1" width="4.33203125" style="72" customWidth="1"/>
    <col min="2" max="2" width="13.33203125" bestFit="1" customWidth="1"/>
    <col min="3" max="3" width="10.109375" bestFit="1" customWidth="1"/>
    <col min="4" max="4" width="4.5546875" bestFit="1" customWidth="1"/>
    <col min="5" max="5" width="4.6640625" bestFit="1" customWidth="1"/>
    <col min="6" max="6" width="4.5546875" bestFit="1" customWidth="1"/>
    <col min="7" max="7" width="6" bestFit="1" customWidth="1"/>
    <col min="8" max="8" width="5.44140625" bestFit="1" customWidth="1"/>
    <col min="9" max="9" width="4.5546875" bestFit="1" customWidth="1"/>
    <col min="10" max="10" width="6.33203125" bestFit="1" customWidth="1"/>
    <col min="11" max="11" width="13.33203125" bestFit="1" customWidth="1"/>
    <col min="12" max="12" width="10.109375" bestFit="1" customWidth="1"/>
    <col min="13" max="13" width="2" bestFit="1" customWidth="1"/>
    <col min="14" max="14" width="3.44140625" bestFit="1" customWidth="1"/>
    <col min="15" max="15" width="3.88671875" bestFit="1" customWidth="1"/>
    <col min="16" max="16" width="6" bestFit="1" customWidth="1"/>
    <col min="17" max="17" width="4" bestFit="1" customWidth="1"/>
    <col min="18" max="18" width="3.6640625" bestFit="1" customWidth="1"/>
    <col min="19" max="19" width="4.33203125" bestFit="1" customWidth="1"/>
    <col min="21" max="23" width="16.33203125" customWidth="1"/>
    <col min="25" max="25" width="16.33203125" customWidth="1"/>
  </cols>
  <sheetData>
    <row r="2" spans="1:25" ht="18.350000000000001" x14ac:dyDescent="0.3">
      <c r="B2" s="321" t="s">
        <v>61</v>
      </c>
      <c r="C2" s="322"/>
      <c r="D2" s="322"/>
      <c r="E2" s="322"/>
      <c r="F2" s="322"/>
      <c r="G2" s="323"/>
      <c r="K2" s="321" t="s">
        <v>62</v>
      </c>
      <c r="L2" s="322"/>
      <c r="M2" s="322"/>
      <c r="N2" s="322"/>
      <c r="O2" s="322"/>
      <c r="P2" s="323"/>
    </row>
    <row r="3" spans="1:25" x14ac:dyDescent="0.3">
      <c r="B3" s="81" t="s">
        <v>57</v>
      </c>
      <c r="C3" s="82" t="s">
        <v>25</v>
      </c>
      <c r="D3" s="177"/>
      <c r="E3" s="183"/>
      <c r="F3" s="183"/>
      <c r="G3" s="183"/>
      <c r="H3" s="183"/>
      <c r="I3" s="178"/>
      <c r="K3" s="226" t="s">
        <v>58</v>
      </c>
      <c r="L3" s="82" t="s">
        <v>25</v>
      </c>
      <c r="M3" s="177"/>
      <c r="N3" s="183"/>
      <c r="O3" s="183"/>
      <c r="P3" s="183"/>
      <c r="Q3" s="183"/>
      <c r="R3" s="178"/>
    </row>
    <row r="4" spans="1:25" ht="117.85" x14ac:dyDescent="0.3">
      <c r="A4" s="89"/>
      <c r="B4" s="84" t="s">
        <v>2</v>
      </c>
      <c r="C4" s="179" t="s">
        <v>97</v>
      </c>
      <c r="D4" s="184" t="s">
        <v>99</v>
      </c>
      <c r="E4" s="184" t="s">
        <v>18</v>
      </c>
      <c r="F4" s="184" t="s">
        <v>101</v>
      </c>
      <c r="G4" s="184" t="s">
        <v>98</v>
      </c>
      <c r="H4" s="180" t="s">
        <v>100</v>
      </c>
      <c r="I4" s="83" t="s">
        <v>83</v>
      </c>
      <c r="K4" s="84" t="s">
        <v>2</v>
      </c>
      <c r="L4" s="179" t="s">
        <v>97</v>
      </c>
      <c r="M4" s="184" t="s">
        <v>99</v>
      </c>
      <c r="N4" s="184" t="s">
        <v>18</v>
      </c>
      <c r="O4" s="184" t="s">
        <v>101</v>
      </c>
      <c r="P4" s="184" t="s">
        <v>98</v>
      </c>
      <c r="Q4" s="180" t="s">
        <v>100</v>
      </c>
      <c r="R4" s="83" t="s">
        <v>56</v>
      </c>
      <c r="T4" s="129" t="s">
        <v>2</v>
      </c>
      <c r="U4" s="130" t="str">
        <f>i_PROBLAM_pt1</f>
        <v>Ciclo de vida</v>
      </c>
      <c r="V4" s="130" t="str">
        <f>i_PROBLAM_pt2</f>
        <v>Ingeniería de datos</v>
      </c>
      <c r="W4" s="130" t="str">
        <f>i_PROBLAM_pt3</f>
        <v>Diseño físico</v>
      </c>
      <c r="X4" s="130" t="str">
        <f>i_PROBLAM_pt4</f>
        <v>Equipo</v>
      </c>
      <c r="Y4" s="130" t="str">
        <f>i_PROBLAM_pt5</f>
        <v>Gestión de transacciones</v>
      </c>
    </row>
    <row r="5" spans="1:25" x14ac:dyDescent="0.3">
      <c r="B5" s="236">
        <v>1</v>
      </c>
      <c r="C5" s="231">
        <v>0</v>
      </c>
      <c r="D5" s="232">
        <v>0</v>
      </c>
      <c r="E5" s="232">
        <v>0</v>
      </c>
      <c r="F5" s="232">
        <v>0</v>
      </c>
      <c r="G5" s="232">
        <v>0</v>
      </c>
      <c r="H5" s="232">
        <v>0</v>
      </c>
      <c r="I5" s="233">
        <v>0</v>
      </c>
      <c r="K5" s="215">
        <v>1</v>
      </c>
      <c r="L5" s="219">
        <v>1</v>
      </c>
      <c r="M5" s="220">
        <v>1</v>
      </c>
      <c r="N5" s="220">
        <v>1</v>
      </c>
      <c r="O5" s="220">
        <v>1</v>
      </c>
      <c r="P5" s="220">
        <v>1</v>
      </c>
      <c r="Q5" s="220">
        <v>1</v>
      </c>
      <c r="R5" s="221">
        <v>6</v>
      </c>
      <c r="T5" s="114">
        <v>1</v>
      </c>
      <c r="U5" s="116">
        <f>IFERROR(INDEX($B$4:$I$50,MATCH($T5,$B$4:$B$50,0),2),0)</f>
        <v>0</v>
      </c>
      <c r="V5" s="116">
        <f>IFERROR(INDEX($B$4:$I50,MATCH($T5,$B$4:$B$50,0),3),0)</f>
        <v>0</v>
      </c>
      <c r="W5" s="116">
        <f>IFERROR(INDEX($B$4:$I$50,MATCH($T5,$B$4:$B$50,0),4),0)</f>
        <v>0</v>
      </c>
      <c r="X5" s="116">
        <f>IFERROR(INDEX($B$4:$I$50,MATCH($T5,$B$4:$B$50,0),5),0)</f>
        <v>0</v>
      </c>
      <c r="Y5" s="116">
        <f>IFERROR(INDEX($B$4:$I$50,MATCH($T5,$B$4:$B$50,0),6),0)</f>
        <v>0</v>
      </c>
    </row>
    <row r="6" spans="1:25" x14ac:dyDescent="0.3">
      <c r="B6" s="227">
        <v>46062</v>
      </c>
      <c r="C6" s="234">
        <v>0</v>
      </c>
      <c r="D6" s="228">
        <v>0</v>
      </c>
      <c r="E6" s="228">
        <v>0</v>
      </c>
      <c r="F6" s="228">
        <v>0</v>
      </c>
      <c r="G6" s="228">
        <v>0</v>
      </c>
      <c r="H6" s="228">
        <v>0</v>
      </c>
      <c r="I6" s="229">
        <v>0</v>
      </c>
      <c r="K6" s="227">
        <v>46062</v>
      </c>
      <c r="L6" s="222">
        <v>1</v>
      </c>
      <c r="M6" s="216">
        <v>1</v>
      </c>
      <c r="N6" s="216">
        <v>1</v>
      </c>
      <c r="O6" s="216">
        <v>1</v>
      </c>
      <c r="P6" s="216">
        <v>1</v>
      </c>
      <c r="Q6" s="216">
        <v>1</v>
      </c>
      <c r="R6" s="217">
        <v>6</v>
      </c>
      <c r="T6" s="132">
        <v>2</v>
      </c>
      <c r="U6" s="117">
        <f t="shared" ref="U6:U10" si="0">IFERROR(INDEX($B$4:$I$50,MATCH($T6,$B$4:$B$50,0),2),0)</f>
        <v>0</v>
      </c>
      <c r="V6" s="117">
        <f>IFERROR(INDEX($B$4:$I51,MATCH($T6,$B$4:$B$50,0),3),0)</f>
        <v>0</v>
      </c>
      <c r="W6" s="117">
        <f t="shared" ref="W6:W10" si="1">IFERROR(INDEX($B$4:$I$50,MATCH($T6,$B$4:$B$50,0),4),0)</f>
        <v>0</v>
      </c>
      <c r="X6" s="117">
        <f t="shared" ref="X6:X10" si="2">IFERROR(INDEX($B$4:$I$50,MATCH($T6,$B$4:$B$50,0),5),0)</f>
        <v>0</v>
      </c>
      <c r="Y6" s="117">
        <f t="shared" ref="Y6:Y10" si="3">IFERROR(INDEX($B$4:$I$50,MATCH($T6,$B$4:$B$50,0),6),0)</f>
        <v>0</v>
      </c>
    </row>
    <row r="7" spans="1:25" x14ac:dyDescent="0.3">
      <c r="B7" s="237" t="s">
        <v>83</v>
      </c>
      <c r="C7" s="235">
        <v>0</v>
      </c>
      <c r="D7" s="230">
        <v>0</v>
      </c>
      <c r="E7" s="230">
        <v>0</v>
      </c>
      <c r="F7" s="230">
        <v>0</v>
      </c>
      <c r="G7" s="230">
        <v>0</v>
      </c>
      <c r="H7" s="230">
        <v>0</v>
      </c>
      <c r="I7" s="238">
        <v>0</v>
      </c>
      <c r="K7" s="224" t="s">
        <v>56</v>
      </c>
      <c r="L7" s="223">
        <v>1</v>
      </c>
      <c r="M7" s="218">
        <v>1</v>
      </c>
      <c r="N7" s="218">
        <v>1</v>
      </c>
      <c r="O7" s="218">
        <v>1</v>
      </c>
      <c r="P7" s="218">
        <v>1</v>
      </c>
      <c r="Q7" s="218">
        <v>1</v>
      </c>
      <c r="R7" s="225">
        <v>6</v>
      </c>
      <c r="T7" s="133">
        <v>3</v>
      </c>
      <c r="U7" s="118">
        <f t="shared" si="0"/>
        <v>0</v>
      </c>
      <c r="V7" s="118">
        <f>IFERROR(INDEX($B$4:$I52,MATCH($T7,$B$4:$B$50,0),3),0)</f>
        <v>0</v>
      </c>
      <c r="W7" s="118">
        <f t="shared" si="1"/>
        <v>0</v>
      </c>
      <c r="X7" s="118">
        <f t="shared" si="2"/>
        <v>0</v>
      </c>
      <c r="Y7" s="118">
        <f t="shared" si="3"/>
        <v>0</v>
      </c>
    </row>
    <row r="8" spans="1:25" x14ac:dyDescent="0.3">
      <c r="T8" s="132">
        <v>4</v>
      </c>
      <c r="U8" s="117">
        <f t="shared" si="0"/>
        <v>0</v>
      </c>
      <c r="V8" s="117">
        <f>IFERROR(INDEX($B$4:$I53,MATCH($T8,$B$4:$B$50,0),3),0)</f>
        <v>0</v>
      </c>
      <c r="W8" s="117">
        <f t="shared" si="1"/>
        <v>0</v>
      </c>
      <c r="X8" s="117">
        <f t="shared" si="2"/>
        <v>0</v>
      </c>
      <c r="Y8" s="117">
        <f t="shared" si="3"/>
        <v>0</v>
      </c>
    </row>
    <row r="9" spans="1:25" x14ac:dyDescent="0.3">
      <c r="T9" s="133">
        <v>5</v>
      </c>
      <c r="U9" s="118">
        <f t="shared" si="0"/>
        <v>0</v>
      </c>
      <c r="V9" s="118">
        <f>IFERROR(INDEX($B$4:$I54,MATCH($T9,$B$4:$B$50,0),3),0)</f>
        <v>0</v>
      </c>
      <c r="W9" s="118">
        <f t="shared" si="1"/>
        <v>0</v>
      </c>
      <c r="X9" s="118">
        <f t="shared" si="2"/>
        <v>0</v>
      </c>
      <c r="Y9" s="118">
        <f t="shared" si="3"/>
        <v>0</v>
      </c>
    </row>
    <row r="10" spans="1:25" x14ac:dyDescent="0.3">
      <c r="T10" s="115" t="s">
        <v>64</v>
      </c>
      <c r="U10" s="119">
        <f t="shared" si="0"/>
        <v>0</v>
      </c>
      <c r="V10" s="119">
        <f>IFERROR(INDEX($B$4:$I55,MATCH($T10,$B$4:$B$50,0),3),0)</f>
        <v>0</v>
      </c>
      <c r="W10" s="119">
        <f t="shared" si="1"/>
        <v>0</v>
      </c>
      <c r="X10" s="119">
        <f t="shared" si="2"/>
        <v>0</v>
      </c>
      <c r="Y10" s="119">
        <f t="shared" si="3"/>
        <v>0</v>
      </c>
    </row>
  </sheetData>
  <sheetProtection selectLockedCells="1" selectUnlockedCells="1"/>
  <mergeCells count="2">
    <mergeCell ref="B2:G2"/>
    <mergeCell ref="K2:P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06AF7-5D4A-43D6-AD70-CAA27122489F}">
  <dimension ref="B2:I80"/>
  <sheetViews>
    <sheetView workbookViewId="0"/>
  </sheetViews>
  <sheetFormatPr baseColWidth="10" defaultRowHeight="15.05" x14ac:dyDescent="0.3"/>
  <cols>
    <col min="2" max="2" width="13.33203125" bestFit="1" customWidth="1"/>
    <col min="3" max="3" width="10.6640625" bestFit="1" customWidth="1"/>
    <col min="4" max="9" width="4.5546875" bestFit="1" customWidth="1"/>
    <col min="10" max="10" width="5.5546875" bestFit="1" customWidth="1"/>
    <col min="11" max="12" width="4.33203125" bestFit="1" customWidth="1"/>
    <col min="13" max="13" width="9.6640625" bestFit="1" customWidth="1"/>
    <col min="14" max="14" width="5.33203125" bestFit="1" customWidth="1"/>
  </cols>
  <sheetData>
    <row r="2" spans="2:9" ht="18.350000000000001" x14ac:dyDescent="0.3">
      <c r="B2" s="324" t="s">
        <v>63</v>
      </c>
      <c r="C2" s="324"/>
      <c r="D2" s="324"/>
    </row>
    <row r="3" spans="2:9" x14ac:dyDescent="0.3">
      <c r="B3" s="244" t="s">
        <v>57</v>
      </c>
      <c r="C3" s="82" t="s">
        <v>11</v>
      </c>
      <c r="D3" s="245"/>
      <c r="E3" s="246"/>
      <c r="F3" s="246"/>
      <c r="G3" s="246"/>
      <c r="H3" s="246"/>
      <c r="I3" s="247"/>
    </row>
    <row r="4" spans="2:9" ht="26.2" x14ac:dyDescent="0.3">
      <c r="B4" s="84" t="s">
        <v>2</v>
      </c>
      <c r="C4" s="179" t="s">
        <v>113</v>
      </c>
      <c r="D4" s="184" t="s">
        <v>114</v>
      </c>
      <c r="E4" s="184" t="s">
        <v>115</v>
      </c>
      <c r="F4" s="184" t="s">
        <v>116</v>
      </c>
      <c r="G4" s="184" t="s">
        <v>117</v>
      </c>
      <c r="H4" s="180" t="s">
        <v>118</v>
      </c>
      <c r="I4" s="83" t="s">
        <v>56</v>
      </c>
    </row>
    <row r="5" spans="2:9" x14ac:dyDescent="0.3">
      <c r="B5" s="243">
        <v>1</v>
      </c>
      <c r="C5" s="242">
        <v>0</v>
      </c>
      <c r="D5" s="242">
        <v>0</v>
      </c>
      <c r="E5" s="242">
        <v>0</v>
      </c>
      <c r="F5" s="242">
        <v>0</v>
      </c>
      <c r="G5" s="242">
        <v>0</v>
      </c>
      <c r="H5" s="242">
        <v>0</v>
      </c>
      <c r="I5" s="242">
        <v>0</v>
      </c>
    </row>
    <row r="6" spans="2:9" x14ac:dyDescent="0.3">
      <c r="B6" s="241">
        <v>46062</v>
      </c>
      <c r="C6" s="242">
        <v>0</v>
      </c>
      <c r="D6" s="242">
        <v>0</v>
      </c>
      <c r="E6" s="242">
        <v>0</v>
      </c>
      <c r="F6" s="242">
        <v>0</v>
      </c>
      <c r="G6" s="242">
        <v>0</v>
      </c>
      <c r="H6" s="242">
        <v>0</v>
      </c>
      <c r="I6" s="242">
        <v>0</v>
      </c>
    </row>
    <row r="7" spans="2:9" x14ac:dyDescent="0.3">
      <c r="B7" s="214" t="s">
        <v>56</v>
      </c>
      <c r="C7" s="197">
        <v>0</v>
      </c>
      <c r="D7" s="197">
        <v>0</v>
      </c>
      <c r="E7" s="197">
        <v>0</v>
      </c>
      <c r="F7" s="197">
        <v>0</v>
      </c>
      <c r="G7" s="197">
        <v>0</v>
      </c>
      <c r="H7" s="197">
        <v>0</v>
      </c>
      <c r="I7" s="197">
        <v>0</v>
      </c>
    </row>
    <row r="24" ht="15.75" thickBot="1" x14ac:dyDescent="0.35"/>
    <row r="25" ht="15.75" thickBot="1" x14ac:dyDescent="0.35"/>
    <row r="58" spans="2:9" x14ac:dyDescent="0.3">
      <c r="B58" s="85" t="s">
        <v>58</v>
      </c>
      <c r="C58" s="73" t="s">
        <v>11</v>
      </c>
      <c r="D58" s="240"/>
      <c r="E58" s="240"/>
      <c r="F58" s="240"/>
      <c r="G58" s="240"/>
      <c r="H58" s="240"/>
      <c r="I58" s="240"/>
    </row>
    <row r="59" spans="2:9" ht="26.2" x14ac:dyDescent="0.3">
      <c r="B59" s="85" t="s">
        <v>2</v>
      </c>
      <c r="C59" s="70" t="s">
        <v>113</v>
      </c>
      <c r="D59" s="70" t="s">
        <v>114</v>
      </c>
      <c r="E59" s="70" t="s">
        <v>115</v>
      </c>
      <c r="F59" s="70" t="s">
        <v>116</v>
      </c>
      <c r="G59" s="70" t="s">
        <v>117</v>
      </c>
      <c r="H59" s="70" t="s">
        <v>118</v>
      </c>
      <c r="I59" s="70" t="s">
        <v>56</v>
      </c>
    </row>
    <row r="60" spans="2:9" x14ac:dyDescent="0.3">
      <c r="B60" s="86">
        <v>1</v>
      </c>
      <c r="C60" s="239">
        <v>1</v>
      </c>
      <c r="D60" s="239">
        <v>1</v>
      </c>
      <c r="E60" s="239">
        <v>1</v>
      </c>
      <c r="F60" s="239">
        <v>1</v>
      </c>
      <c r="G60" s="239">
        <v>1</v>
      </c>
      <c r="H60" s="239">
        <v>1</v>
      </c>
      <c r="I60" s="239">
        <v>6</v>
      </c>
    </row>
    <row r="61" spans="2:9" x14ac:dyDescent="0.3">
      <c r="B61" s="241">
        <v>46062</v>
      </c>
      <c r="C61" s="239">
        <v>1</v>
      </c>
      <c r="D61" s="239">
        <v>1</v>
      </c>
      <c r="E61" s="239">
        <v>1</v>
      </c>
      <c r="F61" s="239">
        <v>1</v>
      </c>
      <c r="G61" s="239">
        <v>1</v>
      </c>
      <c r="H61" s="239">
        <v>1</v>
      </c>
      <c r="I61" s="239">
        <v>6</v>
      </c>
    </row>
    <row r="62" spans="2:9" x14ac:dyDescent="0.3">
      <c r="B62" s="86" t="s">
        <v>56</v>
      </c>
      <c r="C62" s="213">
        <v>1</v>
      </c>
      <c r="D62" s="213">
        <v>1</v>
      </c>
      <c r="E62" s="213">
        <v>1</v>
      </c>
      <c r="F62" s="213">
        <v>1</v>
      </c>
      <c r="G62" s="213">
        <v>1</v>
      </c>
      <c r="H62" s="213">
        <v>1</v>
      </c>
      <c r="I62" s="213">
        <v>6</v>
      </c>
    </row>
    <row r="79" ht="15.75" thickBot="1" x14ac:dyDescent="0.35"/>
    <row r="80" ht="15.75" thickBot="1" x14ac:dyDescent="0.35"/>
  </sheetData>
  <sheetProtection selectLockedCells="1" selectUnlockedCells="1"/>
  <mergeCells count="1">
    <mergeCell ref="B2:D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C0E1B-0DD6-4B9F-A054-F6FE70FE6473}">
  <dimension ref="C2:P10"/>
  <sheetViews>
    <sheetView workbookViewId="0"/>
  </sheetViews>
  <sheetFormatPr baseColWidth="10" defaultRowHeight="15.05" x14ac:dyDescent="0.3"/>
  <cols>
    <col min="3" max="3" width="11.33203125" bestFit="1" customWidth="1"/>
    <col min="4" max="4" width="10.44140625" bestFit="1" customWidth="1"/>
    <col min="5" max="5" width="4.6640625" customWidth="1"/>
    <col min="6" max="6" width="11.33203125" bestFit="1" customWidth="1"/>
    <col min="7" max="7" width="13.6640625" bestFit="1" customWidth="1"/>
    <col min="8" max="8" width="4.6640625" customWidth="1"/>
    <col min="9" max="9" width="11.33203125" bestFit="1" customWidth="1"/>
    <col min="10" max="10" width="9.88671875" bestFit="1" customWidth="1"/>
    <col min="11" max="11" width="4.6640625" customWidth="1"/>
    <col min="15" max="15" width="12.33203125" customWidth="1"/>
  </cols>
  <sheetData>
    <row r="2" spans="3:16" x14ac:dyDescent="0.3">
      <c r="C2" s="71" t="s">
        <v>38</v>
      </c>
      <c r="D2" t="s">
        <v>39</v>
      </c>
      <c r="F2" s="71" t="s">
        <v>2</v>
      </c>
      <c r="G2" t="s">
        <v>74</v>
      </c>
      <c r="I2" s="71" t="s">
        <v>2</v>
      </c>
      <c r="J2" t="s">
        <v>72</v>
      </c>
      <c r="M2" t="s">
        <v>2</v>
      </c>
      <c r="N2" t="s">
        <v>73</v>
      </c>
      <c r="O2" t="s">
        <v>75</v>
      </c>
      <c r="P2" t="s">
        <v>76</v>
      </c>
    </row>
    <row r="3" spans="3:16" x14ac:dyDescent="0.3">
      <c r="F3" s="92">
        <v>1</v>
      </c>
      <c r="G3">
        <v>0</v>
      </c>
      <c r="I3" s="92" t="s">
        <v>64</v>
      </c>
      <c r="M3">
        <v>1</v>
      </c>
      <c r="N3" t="str">
        <f t="shared" ref="N3:N7" si="0">IFERROR(INDEX($C$5:$D$7,MATCH($M3,$C$5:$C$7,0),2),N2)</f>
        <v>Real</v>
      </c>
      <c r="O3">
        <f>IFERROR(INDEX($F$3:$G$7,MATCH($M3,$F$3:$F$7,0),2),O2)</f>
        <v>0</v>
      </c>
      <c r="P3" t="str">
        <f>IFERROR(INDEX($I$3:$J$7,MATCH($M3,$I$3:$I$7,0),2),P2)</f>
        <v>Ideal</v>
      </c>
    </row>
    <row r="4" spans="3:16" x14ac:dyDescent="0.3">
      <c r="C4" s="71" t="s">
        <v>2</v>
      </c>
      <c r="D4" t="s">
        <v>71</v>
      </c>
      <c r="F4" s="92">
        <v>2</v>
      </c>
      <c r="G4">
        <v>40</v>
      </c>
      <c r="M4">
        <v>2</v>
      </c>
      <c r="N4" t="str">
        <f t="shared" si="0"/>
        <v>Real</v>
      </c>
      <c r="O4">
        <f>IFERROR(INDEX($F$3:$G$7,MATCH($M4,$F$3:$F$7,0),2),O3)</f>
        <v>40</v>
      </c>
      <c r="P4" t="str">
        <f>IFERROR(INDEX($I$3:$J$7,MATCH($M4,$I$3:$I$7,0),2),P3)</f>
        <v>Ideal</v>
      </c>
    </row>
    <row r="5" spans="3:16" x14ac:dyDescent="0.3">
      <c r="C5" s="92">
        <v>0</v>
      </c>
      <c r="D5">
        <v>300</v>
      </c>
      <c r="F5" s="92">
        <v>3</v>
      </c>
      <c r="G5">
        <v>110</v>
      </c>
      <c r="M5">
        <v>3</v>
      </c>
      <c r="N5" t="str">
        <f t="shared" si="0"/>
        <v>Real</v>
      </c>
      <c r="O5">
        <f>IFERROR(INDEX($F$3:$G$7,MATCH($M5,$F$3:$F$7,0),2),O4)</f>
        <v>110</v>
      </c>
      <c r="P5" t="str">
        <f>IFERROR(INDEX($I$3:$J$7,MATCH($M5,$I$3:$I$7,0),2),P4)</f>
        <v>Ideal</v>
      </c>
    </row>
    <row r="6" spans="3:16" x14ac:dyDescent="0.3">
      <c r="C6" s="92" t="s">
        <v>64</v>
      </c>
      <c r="F6" s="92">
        <v>4</v>
      </c>
      <c r="G6">
        <v>185</v>
      </c>
      <c r="M6">
        <v>4</v>
      </c>
      <c r="N6" t="str">
        <f t="shared" si="0"/>
        <v>Real</v>
      </c>
      <c r="O6">
        <f>IFERROR(INDEX($F$3:$G$7,MATCH($M6,$F$3:$F$7,0),2),O5)</f>
        <v>185</v>
      </c>
      <c r="P6" t="str">
        <f>IFERROR(INDEX($I$3:$J$7,MATCH($M6,$I$3:$I$7,0),2),P5)</f>
        <v>Ideal</v>
      </c>
    </row>
    <row r="7" spans="3:16" x14ac:dyDescent="0.3">
      <c r="F7" s="92">
        <v>5</v>
      </c>
      <c r="G7">
        <v>300</v>
      </c>
      <c r="M7">
        <v>5</v>
      </c>
      <c r="N7" t="str">
        <f t="shared" si="0"/>
        <v>Real</v>
      </c>
      <c r="O7">
        <f>IFERROR(INDEX($F$3:$G$7,MATCH($M7,$F$3:$F$7,0),2),O6)</f>
        <v>300</v>
      </c>
      <c r="P7" t="str">
        <f>IFERROR(INDEX($I$3:$J$7,MATCH($M7,$I$3:$I$7,0),2),P6)</f>
        <v>Ideal</v>
      </c>
    </row>
    <row r="8" spans="3:16" x14ac:dyDescent="0.3">
      <c r="F8" s="92" t="s">
        <v>64</v>
      </c>
    </row>
    <row r="10" spans="3:16" x14ac:dyDescent="0.3">
      <c r="N10" s="98"/>
    </row>
  </sheetData>
  <pageMargins left="0.7" right="0.7" top="0.75" bottom="0.75" header="0.3" footer="0.3"/>
  <pageSetup paperSize="9" orientation="portrait" horizontalDpi="1200" verticalDpi="1200" r:id="rId4"/>
  <tableParts count="1"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3081a08-9cd2-47b4-871d-aca40e82ee51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BAFD80401F849409BA16461A8C543C6" ma:contentTypeVersion="8" ma:contentTypeDescription="Crear nuevo documento." ma:contentTypeScope="" ma:versionID="d4a7a27c70bf327e4feed36ad5969210">
  <xsd:schema xmlns:xsd="http://www.w3.org/2001/XMLSchema" xmlns:xs="http://www.w3.org/2001/XMLSchema" xmlns:p="http://schemas.microsoft.com/office/2006/metadata/properties" xmlns:ns2="23081a08-9cd2-47b4-871d-aca40e82ee51" targetNamespace="http://schemas.microsoft.com/office/2006/metadata/properties" ma:root="true" ma:fieldsID="8a7311787abc2b72b8edd5b7935ccbdb" ns2:_="">
    <xsd:import namespace="23081a08-9cd2-47b4-871d-aca40e82ee5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81a08-9cd2-47b4-871d-aca40e82ee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c61d788-ecdb-4aa4-a0ca-abe49909b6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2A0C0398-192F-479C-BAE7-274751703BD6}">
  <ds:schemaRefs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  <ds:schemaRef ds:uri="http://schemas.openxmlformats.org/package/2006/metadata/core-properties"/>
    <ds:schemaRef ds:uri="6103152c-391b-4f36-8c72-dc34558ac36d"/>
    <ds:schemaRef ds:uri="http://schemas.microsoft.com/office/2006/metadata/properties"/>
    <ds:schemaRef ds:uri="http://purl.org/dc/terms/"/>
    <ds:schemaRef ds:uri="23081a08-9cd2-47b4-871d-aca40e82ee51"/>
  </ds:schemaRefs>
</ds:datastoreItem>
</file>

<file path=customXml/itemProps2.xml><?xml version="1.0" encoding="utf-8"?>
<ds:datastoreItem xmlns:ds="http://schemas.openxmlformats.org/officeDocument/2006/customXml" ds:itemID="{BC67E9A4-D9CE-41CE-A9C7-A9A16B4AD9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3081a08-9cd2-47b4-871d-aca40e82ee5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352868A-8D7A-41D0-9A54-5D7D96CBCFA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4283523F-D78D-41FF-B5A2-D7CB7A6ACEE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36</vt:i4>
      </vt:variant>
    </vt:vector>
  </HeadingPairs>
  <TitlesOfParts>
    <vt:vector size="51" baseType="lpstr">
      <vt:lpstr>plan</vt:lpstr>
      <vt:lpstr>cronograma</vt:lpstr>
      <vt:lpstr>reg_est#1</vt:lpstr>
      <vt:lpstr>reg_est#2</vt:lpstr>
      <vt:lpstr>reg_est#3</vt:lpstr>
      <vt:lpstr>reg_est#4</vt:lpstr>
      <vt:lpstr>reg_est#5</vt:lpstr>
      <vt:lpstr>problam</vt:lpstr>
      <vt:lpstr>seguimiento</vt:lpstr>
      <vt:lpstr>cuaderno</vt:lpstr>
      <vt:lpstr>tareas_agregadas</vt:lpstr>
      <vt:lpstr>t_estudiantes</vt:lpstr>
      <vt:lpstr>t_objetivos</vt:lpstr>
      <vt:lpstr>t_actividades</vt:lpstr>
      <vt:lpstr>t_valor</vt:lpstr>
      <vt:lpstr>i_PROBLAM_art1</vt:lpstr>
      <vt:lpstr>i_PROBLAM_art2</vt:lpstr>
      <vt:lpstr>i_PROBLAM_art3</vt:lpstr>
      <vt:lpstr>i_PROBLAM_art4</vt:lpstr>
      <vt:lpstr>i_PROBLAM_art5</vt:lpstr>
      <vt:lpstr>i_PROBLAM_art6</vt:lpstr>
      <vt:lpstr>i_PROBLAM_pt1</vt:lpstr>
      <vt:lpstr>i_PROBLAM_pt2</vt:lpstr>
      <vt:lpstr>i_PROBLAM_pt3</vt:lpstr>
      <vt:lpstr>i_PROBLAM_pt4</vt:lpstr>
      <vt:lpstr>i_PROBLAM_pt5</vt:lpstr>
      <vt:lpstr>i_PROBLAM_pt6</vt:lpstr>
      <vt:lpstr>Indice_Aux_SinFecha</vt:lpstr>
      <vt:lpstr>Indice_Aux_Vacio</vt:lpstr>
      <vt:lpstr>Indice_Plan_ExtensionPlazo</vt:lpstr>
      <vt:lpstr>Indice_Plan_FechaFin</vt:lpstr>
      <vt:lpstr>Indice_Plan_FechaInicio</vt:lpstr>
      <vt:lpstr>Indice_Plan_InicioSemana</vt:lpstr>
      <vt:lpstr>Indice_PROBLAM_Aux_Estado_Bloqueada</vt:lpstr>
      <vt:lpstr>Indice_PROBLAM_Aux_Estado_Desarrollo</vt:lpstr>
      <vt:lpstr>Indice_PROBLAM_Aux_Estado_Finalizada</vt:lpstr>
      <vt:lpstr>Indice_PROBLAM_Aux_Estado_SinIniciar</vt:lpstr>
      <vt:lpstr>Indice_PROBLAM_Aux_Estados</vt:lpstr>
      <vt:lpstr>Indice_PROBLAM_Estudiante1</vt:lpstr>
      <vt:lpstr>Indice_PROBLAM_Estudiante2</vt:lpstr>
      <vt:lpstr>Indice_PROBLAM_Estudiante3</vt:lpstr>
      <vt:lpstr>Indice_PROBLAM_Estudiante4</vt:lpstr>
      <vt:lpstr>Indice_PROBLAM_Estudiante5</vt:lpstr>
      <vt:lpstr>Indice_PROBLAM_Estudiantes</vt:lpstr>
      <vt:lpstr>Indice_PROBLAM_NumEstudiantes</vt:lpstr>
      <vt:lpstr>Indice_PROBLAM_Paquetes</vt:lpstr>
      <vt:lpstr>xx_Indice_PROBLAM_Historias_Conceptual</vt:lpstr>
      <vt:lpstr>xx_Indice_PROBLAM_Historias_DDL</vt:lpstr>
      <vt:lpstr>xx_Indice_PROBLAM_Historias_DML</vt:lpstr>
      <vt:lpstr>xx_Indice_PROBLAM_Historias_Equipo</vt:lpstr>
      <vt:lpstr>xx_Indice_PROBLAM_Historias_Logico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MIGUEL ANGEL MARTINEZ PRIETO</dc:creator>
  <cp:keywords/>
  <dc:description/>
  <cp:lastModifiedBy>MIGUEL ANGEL MARTINEZ PRIETO</cp:lastModifiedBy>
  <cp:revision/>
  <dcterms:created xsi:type="dcterms:W3CDTF">2024-09-13T08:46:27Z</dcterms:created>
  <dcterms:modified xsi:type="dcterms:W3CDTF">2026-04-29T10:41:39Z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0x0101006BAFD80401F849409BA16461A8C543C6</vt:lpwstr>
  </property>
  <property fmtid="{D5CDD505-2E9C-101B-9397-08002B2CF9AE}" pid="3" name="MediaServiceImageTags">
    <vt:lpwstr/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